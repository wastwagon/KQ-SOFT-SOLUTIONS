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mensa\Desktop\NEW DESKTOP 7 NOV 2023\Lordship 2026 Accounts\"/>
    </mc:Choice>
  </mc:AlternateContent>
  <xr:revisionPtr revIDLastSave="0" documentId="13_ncr:1_{16848BE1-7CB9-4BF6-8C38-558FD3B69ACB}" xr6:coauthVersionLast="47" xr6:coauthVersionMax="47" xr10:uidLastSave="{00000000-0000-0000-0000-000000000000}"/>
  <bookViews>
    <workbookView xWindow="-90" yWindow="-90" windowWidth="19380" windowHeight="102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99" i="1" l="1"/>
  <c r="G44" i="1"/>
</calcChain>
</file>

<file path=xl/sharedStrings.xml><?xml version="1.0" encoding="utf-8"?>
<sst xmlns="http://schemas.openxmlformats.org/spreadsheetml/2006/main" count="248" uniqueCount="119">
  <si>
    <t>LORDSHIP INSURANCE COMPANY LIMITED</t>
  </si>
  <si>
    <t>BANK RECONCILIATION STATEMENT AS AT 31-MARCH-2026</t>
  </si>
  <si>
    <t>ECOBANK TESANO ACCOUNT NO: 1441001519035</t>
  </si>
  <si>
    <t>CLOSING BALANCE PER BANK STATEMENT</t>
  </si>
  <si>
    <t xml:space="preserve">UNCREDITED LODGMENTS </t>
  </si>
  <si>
    <t>DATE</t>
  </si>
  <si>
    <t>NAME / DETAILS</t>
  </si>
  <si>
    <t>DOC REF</t>
  </si>
  <si>
    <t>AMT RECEIVED</t>
  </si>
  <si>
    <t xml:space="preserve">UNMATCHED RECEIPTS IN CASH BOOK </t>
  </si>
  <si>
    <t xml:space="preserve"> - </t>
  </si>
  <si>
    <t>NAME - DETAILS</t>
  </si>
  <si>
    <t xml:space="preserve">UNMATCHED CREDITS IN BANK STATEMENT </t>
  </si>
  <si>
    <t>Transaction Date</t>
  </si>
  <si>
    <t>Description</t>
  </si>
  <si>
    <t>Credit</t>
  </si>
  <si>
    <t xml:space="preserve">UNPRESENTED CHEQUES </t>
  </si>
  <si>
    <t>s/no</t>
  </si>
  <si>
    <t>CHQ NO</t>
  </si>
  <si>
    <t>AMT PAID</t>
  </si>
  <si>
    <t>Alex Avorkpor - Cost of Operations manager transpport and office water</t>
  </si>
  <si>
    <t>002079</t>
  </si>
  <si>
    <t>Philip Akuffo - Cost of two vehicle tyres for GR 9097-16</t>
  </si>
  <si>
    <t>002101</t>
  </si>
  <si>
    <t xml:space="preserve"> - Cost of Anti-Virus Software for office computers</t>
  </si>
  <si>
    <t>002117</t>
  </si>
  <si>
    <t>TOTAL</t>
  </si>
  <si>
    <t xml:space="preserve">UNMATCHED PAYMENTS IN CASH BOOK </t>
  </si>
  <si>
    <t>Helina Yeboah - Cost of office sanitation items</t>
  </si>
  <si>
    <t>002066</t>
  </si>
  <si>
    <t>duplication. Delete in cash book</t>
  </si>
  <si>
    <t xml:space="preserve"> -  - Helina Yeboah / Payment of finders fees - Helina</t>
  </si>
  <si>
    <t>**</t>
  </si>
  <si>
    <t>IBAG - Payment of 2nd quarter levy 2026</t>
  </si>
  <si>
    <t>002092</t>
  </si>
  <si>
    <t>IBAG - Payment of 3rd quarter levy 2026</t>
  </si>
  <si>
    <t>002093</t>
  </si>
  <si>
    <t>√</t>
  </si>
  <si>
    <t>IBAG - Payment of 1st quarter levy 2026</t>
  </si>
  <si>
    <t>002091</t>
  </si>
  <si>
    <t>IBAG - Payment of 4th quarter levy 2026</t>
  </si>
  <si>
    <t>002094</t>
  </si>
  <si>
    <t>Fred-Leon Quayson - Payment of Finders Fees to GM</t>
  </si>
  <si>
    <t>002065</t>
  </si>
  <si>
    <t xml:space="preserve"> -  - GM / Payment of finders fees - GM</t>
  </si>
  <si>
    <t>Cocobod - Payment of Cocobod finders fee</t>
  </si>
  <si>
    <t>002059</t>
  </si>
  <si>
    <t xml:space="preserve"> -  -  / Payment of finders fees for Cocoa Marketing business</t>
  </si>
  <si>
    <t xml:space="preserve">UNMATCHED DEBITS IN BANK STATEMENT </t>
  </si>
  <si>
    <t>Debit</t>
  </si>
  <si>
    <t>CHEQUE CLEARING -
INWARD LCY ECOBANK
CHQ NO 002059 received from Clearing</t>
  </si>
  <si>
    <t>CHEQUE DEPOSIT -
HSE CHEQUE CHEQUE DEPOSIT - HSE CHEQUE- EGH CHQ NO. 002065 DEPOSIT B/O LORDSHIP INSURANCE BROKERS LTD IFO FREDERICK-LEON QUAYSON</t>
  </si>
  <si>
    <t>CHEQUE CLEARING -
INWARD LCY ECOBANK
CHQ NO 002091 received from Clearing</t>
  </si>
  <si>
    <t>CHEQUE CLEARING -
INWARD LCY ECOBANK
CHQ NO 002092 received from Clearing</t>
  </si>
  <si>
    <t>CHEQUE DEPOSIT - HSE
CHEQUE CHEQUE DEPOSIT
- HSE CHEQUE-EGH CHQ 2066 DEP. BO LORDSHIP INSURANCE BROKERS LTD IFO HELINA YEBOAH</t>
  </si>
  <si>
    <t xml:space="preserve">DEBITS IN BANK STATEMENT NOT IN CASH BOOK </t>
  </si>
  <si>
    <t>FUNDS TRANSFER
OUTWARD  - LOCAL
Charge on BO LORDSHIP</t>
  </si>
  <si>
    <t>CURRENT ACCOUNT
MAINTENANCE FEE CURRENT ACCOUNT SERVICE CHARGE</t>
  </si>
  <si>
    <t>CURRENT ACCOUNT MAINTENANCE FEE CURRENT ACCOUNT SERVICE CHARGE</t>
  </si>
  <si>
    <t>CHEQUE WITHDRAWAL
CHEQUE WITHDRAWAL- EGH CHQ NO 2079 PAID TO ALEX SETSOAFIA AVORKPO</t>
  </si>
  <si>
    <t>CHEQUE WITHDRAWAL
CHEQUE WITHDRAWAL- EGH CHQ 2133 PAID
TO ALEX SETSOAFIA
AVORKPO</t>
  </si>
  <si>
    <t>CHEQUE WITHDRAWAL CHEQUE WITHDRAWAL- EGH CHQ NO 002117 PD TO PHILIP AKUFFO KWAME - 0596491914</t>
  </si>
  <si>
    <t>CHEQUE WITHDRAWAL
CHEQUE WITHDRAWAL- EGH CHQ NO 002128 PD TO EMMANUEL TETTEH  NO 0543280732</t>
  </si>
  <si>
    <t>FT Consolidation for SDMC PAYROLL UPLOAD:SALARY AND COMM</t>
  </si>
  <si>
    <t>FT Consolidation for SDMC
FT Consolidation for SDMC</t>
  </si>
  <si>
    <t>CHEQUE CLEARING -
INWARD LCY ECOBANK
CHQ NO 002130 received from Clearing</t>
  </si>
  <si>
    <t>CHEQUE CLEARING -
INWARD LCY ECOBANK
CHQ NO 002129 received from Clearing</t>
  </si>
  <si>
    <t>TREASURY BILLS
MATURED 91-DAY Auct.</t>
  </si>
  <si>
    <t>TREASURY BILLS
MATURED 182-DAY Auct. 1989@11.6 Due 13-JUL-2026</t>
  </si>
  <si>
    <t>CHEQUE WITHDRAWAL
CHEQUE WITHDRAWAL- EGH CHQ NO 002095  PD TO ALEX AVORKPO - 0549350048</t>
  </si>
  <si>
    <t>CHEQUE WITHDRAWAL
CHEQUE WITHDRAWAL- EGH CHQ 002101 PAID TO PHILIP AKUFFO KWAME.</t>
  </si>
  <si>
    <t>CHEQUE WITHDRAWAL
CHEQUE WITHDRAWAL- EGH CHQ 2082 PAID TO EMMANUEL TETTEH</t>
  </si>
  <si>
    <t>CHEQUE WITHDRAWAL
CHEQUE WITHDRAWAL- EGH CHQ NO 002080  PD TO PHILIP AKUFFO - 0596491914</t>
  </si>
  <si>
    <t>CHEQUE WITHDRAWAL CHEQUE WITHDRAWAL- EGH CHQ NO 212PAID TO AKUFFO PHILIP KWAME-059649119</t>
  </si>
  <si>
    <t>CHEQUE WITHDRAWAL CHEQUE WITHDRAWAL- EGH CHQ NO 002114 PAID TO EMMANUEL TETTEH</t>
  </si>
  <si>
    <t>CHEQUE WITHDRAWAL CHEQUE WITHDRAWAL- EGH CHQ NO 002137 PAID TO EMMANUEL TETTEH</t>
  </si>
  <si>
    <t>CHEQUE WITHDRAWAL CHEQUE WITHDRAWAL- EGH CHQ NO 002135  PD TO ALEX AVORKPO - 0549350048</t>
  </si>
  <si>
    <t>CHEQUE WITHDRAWAL CHEQUE WITHDRAWAL- EGH CHQ 002068 PAID TO PHILIP AKUFFO KWAME</t>
  </si>
  <si>
    <t>CHEQUE WITHDRAWAL
CHEQUE WITHDRAWAL- EGH CHQ 2083 PAID
TO ALEX SETSOAFIA
AVORKPO.</t>
  </si>
  <si>
    <t>CHEQUE WITHDRAWAL
CHEQUE WITHDRAWAL- EGH CHQ NO 002099 PD TO EMMANUEL TETTEH NO 0543280732</t>
  </si>
  <si>
    <t>CHEQUE WITHDRAWAL CHEQUE WITHDRAWAL- EGH CHQ 2103 PAID TO ALEX SETSOFIA AVORKPO</t>
  </si>
  <si>
    <t>CHEQUE WITHDRAWAL CHEQUE WITHDRAWAL- EGH CHQ 002103 PAID TO ALEX SETSOFIA AVORKPO</t>
  </si>
  <si>
    <t>CHEQUE WITHDRAWAL
CHEQUE WITHDRAWAL- EGH CHQ NO 002115 PD TO ALEX SETSOFIA AVORKPO - 0549350048</t>
  </si>
  <si>
    <t>CHEQUE WITHDRAWAL
CHEQUE WITHDRAWAL- EGH CHQ NO 002131  PD TO ALEX AVORKPO - 0549350048</t>
  </si>
  <si>
    <t>CHEQUE WITHDRAWAL
CHEQUE WITHDRAWAL- EGH CHQ 002081 PAID TO EMMANUEL TETTEH</t>
  </si>
  <si>
    <t>CHEQUE WITHDRAWAL CHEQUE WITHDRAWAL- EGH CHQ NO 002113 PAID TO EMMANUEL TETTEH</t>
  </si>
  <si>
    <t>CHEQUE WITHDRAWAL CHEQUE WITHDRAWAL- EGH CHQ NO 002136 PAID TO EMMANUEL TETTEH</t>
  </si>
  <si>
    <t>CHEQUE WITHDRAWAL
CHEQUE WITHDRAWAL- EGH CHQ NO 002076  PD TO PHILIP AKUFFO - 0596491914</t>
  </si>
  <si>
    <t>CHEQUE WITHDRAWAL
CHEQUE WITHDRAWAL- EGH CHQ 002075 PAID TO ALEX SETSOFIA AVORKPO.</t>
  </si>
  <si>
    <t>CHEQUE WITHDRAWAL CHEQUE WITHDRAWAL- EGH CHQ NO 002118 PD TO PHILIP AKUFFO KWAME - 0596491914</t>
  </si>
  <si>
    <t>CHEQUE WITHDRAWAL
CHEQUE WITHDRAWAL- EBG CHQ NO 2102 PD TO AKUFFO PHILIP KWAME</t>
  </si>
  <si>
    <t>CHEQUE WITHDRAWAL
CHEQUE WITHDRAWAL- EGH CHQ 2132 PAID
TO ALEX SETSOAFIA
AVORKPO</t>
  </si>
  <si>
    <t>S/NO</t>
  </si>
  <si>
    <t>NAME</t>
  </si>
  <si>
    <t>Philip Akuffo</t>
  </si>
  <si>
    <t>002102</t>
  </si>
  <si>
    <t>Alex Avorkpor</t>
  </si>
  <si>
    <t>002075</t>
  </si>
  <si>
    <t>002076</t>
  </si>
  <si>
    <t>Emmanuel Tetteh</t>
  </si>
  <si>
    <t>002081</t>
  </si>
  <si>
    <t>002113</t>
  </si>
  <si>
    <t>002068</t>
  </si>
  <si>
    <t>002083</t>
  </si>
  <si>
    <t>002099</t>
  </si>
  <si>
    <t>002103</t>
  </si>
  <si>
    <t>002080</t>
  </si>
  <si>
    <t>002082</t>
  </si>
  <si>
    <t>002112</t>
  </si>
  <si>
    <t>002114</t>
  </si>
  <si>
    <t>002095</t>
  </si>
  <si>
    <t xml:space="preserve">CREDITS IN BANK STATEMENT NOT IN CASH BOOK </t>
  </si>
  <si>
    <t>CHEQUE CLEARING - OUTWARD LCY OMNI BANK CHQ# 206046 b/o GLICO GENERAL INSURANCE LTD
deposited for Clearing</t>
  </si>
  <si>
    <t>CHEQUE CLEARING -
OUTWARD LCY Access CHQ# 006137 b/o LOYALTY INSURANCE CO.LTD
deposited for Clearing</t>
  </si>
  <si>
    <t>TREASURY BILLS
MATURED REDISCOUNT OF BILL IRO 1441001519035due@13- APR-2026 ISIN: GHGGOGI01073</t>
  </si>
  <si>
    <t>TREASURY BILLS
MATURED 91-DAY Bill AUC 1976 MAT @ 10.2 Due 12- JAN-2026 GHGGOGI00653 IFO LORDSHIP INSURANCE BROKERS LTD</t>
  </si>
  <si>
    <t>TREASURY BILLS
MATURED 182-DAY Bill AUC 1963 MAT @ 14.1 Due 12- JAN-2026 GHGGOGI00216 IFO LORDSHIP INSURANCE BROKERS LTD</t>
  </si>
  <si>
    <t xml:space="preserve">BALANCE PER CASH BOOK AT END OF THE PERIOD </t>
  </si>
  <si>
    <t>??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</si>
</sst>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/mmm/yyyy"/>
    <numFmt numFmtId="165" formatCode="#,##0.00;[Red]\ #,##0.00"/>
    <numFmt numFmtId="166" formatCode="#,##0.00;[Red]#,##0.00"/>
    <numFmt numFmtId="167" formatCode="#,##0.0;[Red]#,##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64" fontId="0" fillId="0" borderId="0" xfId="0" applyNumberFormat="1"/>
    <xf numFmtId="1" fontId="0" fillId="0" borderId="0" xfId="0" applyNumberFormat="1"/>
    <xf numFmtId="49" fontId="0" fillId="0" borderId="0" xfId="0" applyNumberFormat="1"/>
    <xf numFmtId="165" fontId="0" fillId="0" borderId="0" xfId="0" applyNumberFormat="1"/>
    <xf numFmtId="164" fontId="1" fillId="0" borderId="0" xfId="0" applyNumberFormat="1" applyFont="1"/>
    <xf numFmtId="49" fontId="1" fillId="0" borderId="0" xfId="0" applyNumberFormat="1" applyFont="1"/>
    <xf numFmtId="165" fontId="1" fillId="0" borderId="0" xfId="0" applyNumberFormat="1" applyFont="1"/>
    <xf numFmtId="165" fontId="2" fillId="0" borderId="0" xfId="0" applyNumberFormat="1" applyFont="1"/>
    <xf numFmtId="1" fontId="0" fillId="0" borderId="0" xfId="0" applyNumberFormat="1" applyAlignment="1">
      <alignment wrapText="1"/>
    </xf>
    <xf numFmtId="165" fontId="0" fillId="2" borderId="0" xfId="0" applyNumberFormat="1" applyFill="1"/>
    <xf numFmtId="0" fontId="2" fillId="0" borderId="0" xfId="0" applyFont="1"/>
    <xf numFmtId="165" fontId="1" fillId="2" borderId="0" xfId="0" applyNumberFormat="1" applyFont="1" applyFill="1"/>
    <xf numFmtId="165" fontId="0" fillId="2" borderId="1" xfId="0" applyNumberFormat="1" applyFill="1" applyBorder="1"/>
    <xf numFmtId="165" fontId="1" fillId="0" borderId="0" xfId="0" applyNumberFormat="1" applyFont="1" applyFill="1"/>
    <xf numFmtId="167" fontId="0" fillId="3" borderId="0" xfId="0" applyNumberFormat="1" applyFill="1"/>
    <xf numFmtId="166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187"/>
  <sheetViews>
    <sheetView tabSelected="1" workbookViewId="0">
      <selection activeCell="H182" sqref="H182"/>
    </sheetView>
  </sheetViews>
  <sheetFormatPr defaultRowHeight="14.75" x14ac:dyDescent="0.75"/>
  <cols>
    <col min="1" max="1" width="3.453125" customWidth="1"/>
    <col min="2" max="2" width="13.1328125" style="1" customWidth="1"/>
    <col min="3" max="3" width="78.7265625" style="2" customWidth="1"/>
    <col min="4" max="4" width="25.26953125" style="3" customWidth="1"/>
    <col min="5" max="5" width="14.40625" style="4" customWidth="1"/>
    <col min="6" max="6" width="14" style="4" customWidth="1"/>
    <col min="7" max="7" width="9.6796875" bestFit="1" customWidth="1"/>
  </cols>
  <sheetData>
    <row r="2" spans="2:7" x14ac:dyDescent="0.75">
      <c r="B2" s="1" t="s">
        <v>0</v>
      </c>
    </row>
    <row r="4" spans="2:7" x14ac:dyDescent="0.75">
      <c r="B4" s="1" t="s">
        <v>1</v>
      </c>
    </row>
    <row r="5" spans="2:7" x14ac:dyDescent="0.75">
      <c r="B5" s="1" t="s">
        <v>2</v>
      </c>
    </row>
    <row r="10" spans="2:7" x14ac:dyDescent="0.75">
      <c r="B10" s="1" t="s">
        <v>3</v>
      </c>
      <c r="F10" s="10">
        <v>4899.28</v>
      </c>
      <c r="G10" s="11" t="s">
        <v>37</v>
      </c>
    </row>
    <row r="12" spans="2:7" x14ac:dyDescent="0.75">
      <c r="B12" s="5" t="s">
        <v>4</v>
      </c>
    </row>
    <row r="14" spans="2:7" x14ac:dyDescent="0.75">
      <c r="B14" s="1" t="s">
        <v>5</v>
      </c>
      <c r="C14" s="2" t="s">
        <v>6</v>
      </c>
      <c r="D14" s="3" t="s">
        <v>7</v>
      </c>
      <c r="E14" s="4" t="s">
        <v>8</v>
      </c>
    </row>
    <row r="21" spans="2:6" x14ac:dyDescent="0.75">
      <c r="B21" s="5" t="s">
        <v>9</v>
      </c>
    </row>
    <row r="22" spans="2:6" x14ac:dyDescent="0.75">
      <c r="C22" s="2" t="s">
        <v>10</v>
      </c>
    </row>
    <row r="23" spans="2:6" x14ac:dyDescent="0.75">
      <c r="B23" s="1" t="s">
        <v>5</v>
      </c>
      <c r="C23" s="2" t="s">
        <v>11</v>
      </c>
      <c r="D23" s="3" t="s">
        <v>7</v>
      </c>
      <c r="E23" s="4" t="s">
        <v>8</v>
      </c>
    </row>
    <row r="28" spans="2:6" x14ac:dyDescent="0.75">
      <c r="B28" s="5" t="s">
        <v>12</v>
      </c>
    </row>
    <row r="31" spans="2:6" x14ac:dyDescent="0.75">
      <c r="B31" s="1" t="s">
        <v>13</v>
      </c>
      <c r="C31" s="2" t="s">
        <v>14</v>
      </c>
      <c r="E31" s="4" t="s">
        <v>15</v>
      </c>
    </row>
    <row r="32" spans="2:6" x14ac:dyDescent="0.75">
      <c r="F32" s="4">
        <v>0</v>
      </c>
    </row>
    <row r="33" spans="1:8" x14ac:dyDescent="0.75">
      <c r="F33" s="4">
        <v>4899.28</v>
      </c>
    </row>
    <row r="37" spans="1:8" x14ac:dyDescent="0.75">
      <c r="B37" s="5" t="s">
        <v>16</v>
      </c>
    </row>
    <row r="39" spans="1:8" x14ac:dyDescent="0.75">
      <c r="A39" t="s">
        <v>17</v>
      </c>
      <c r="B39" s="1" t="s">
        <v>5</v>
      </c>
      <c r="C39" s="2" t="s">
        <v>11</v>
      </c>
      <c r="D39" s="3" t="s">
        <v>18</v>
      </c>
      <c r="E39" s="4" t="s">
        <v>19</v>
      </c>
    </row>
    <row r="40" spans="1:8" x14ac:dyDescent="0.75">
      <c r="A40">
        <v>1</v>
      </c>
      <c r="B40" s="1">
        <v>46048</v>
      </c>
      <c r="C40" s="2" t="s">
        <v>20</v>
      </c>
      <c r="D40" s="3" t="s">
        <v>21</v>
      </c>
      <c r="E40" s="4">
        <v>944</v>
      </c>
    </row>
    <row r="41" spans="1:8" x14ac:dyDescent="0.75">
      <c r="A41">
        <v>2</v>
      </c>
      <c r="B41" s="1">
        <v>46055</v>
      </c>
      <c r="C41" s="2" t="s">
        <v>22</v>
      </c>
      <c r="D41" s="3" t="s">
        <v>23</v>
      </c>
      <c r="E41" s="4">
        <v>710</v>
      </c>
    </row>
    <row r="42" spans="1:8" x14ac:dyDescent="0.75">
      <c r="A42">
        <v>3</v>
      </c>
      <c r="B42" s="1">
        <v>46084</v>
      </c>
      <c r="C42" s="2" t="s">
        <v>24</v>
      </c>
      <c r="D42" s="3" t="s">
        <v>25</v>
      </c>
      <c r="E42" s="4">
        <v>969.18</v>
      </c>
    </row>
    <row r="44" spans="1:8" x14ac:dyDescent="0.75">
      <c r="D44" s="6" t="s">
        <v>26</v>
      </c>
      <c r="E44" s="14">
        <v>2623.18</v>
      </c>
      <c r="F44" s="11"/>
      <c r="G44" s="15">
        <f>E44+E52+E55+E57+E58+E60</f>
        <v>28576.799999999999</v>
      </c>
      <c r="H44" t="s">
        <v>118</v>
      </c>
    </row>
    <row r="49" spans="1:6" x14ac:dyDescent="0.75">
      <c r="B49" s="5" t="s">
        <v>27</v>
      </c>
    </row>
    <row r="50" spans="1:6" x14ac:dyDescent="0.75">
      <c r="C50" s="2" t="s">
        <v>10</v>
      </c>
    </row>
    <row r="51" spans="1:6" x14ac:dyDescent="0.75">
      <c r="A51" t="s">
        <v>17</v>
      </c>
      <c r="B51" s="1" t="s">
        <v>5</v>
      </c>
      <c r="C51" s="2" t="s">
        <v>11</v>
      </c>
      <c r="D51" s="3" t="s">
        <v>18</v>
      </c>
      <c r="E51" s="4" t="s">
        <v>19</v>
      </c>
    </row>
    <row r="52" spans="1:6" x14ac:dyDescent="0.75">
      <c r="A52">
        <v>1</v>
      </c>
      <c r="B52" s="1">
        <v>46028</v>
      </c>
      <c r="C52" s="2" t="s">
        <v>28</v>
      </c>
      <c r="D52" s="3" t="s">
        <v>29</v>
      </c>
      <c r="E52" s="4">
        <v>1327.31</v>
      </c>
      <c r="F52" s="4" t="s">
        <v>30</v>
      </c>
    </row>
    <row r="53" spans="1:6" x14ac:dyDescent="0.75">
      <c r="A53">
        <v>10</v>
      </c>
      <c r="B53" s="1">
        <v>46022</v>
      </c>
      <c r="C53" s="2" t="s">
        <v>31</v>
      </c>
      <c r="D53" s="3" t="s">
        <v>29</v>
      </c>
      <c r="E53" s="4">
        <v>1327.31</v>
      </c>
      <c r="F53" s="4" t="s">
        <v>32</v>
      </c>
    </row>
    <row r="54" spans="1:6" x14ac:dyDescent="0.75">
      <c r="A54">
        <v>4</v>
      </c>
      <c r="B54" s="1">
        <v>46052</v>
      </c>
      <c r="C54" s="2" t="s">
        <v>33</v>
      </c>
      <c r="D54" s="3" t="s">
        <v>34</v>
      </c>
      <c r="E54" s="4">
        <v>3521.55</v>
      </c>
      <c r="F54" s="4" t="s">
        <v>32</v>
      </c>
    </row>
    <row r="55" spans="1:6" x14ac:dyDescent="0.75">
      <c r="A55">
        <v>5</v>
      </c>
      <c r="B55" s="1">
        <v>46052</v>
      </c>
      <c r="C55" s="2" t="s">
        <v>35</v>
      </c>
      <c r="D55" s="3" t="s">
        <v>36</v>
      </c>
      <c r="E55" s="4">
        <v>3521.55</v>
      </c>
      <c r="F55" s="8" t="s">
        <v>37</v>
      </c>
    </row>
    <row r="56" spans="1:6" x14ac:dyDescent="0.75">
      <c r="A56">
        <v>6</v>
      </c>
      <c r="B56" s="1">
        <v>46052</v>
      </c>
      <c r="C56" s="2" t="s">
        <v>38</v>
      </c>
      <c r="D56" s="3" t="s">
        <v>39</v>
      </c>
      <c r="E56" s="4">
        <v>3521.55</v>
      </c>
      <c r="F56" s="4" t="s">
        <v>32</v>
      </c>
    </row>
    <row r="57" spans="1:6" x14ac:dyDescent="0.75">
      <c r="A57">
        <v>7</v>
      </c>
      <c r="B57" s="1">
        <v>46052</v>
      </c>
      <c r="C57" s="2" t="s">
        <v>40</v>
      </c>
      <c r="D57" s="3" t="s">
        <v>41</v>
      </c>
      <c r="E57" s="4">
        <v>3521.55</v>
      </c>
      <c r="F57" s="8" t="s">
        <v>37</v>
      </c>
    </row>
    <row r="58" spans="1:6" x14ac:dyDescent="0.75">
      <c r="A58">
        <v>2</v>
      </c>
      <c r="B58" s="1">
        <v>46030</v>
      </c>
      <c r="C58" s="2" t="s">
        <v>42</v>
      </c>
      <c r="D58" s="3" t="s">
        <v>43</v>
      </c>
      <c r="E58" s="4">
        <v>7605</v>
      </c>
      <c r="F58" s="4" t="s">
        <v>30</v>
      </c>
    </row>
    <row r="59" spans="1:6" x14ac:dyDescent="0.75">
      <c r="A59">
        <v>9</v>
      </c>
      <c r="B59" s="1">
        <v>46022</v>
      </c>
      <c r="C59" s="2" t="s">
        <v>44</v>
      </c>
      <c r="D59" s="3" t="s">
        <v>43</v>
      </c>
      <c r="E59" s="4">
        <v>7605</v>
      </c>
      <c r="F59" s="4" t="s">
        <v>32</v>
      </c>
    </row>
    <row r="60" spans="1:6" x14ac:dyDescent="0.75">
      <c r="A60">
        <v>3</v>
      </c>
      <c r="B60" s="1">
        <v>46034</v>
      </c>
      <c r="C60" s="2" t="s">
        <v>45</v>
      </c>
      <c r="D60" s="3" t="s">
        <v>46</v>
      </c>
      <c r="E60" s="4">
        <v>9978.2099999999991</v>
      </c>
      <c r="F60" s="4" t="s">
        <v>30</v>
      </c>
    </row>
    <row r="61" spans="1:6" x14ac:dyDescent="0.75">
      <c r="A61">
        <v>8</v>
      </c>
      <c r="B61" s="1">
        <v>46013</v>
      </c>
      <c r="C61" s="2" t="s">
        <v>47</v>
      </c>
      <c r="D61" s="3" t="s">
        <v>46</v>
      </c>
      <c r="E61" s="4">
        <v>9978.2099999999991</v>
      </c>
      <c r="F61" s="4" t="s">
        <v>32</v>
      </c>
    </row>
    <row r="63" spans="1:6" x14ac:dyDescent="0.75">
      <c r="D63" s="6" t="s">
        <v>26</v>
      </c>
      <c r="E63" s="7">
        <v>51907.239999999991</v>
      </c>
    </row>
    <row r="66" spans="1:6" x14ac:dyDescent="0.75">
      <c r="B66" s="5" t="s">
        <v>48</v>
      </c>
    </row>
    <row r="68" spans="1:6" x14ac:dyDescent="0.75">
      <c r="A68" t="s">
        <v>17</v>
      </c>
      <c r="B68" s="1" t="s">
        <v>13</v>
      </c>
      <c r="C68" s="2" t="s">
        <v>14</v>
      </c>
      <c r="E68" s="4" t="s">
        <v>49</v>
      </c>
    </row>
    <row r="69" spans="1:6" ht="44.25" x14ac:dyDescent="0.75">
      <c r="A69">
        <v>3</v>
      </c>
      <c r="B69" s="1">
        <v>46034</v>
      </c>
      <c r="C69" s="9" t="s">
        <v>50</v>
      </c>
      <c r="E69" s="4">
        <v>-9978.2099999999991</v>
      </c>
      <c r="F69" s="4" t="s">
        <v>32</v>
      </c>
    </row>
    <row r="70" spans="1:6" ht="44.25" x14ac:dyDescent="0.75">
      <c r="A70">
        <v>2</v>
      </c>
      <c r="B70" s="1">
        <v>46030</v>
      </c>
      <c r="C70" s="9" t="s">
        <v>51</v>
      </c>
      <c r="E70" s="4">
        <v>-7605</v>
      </c>
      <c r="F70" s="4" t="s">
        <v>32</v>
      </c>
    </row>
    <row r="71" spans="1:6" ht="44.25" x14ac:dyDescent="0.75">
      <c r="A71">
        <v>4</v>
      </c>
      <c r="B71" s="1">
        <v>46066</v>
      </c>
      <c r="C71" s="9" t="s">
        <v>52</v>
      </c>
      <c r="E71" s="4">
        <v>-3521.55</v>
      </c>
      <c r="F71" s="4" t="s">
        <v>32</v>
      </c>
    </row>
    <row r="72" spans="1:6" ht="44.25" x14ac:dyDescent="0.75">
      <c r="A72">
        <v>5</v>
      </c>
      <c r="B72" s="1">
        <v>46085</v>
      </c>
      <c r="C72" s="9" t="s">
        <v>53</v>
      </c>
      <c r="E72" s="4">
        <v>-3521.55</v>
      </c>
      <c r="F72" s="4" t="s">
        <v>32</v>
      </c>
    </row>
    <row r="73" spans="1:6" ht="59" x14ac:dyDescent="0.75">
      <c r="A73">
        <v>1</v>
      </c>
      <c r="B73" s="1">
        <v>46028</v>
      </c>
      <c r="C73" s="9" t="s">
        <v>54</v>
      </c>
      <c r="E73" s="4">
        <v>-1327.31</v>
      </c>
      <c r="F73" s="4" t="s">
        <v>32</v>
      </c>
    </row>
    <row r="75" spans="1:6" x14ac:dyDescent="0.75">
      <c r="D75" s="6" t="s">
        <v>26</v>
      </c>
      <c r="E75" s="7">
        <v>-25953.619999999995</v>
      </c>
      <c r="F75" s="4">
        <v>28576.799999999996</v>
      </c>
    </row>
    <row r="76" spans="1:6" x14ac:dyDescent="0.75">
      <c r="F76" s="4">
        <v>-23677.519999999997</v>
      </c>
    </row>
    <row r="79" spans="1:6" x14ac:dyDescent="0.75">
      <c r="B79" s="5" t="s">
        <v>55</v>
      </c>
    </row>
    <row r="82" spans="1:6" x14ac:dyDescent="0.75">
      <c r="A82" t="s">
        <v>17</v>
      </c>
      <c r="B82" s="1" t="s">
        <v>13</v>
      </c>
      <c r="C82" s="2" t="s">
        <v>14</v>
      </c>
      <c r="E82" s="4" t="s">
        <v>49</v>
      </c>
    </row>
    <row r="83" spans="1:6" ht="44.25" x14ac:dyDescent="0.75">
      <c r="A83">
        <v>6</v>
      </c>
      <c r="B83" s="1">
        <v>46063</v>
      </c>
      <c r="C83" s="9" t="s">
        <v>56</v>
      </c>
      <c r="E83" s="4">
        <v>10</v>
      </c>
      <c r="F83" s="8" t="s">
        <v>37</v>
      </c>
    </row>
    <row r="84" spans="1:6" ht="29.5" x14ac:dyDescent="0.75">
      <c r="A84">
        <v>5</v>
      </c>
      <c r="B84" s="1">
        <v>46052</v>
      </c>
      <c r="C84" s="9" t="s">
        <v>57</v>
      </c>
      <c r="E84" s="4">
        <v>48</v>
      </c>
      <c r="F84" s="8" t="s">
        <v>37</v>
      </c>
    </row>
    <row r="85" spans="1:6" x14ac:dyDescent="0.75">
      <c r="A85">
        <v>8</v>
      </c>
      <c r="B85" s="1">
        <v>46080</v>
      </c>
      <c r="C85" s="2" t="s">
        <v>58</v>
      </c>
      <c r="E85" s="4">
        <v>48</v>
      </c>
      <c r="F85" s="8" t="s">
        <v>37</v>
      </c>
    </row>
    <row r="86" spans="1:6" x14ac:dyDescent="0.75">
      <c r="A86">
        <v>15</v>
      </c>
      <c r="B86" s="1">
        <v>46112</v>
      </c>
      <c r="C86" s="2" t="s">
        <v>58</v>
      </c>
      <c r="E86" s="4">
        <v>48</v>
      </c>
      <c r="F86" s="8" t="s">
        <v>37</v>
      </c>
    </row>
    <row r="87" spans="1:6" ht="29.5" x14ac:dyDescent="0.75">
      <c r="A87">
        <v>3</v>
      </c>
      <c r="B87" s="1">
        <v>46048</v>
      </c>
      <c r="C87" s="9" t="s">
        <v>59</v>
      </c>
      <c r="E87" s="4">
        <v>544</v>
      </c>
      <c r="F87" s="8" t="s">
        <v>37</v>
      </c>
    </row>
    <row r="88" spans="1:6" ht="59" x14ac:dyDescent="0.75">
      <c r="A88">
        <v>13</v>
      </c>
      <c r="B88" s="1">
        <v>46100</v>
      </c>
      <c r="C88" s="9" t="s">
        <v>60</v>
      </c>
      <c r="E88" s="4">
        <v>632</v>
      </c>
      <c r="F88" s="8" t="s">
        <v>37</v>
      </c>
    </row>
    <row r="89" spans="1:6" x14ac:dyDescent="0.75">
      <c r="A89">
        <v>9</v>
      </c>
      <c r="B89" s="1">
        <v>46083</v>
      </c>
      <c r="C89" s="2" t="s">
        <v>61</v>
      </c>
      <c r="E89" s="4">
        <v>968.18</v>
      </c>
      <c r="F89" s="8" t="s">
        <v>37</v>
      </c>
    </row>
    <row r="90" spans="1:6" x14ac:dyDescent="0.75">
      <c r="A90">
        <v>7</v>
      </c>
      <c r="B90" s="1">
        <v>46080</v>
      </c>
      <c r="C90" s="2" t="e">
        <v>#VALUE!</v>
      </c>
      <c r="E90" s="4">
        <v>1490.71</v>
      </c>
      <c r="F90" s="8" t="s">
        <v>37</v>
      </c>
    </row>
    <row r="91" spans="1:6" ht="29.5" x14ac:dyDescent="0.75">
      <c r="A91">
        <v>10</v>
      </c>
      <c r="B91" s="1">
        <v>46086</v>
      </c>
      <c r="C91" s="9" t="s">
        <v>62</v>
      </c>
      <c r="E91" s="4">
        <v>1817.1</v>
      </c>
      <c r="F91" s="8" t="s">
        <v>37</v>
      </c>
    </row>
    <row r="92" spans="1:6" x14ac:dyDescent="0.75">
      <c r="A92">
        <v>14</v>
      </c>
      <c r="B92" s="1">
        <v>46107</v>
      </c>
      <c r="C92" s="2" t="s">
        <v>63</v>
      </c>
      <c r="E92" s="4">
        <v>1937.92</v>
      </c>
      <c r="F92" s="8" t="s">
        <v>37</v>
      </c>
    </row>
    <row r="93" spans="1:6" ht="29.5" x14ac:dyDescent="0.75">
      <c r="A93">
        <v>4</v>
      </c>
      <c r="B93" s="1">
        <v>46050</v>
      </c>
      <c r="C93" s="9" t="s">
        <v>64</v>
      </c>
      <c r="E93" s="4">
        <v>1944.65</v>
      </c>
      <c r="F93" s="8" t="s">
        <v>37</v>
      </c>
    </row>
    <row r="94" spans="1:6" ht="44.25" x14ac:dyDescent="0.75">
      <c r="A94">
        <v>11</v>
      </c>
      <c r="B94" s="1">
        <v>46098</v>
      </c>
      <c r="C94" s="9" t="s">
        <v>65</v>
      </c>
      <c r="E94" s="4">
        <v>2280</v>
      </c>
      <c r="F94" s="8" t="s">
        <v>37</v>
      </c>
    </row>
    <row r="95" spans="1:6" ht="44.25" x14ac:dyDescent="0.75">
      <c r="A95">
        <v>12</v>
      </c>
      <c r="B95" s="1">
        <v>46099</v>
      </c>
      <c r="C95" s="9" t="s">
        <v>66</v>
      </c>
      <c r="E95" s="4">
        <v>9500</v>
      </c>
      <c r="F95" s="8" t="s">
        <v>37</v>
      </c>
    </row>
    <row r="96" spans="1:6" ht="29.5" x14ac:dyDescent="0.75">
      <c r="A96">
        <v>2</v>
      </c>
      <c r="B96" s="1">
        <v>46035</v>
      </c>
      <c r="C96" s="9" t="s">
        <v>67</v>
      </c>
      <c r="E96" s="4">
        <v>100398.83</v>
      </c>
      <c r="F96" s="8" t="s">
        <v>37</v>
      </c>
    </row>
    <row r="97" spans="1:8" ht="29.5" x14ac:dyDescent="0.75">
      <c r="A97">
        <v>1</v>
      </c>
      <c r="B97" s="1">
        <v>46035</v>
      </c>
      <c r="C97" s="9" t="s">
        <v>68</v>
      </c>
      <c r="E97" s="4">
        <v>114946.61</v>
      </c>
      <c r="F97" s="8" t="s">
        <v>37</v>
      </c>
    </row>
    <row r="99" spans="1:8" x14ac:dyDescent="0.75">
      <c r="D99" s="6" t="s">
        <v>26</v>
      </c>
      <c r="E99" s="7">
        <v>236614</v>
      </c>
      <c r="G99" s="16">
        <f>E99+E108+E113+E114+E119+E120+E121+E124+E127+E129</f>
        <v>271397</v>
      </c>
      <c r="H99" t="s">
        <v>118</v>
      </c>
    </row>
    <row r="103" spans="1:8" x14ac:dyDescent="0.75">
      <c r="B103" s="5" t="s">
        <v>48</v>
      </c>
    </row>
    <row r="106" spans="1:8" x14ac:dyDescent="0.75">
      <c r="A106" t="s">
        <v>17</v>
      </c>
      <c r="B106" s="1" t="s">
        <v>13</v>
      </c>
      <c r="C106" s="2" t="s">
        <v>14</v>
      </c>
      <c r="E106" s="4" t="s">
        <v>49</v>
      </c>
    </row>
    <row r="107" spans="1:8" ht="29.5" x14ac:dyDescent="0.75">
      <c r="A107">
        <v>8</v>
      </c>
      <c r="B107" s="1">
        <v>46052</v>
      </c>
      <c r="C107" s="9" t="s">
        <v>69</v>
      </c>
      <c r="E107" s="4">
        <v>700</v>
      </c>
      <c r="F107" s="4" t="s">
        <v>32</v>
      </c>
    </row>
    <row r="108" spans="1:8" ht="29.5" x14ac:dyDescent="0.75">
      <c r="A108">
        <v>10</v>
      </c>
      <c r="B108" s="1">
        <v>46057</v>
      </c>
      <c r="C108" s="9" t="s">
        <v>70</v>
      </c>
      <c r="E108" s="4">
        <v>700</v>
      </c>
      <c r="F108" s="8" t="s">
        <v>37</v>
      </c>
    </row>
    <row r="109" spans="1:8" ht="29.5" x14ac:dyDescent="0.75">
      <c r="A109">
        <v>6</v>
      </c>
      <c r="B109" s="1">
        <v>46051</v>
      </c>
      <c r="C109" s="9" t="s">
        <v>71</v>
      </c>
      <c r="E109" s="4">
        <v>2000</v>
      </c>
      <c r="F109" s="4" t="s">
        <v>32</v>
      </c>
    </row>
    <row r="110" spans="1:8" ht="29.5" x14ac:dyDescent="0.75">
      <c r="A110">
        <v>7</v>
      </c>
      <c r="B110" s="1">
        <v>46052</v>
      </c>
      <c r="C110" s="9" t="s">
        <v>72</v>
      </c>
      <c r="E110" s="4">
        <v>2000</v>
      </c>
      <c r="F110" s="4" t="s">
        <v>32</v>
      </c>
    </row>
    <row r="111" spans="1:8" x14ac:dyDescent="0.75">
      <c r="A111">
        <v>12</v>
      </c>
      <c r="B111" s="1">
        <v>46080</v>
      </c>
      <c r="C111" s="2" t="s">
        <v>73</v>
      </c>
      <c r="E111" s="4">
        <v>2000</v>
      </c>
      <c r="F111" s="4" t="s">
        <v>32</v>
      </c>
    </row>
    <row r="112" spans="1:8" x14ac:dyDescent="0.75">
      <c r="A112">
        <v>14</v>
      </c>
      <c r="B112" s="1">
        <v>46080</v>
      </c>
      <c r="C112" s="2" t="s">
        <v>74</v>
      </c>
      <c r="E112" s="4">
        <v>2000</v>
      </c>
      <c r="F112" s="4" t="s">
        <v>32</v>
      </c>
    </row>
    <row r="113" spans="1:6" x14ac:dyDescent="0.75">
      <c r="A113">
        <v>22</v>
      </c>
      <c r="B113" s="1">
        <v>46107</v>
      </c>
      <c r="C113" s="2" t="s">
        <v>75</v>
      </c>
      <c r="E113" s="4">
        <v>2000</v>
      </c>
      <c r="F113" s="8" t="s">
        <v>37</v>
      </c>
    </row>
    <row r="114" spans="1:6" x14ac:dyDescent="0.75">
      <c r="A114">
        <v>23</v>
      </c>
      <c r="B114" s="1">
        <v>46112</v>
      </c>
      <c r="C114" s="2" t="s">
        <v>76</v>
      </c>
      <c r="E114" s="4">
        <v>2000</v>
      </c>
      <c r="F114" s="8" t="s">
        <v>37</v>
      </c>
    </row>
    <row r="115" spans="1:6" x14ac:dyDescent="0.75">
      <c r="A115">
        <v>1</v>
      </c>
      <c r="B115" s="1">
        <v>46027</v>
      </c>
      <c r="C115" s="2" t="s">
        <v>77</v>
      </c>
      <c r="E115" s="4">
        <v>3000</v>
      </c>
      <c r="F115" s="4" t="s">
        <v>32</v>
      </c>
    </row>
    <row r="116" spans="1:6" ht="59" x14ac:dyDescent="0.75">
      <c r="A116">
        <v>4</v>
      </c>
      <c r="B116" s="1">
        <v>46051</v>
      </c>
      <c r="C116" s="9" t="s">
        <v>78</v>
      </c>
      <c r="E116" s="4">
        <v>3000</v>
      </c>
      <c r="F116" s="4" t="s">
        <v>32</v>
      </c>
    </row>
    <row r="117" spans="1:6" ht="29.5" x14ac:dyDescent="0.75">
      <c r="A117">
        <v>9</v>
      </c>
      <c r="B117" s="1">
        <v>46055</v>
      </c>
      <c r="C117" s="9" t="s">
        <v>79</v>
      </c>
      <c r="E117" s="4">
        <v>3000</v>
      </c>
      <c r="F117" s="4" t="s">
        <v>32</v>
      </c>
    </row>
    <row r="118" spans="1:6" x14ac:dyDescent="0.75">
      <c r="A118">
        <v>15</v>
      </c>
      <c r="B118" s="1">
        <v>46083</v>
      </c>
      <c r="C118" s="2" t="s">
        <v>80</v>
      </c>
      <c r="E118" s="4">
        <v>3000</v>
      </c>
      <c r="F118" s="4" t="s">
        <v>32</v>
      </c>
    </row>
    <row r="119" spans="1:6" x14ac:dyDescent="0.75">
      <c r="A119">
        <v>16</v>
      </c>
      <c r="B119" s="1">
        <v>46083</v>
      </c>
      <c r="C119" s="2" t="s">
        <v>81</v>
      </c>
      <c r="E119" s="4">
        <v>3000</v>
      </c>
      <c r="F119" s="8" t="s">
        <v>37</v>
      </c>
    </row>
    <row r="120" spans="1:6" ht="29.5" x14ac:dyDescent="0.75">
      <c r="A120">
        <v>18</v>
      </c>
      <c r="B120" s="1">
        <v>46091</v>
      </c>
      <c r="C120" s="9" t="s">
        <v>82</v>
      </c>
      <c r="E120" s="4">
        <v>3000</v>
      </c>
      <c r="F120" s="8" t="s">
        <v>37</v>
      </c>
    </row>
    <row r="121" spans="1:6" ht="29.5" x14ac:dyDescent="0.75">
      <c r="A121">
        <v>19</v>
      </c>
      <c r="B121" s="1">
        <v>46099</v>
      </c>
      <c r="C121" s="9" t="s">
        <v>83</v>
      </c>
      <c r="E121" s="4">
        <v>3000</v>
      </c>
      <c r="F121" s="8" t="s">
        <v>37</v>
      </c>
    </row>
    <row r="122" spans="1:6" ht="29.5" x14ac:dyDescent="0.75">
      <c r="A122">
        <v>5</v>
      </c>
      <c r="B122" s="1">
        <v>46051</v>
      </c>
      <c r="C122" s="9" t="s">
        <v>84</v>
      </c>
      <c r="E122" s="4">
        <v>3083</v>
      </c>
      <c r="F122" s="4" t="s">
        <v>32</v>
      </c>
    </row>
    <row r="123" spans="1:6" x14ac:dyDescent="0.75">
      <c r="A123">
        <v>13</v>
      </c>
      <c r="B123" s="1">
        <v>46080</v>
      </c>
      <c r="C123" s="2" t="s">
        <v>85</v>
      </c>
      <c r="E123" s="4">
        <v>3083</v>
      </c>
      <c r="F123" s="4" t="s">
        <v>32</v>
      </c>
    </row>
    <row r="124" spans="1:6" x14ac:dyDescent="0.75">
      <c r="A124">
        <v>21</v>
      </c>
      <c r="B124" s="1">
        <v>46107</v>
      </c>
      <c r="C124" s="2" t="s">
        <v>86</v>
      </c>
      <c r="E124" s="4">
        <v>3083</v>
      </c>
      <c r="F124" s="8" t="s">
        <v>37</v>
      </c>
    </row>
    <row r="125" spans="1:6" ht="29.5" x14ac:dyDescent="0.75">
      <c r="A125">
        <v>2</v>
      </c>
      <c r="B125" s="1">
        <v>46043</v>
      </c>
      <c r="C125" s="9" t="s">
        <v>87</v>
      </c>
      <c r="E125" s="4">
        <v>5000</v>
      </c>
      <c r="F125" s="4" t="s">
        <v>32</v>
      </c>
    </row>
    <row r="126" spans="1:6" ht="29.5" x14ac:dyDescent="0.75">
      <c r="A126">
        <v>3</v>
      </c>
      <c r="B126" s="1">
        <v>46045</v>
      </c>
      <c r="C126" s="9" t="s">
        <v>88</v>
      </c>
      <c r="E126" s="4">
        <v>5000</v>
      </c>
      <c r="F126" s="4" t="s">
        <v>32</v>
      </c>
    </row>
    <row r="127" spans="1:6" x14ac:dyDescent="0.75">
      <c r="A127">
        <v>17</v>
      </c>
      <c r="B127" s="1">
        <v>46083</v>
      </c>
      <c r="C127" s="2" t="s">
        <v>89</v>
      </c>
      <c r="E127" s="4">
        <v>5000</v>
      </c>
      <c r="F127" s="8" t="s">
        <v>37</v>
      </c>
    </row>
    <row r="128" spans="1:6" ht="29.5" x14ac:dyDescent="0.75">
      <c r="A128">
        <v>11</v>
      </c>
      <c r="B128" s="1">
        <v>46059</v>
      </c>
      <c r="C128" s="9" t="s">
        <v>90</v>
      </c>
      <c r="E128" s="4">
        <v>13000</v>
      </c>
      <c r="F128" s="4" t="s">
        <v>32</v>
      </c>
    </row>
    <row r="129" spans="1:6" ht="59" x14ac:dyDescent="0.75">
      <c r="A129">
        <v>20</v>
      </c>
      <c r="B129" s="1">
        <v>46100</v>
      </c>
      <c r="C129" s="9" t="s">
        <v>91</v>
      </c>
      <c r="E129" s="4">
        <v>13000</v>
      </c>
      <c r="F129" s="8" t="s">
        <v>37</v>
      </c>
    </row>
    <row r="131" spans="1:6" x14ac:dyDescent="0.75">
      <c r="D131" s="6" t="s">
        <v>26</v>
      </c>
      <c r="E131" s="7">
        <v>84649</v>
      </c>
    </row>
    <row r="133" spans="1:6" x14ac:dyDescent="0.75">
      <c r="B133" s="5" t="s">
        <v>27</v>
      </c>
    </row>
    <row r="136" spans="1:6" x14ac:dyDescent="0.75">
      <c r="A136" t="s">
        <v>92</v>
      </c>
      <c r="B136" s="1" t="s">
        <v>5</v>
      </c>
      <c r="C136" s="2" t="s">
        <v>93</v>
      </c>
      <c r="D136" s="3" t="s">
        <v>18</v>
      </c>
      <c r="E136" s="4" t="s">
        <v>19</v>
      </c>
    </row>
    <row r="137" spans="1:6" x14ac:dyDescent="0.75">
      <c r="A137">
        <v>10</v>
      </c>
      <c r="B137" s="1">
        <v>46056</v>
      </c>
      <c r="C137" s="2" t="s">
        <v>94</v>
      </c>
      <c r="D137" s="3" t="s">
        <v>95</v>
      </c>
      <c r="E137" s="4">
        <v>-13000</v>
      </c>
      <c r="F137" s="4" t="s">
        <v>32</v>
      </c>
    </row>
    <row r="138" spans="1:6" x14ac:dyDescent="0.75">
      <c r="A138">
        <v>2</v>
      </c>
      <c r="B138" s="1">
        <v>46042</v>
      </c>
      <c r="C138" s="2" t="s">
        <v>96</v>
      </c>
      <c r="D138" s="3" t="s">
        <v>97</v>
      </c>
      <c r="E138" s="4">
        <v>-5000</v>
      </c>
      <c r="F138" s="4" t="s">
        <v>32</v>
      </c>
    </row>
    <row r="139" spans="1:6" x14ac:dyDescent="0.75">
      <c r="A139">
        <v>3</v>
      </c>
      <c r="B139" s="1">
        <v>46043</v>
      </c>
      <c r="D139" s="3" t="s">
        <v>98</v>
      </c>
      <c r="E139" s="4">
        <v>-5000</v>
      </c>
      <c r="F139" s="4" t="s">
        <v>32</v>
      </c>
    </row>
    <row r="140" spans="1:6" x14ac:dyDescent="0.75">
      <c r="A140">
        <v>7</v>
      </c>
      <c r="B140" s="1">
        <v>46048</v>
      </c>
      <c r="C140" s="2" t="s">
        <v>99</v>
      </c>
      <c r="D140" s="3" t="s">
        <v>100</v>
      </c>
      <c r="E140" s="4">
        <v>-3083</v>
      </c>
      <c r="F140" s="4" t="s">
        <v>32</v>
      </c>
    </row>
    <row r="141" spans="1:6" x14ac:dyDescent="0.75">
      <c r="A141">
        <v>13</v>
      </c>
      <c r="B141" s="1">
        <v>46077</v>
      </c>
      <c r="C141" s="2" t="s">
        <v>99</v>
      </c>
      <c r="D141" s="3" t="s">
        <v>101</v>
      </c>
      <c r="E141" s="4">
        <v>-3083</v>
      </c>
      <c r="F141" s="4" t="s">
        <v>32</v>
      </c>
    </row>
    <row r="142" spans="1:6" x14ac:dyDescent="0.75">
      <c r="A142">
        <v>1</v>
      </c>
      <c r="B142" s="1">
        <v>46027</v>
      </c>
      <c r="D142" s="3" t="s">
        <v>102</v>
      </c>
      <c r="E142" s="4">
        <v>-3000</v>
      </c>
      <c r="F142" s="4" t="s">
        <v>32</v>
      </c>
    </row>
    <row r="143" spans="1:6" x14ac:dyDescent="0.75">
      <c r="A143">
        <v>5</v>
      </c>
      <c r="B143" s="1">
        <v>46048</v>
      </c>
      <c r="C143" s="2" t="s">
        <v>94</v>
      </c>
      <c r="D143" s="3" t="s">
        <v>103</v>
      </c>
      <c r="E143" s="4">
        <v>-3000</v>
      </c>
      <c r="F143" s="4" t="s">
        <v>32</v>
      </c>
    </row>
    <row r="144" spans="1:6" x14ac:dyDescent="0.75">
      <c r="A144">
        <v>9</v>
      </c>
      <c r="B144" s="1">
        <v>46055</v>
      </c>
      <c r="C144" s="2" t="s">
        <v>99</v>
      </c>
      <c r="D144" s="3" t="s">
        <v>104</v>
      </c>
      <c r="E144" s="4">
        <v>-3000</v>
      </c>
      <c r="F144" s="4" t="s">
        <v>32</v>
      </c>
    </row>
    <row r="145" spans="1:6" x14ac:dyDescent="0.75">
      <c r="A145">
        <v>14</v>
      </c>
      <c r="B145" s="1">
        <v>46077</v>
      </c>
      <c r="C145" s="2" t="s">
        <v>94</v>
      </c>
      <c r="D145" s="3" t="s">
        <v>105</v>
      </c>
      <c r="E145" s="4">
        <v>-3000</v>
      </c>
      <c r="F145" s="4" t="s">
        <v>32</v>
      </c>
    </row>
    <row r="146" spans="1:6" x14ac:dyDescent="0.75">
      <c r="A146">
        <v>4</v>
      </c>
      <c r="B146" s="1">
        <v>46048</v>
      </c>
      <c r="C146" s="2" t="s">
        <v>94</v>
      </c>
      <c r="D146" s="3" t="s">
        <v>106</v>
      </c>
      <c r="E146" s="4">
        <v>-2000</v>
      </c>
      <c r="F146" s="4" t="s">
        <v>32</v>
      </c>
    </row>
    <row r="147" spans="1:6" x14ac:dyDescent="0.75">
      <c r="A147">
        <v>6</v>
      </c>
      <c r="B147" s="1">
        <v>46048</v>
      </c>
      <c r="C147" s="2" t="s">
        <v>99</v>
      </c>
      <c r="D147" s="3" t="s">
        <v>107</v>
      </c>
      <c r="E147" s="4">
        <v>-2000</v>
      </c>
      <c r="F147" s="4" t="s">
        <v>32</v>
      </c>
    </row>
    <row r="148" spans="1:6" x14ac:dyDescent="0.75">
      <c r="A148">
        <v>11</v>
      </c>
      <c r="B148" s="1">
        <v>46077</v>
      </c>
      <c r="C148" s="2" t="s">
        <v>94</v>
      </c>
      <c r="D148" s="3" t="s">
        <v>108</v>
      </c>
      <c r="E148" s="4">
        <v>-2000</v>
      </c>
      <c r="F148" s="4" t="s">
        <v>32</v>
      </c>
    </row>
    <row r="149" spans="1:6" x14ac:dyDescent="0.75">
      <c r="A149">
        <v>12</v>
      </c>
      <c r="B149" s="1">
        <v>46077</v>
      </c>
      <c r="C149" s="2" t="s">
        <v>99</v>
      </c>
      <c r="D149" s="3" t="s">
        <v>109</v>
      </c>
      <c r="E149" s="4">
        <v>-2000</v>
      </c>
      <c r="F149" s="4" t="s">
        <v>32</v>
      </c>
    </row>
    <row r="150" spans="1:6" x14ac:dyDescent="0.75">
      <c r="A150">
        <v>8</v>
      </c>
      <c r="B150" s="1">
        <v>46052</v>
      </c>
      <c r="C150" s="2" t="s">
        <v>94</v>
      </c>
      <c r="D150" s="3" t="s">
        <v>110</v>
      </c>
      <c r="E150" s="4">
        <v>-700</v>
      </c>
      <c r="F150" s="4" t="s">
        <v>32</v>
      </c>
    </row>
    <row r="152" spans="1:6" x14ac:dyDescent="0.75">
      <c r="D152" s="6" t="s">
        <v>26</v>
      </c>
      <c r="E152" s="7">
        <v>-49866</v>
      </c>
    </row>
    <row r="153" spans="1:6" x14ac:dyDescent="0.75">
      <c r="F153" s="4">
        <v>271397</v>
      </c>
    </row>
    <row r="154" spans="1:6" x14ac:dyDescent="0.75">
      <c r="F154" s="4">
        <v>247719.48</v>
      </c>
    </row>
    <row r="157" spans="1:6" x14ac:dyDescent="0.75">
      <c r="B157" s="5" t="s">
        <v>111</v>
      </c>
    </row>
    <row r="158" spans="1:6" x14ac:dyDescent="0.75">
      <c r="A158" t="s">
        <v>92</v>
      </c>
      <c r="B158" s="1" t="s">
        <v>13</v>
      </c>
      <c r="C158" s="2" t="s">
        <v>14</v>
      </c>
      <c r="E158" s="4" t="s">
        <v>15</v>
      </c>
    </row>
    <row r="159" spans="1:6" ht="44.25" x14ac:dyDescent="0.75">
      <c r="A159">
        <v>6</v>
      </c>
      <c r="B159" s="1">
        <v>46112</v>
      </c>
      <c r="C159" s="9" t="s">
        <v>112</v>
      </c>
      <c r="E159" s="4">
        <v>1247.0999999999999</v>
      </c>
    </row>
    <row r="160" spans="1:6" ht="44.25" x14ac:dyDescent="0.75">
      <c r="A160">
        <v>5</v>
      </c>
      <c r="B160" s="1">
        <v>46112</v>
      </c>
      <c r="C160" s="9" t="s">
        <v>113</v>
      </c>
      <c r="E160" s="4">
        <v>1425.23</v>
      </c>
    </row>
    <row r="161" spans="1:6" x14ac:dyDescent="0.75">
      <c r="A161">
        <v>4</v>
      </c>
      <c r="B161" s="1">
        <v>46083</v>
      </c>
      <c r="C161" s="2" t="s">
        <v>80</v>
      </c>
      <c r="E161" s="4">
        <v>3000</v>
      </c>
    </row>
    <row r="162" spans="1:6" ht="44.25" x14ac:dyDescent="0.75">
      <c r="A162">
        <v>3</v>
      </c>
      <c r="B162" s="1">
        <v>46059</v>
      </c>
      <c r="C162" s="9" t="s">
        <v>114</v>
      </c>
      <c r="E162" s="4">
        <v>90000.19</v>
      </c>
    </row>
    <row r="163" spans="1:6" ht="44.25" x14ac:dyDescent="0.75">
      <c r="A163">
        <v>2</v>
      </c>
      <c r="B163" s="1">
        <v>46035</v>
      </c>
      <c r="C163" s="9" t="s">
        <v>115</v>
      </c>
      <c r="E163" s="4">
        <v>100399</v>
      </c>
    </row>
    <row r="164" spans="1:6" ht="44.25" x14ac:dyDescent="0.75">
      <c r="A164">
        <v>1</v>
      </c>
      <c r="B164" s="1">
        <v>46034</v>
      </c>
      <c r="C164" s="9" t="s">
        <v>116</v>
      </c>
      <c r="E164" s="4">
        <v>114947</v>
      </c>
    </row>
    <row r="166" spans="1:6" x14ac:dyDescent="0.75">
      <c r="D166" s="6" t="s">
        <v>26</v>
      </c>
      <c r="E166" s="12">
        <v>311018.51999999996</v>
      </c>
      <c r="F166" s="8" t="s">
        <v>37</v>
      </c>
    </row>
    <row r="170" spans="1:6" x14ac:dyDescent="0.75">
      <c r="B170" s="5" t="s">
        <v>12</v>
      </c>
    </row>
    <row r="173" spans="1:6" x14ac:dyDescent="0.75">
      <c r="A173" t="s">
        <v>92</v>
      </c>
      <c r="B173" s="1" t="s">
        <v>13</v>
      </c>
      <c r="C173" s="2" t="s">
        <v>14</v>
      </c>
      <c r="E173" s="4" t="s">
        <v>15</v>
      </c>
    </row>
    <row r="178" spans="1:7" x14ac:dyDescent="0.75">
      <c r="B178" s="5" t="s">
        <v>9</v>
      </c>
    </row>
    <row r="181" spans="1:7" x14ac:dyDescent="0.75">
      <c r="A181" t="s">
        <v>92</v>
      </c>
      <c r="B181" s="1" t="s">
        <v>5</v>
      </c>
      <c r="C181" s="2" t="s">
        <v>93</v>
      </c>
      <c r="E181" s="4" t="s">
        <v>8</v>
      </c>
    </row>
    <row r="185" spans="1:7" x14ac:dyDescent="0.75">
      <c r="F185" s="4">
        <v>311018.51999999996</v>
      </c>
    </row>
    <row r="186" spans="1:7" ht="15.5" thickBot="1" x14ac:dyDescent="0.9">
      <c r="B186" s="1" t="s">
        <v>117</v>
      </c>
      <c r="F186" s="13">
        <v>-63299.03999999995</v>
      </c>
      <c r="G186" s="8" t="s">
        <v>37</v>
      </c>
    </row>
    <row r="187" spans="1:7" ht="15.5" thickTop="1" x14ac:dyDescent="0.7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Kweku</dc:creator>
  <cp:lastModifiedBy>Daniel Quagraine</cp:lastModifiedBy>
  <dcterms:created xsi:type="dcterms:W3CDTF">2015-06-05T18:17:20Z</dcterms:created>
  <dcterms:modified xsi:type="dcterms:W3CDTF">2026-06-10T15:07:39Z</dcterms:modified>
</cp:coreProperties>
</file>