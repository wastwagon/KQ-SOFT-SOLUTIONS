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03158216-BE06-4DEC-B2FA-AB0DE9739B3C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9" i="1" l="1"/>
  <c r="G42" i="1"/>
</calcChain>
</file>

<file path=xl/sharedStrings.xml><?xml version="1.0" encoding="utf-8"?>
<sst xmlns="http://schemas.openxmlformats.org/spreadsheetml/2006/main" count="173" uniqueCount="100">
  <si>
    <t>LORDSHIP INSURANCE COMPANY LIMITED</t>
  </si>
  <si>
    <t>BANK RECONCILIATION STATEMENT AS AT 31-MARCH-2026</t>
  </si>
  <si>
    <t>ECOBANK TESANO ACCOUNT NO: 1441001519033</t>
  </si>
  <si>
    <t>CLOSING BALANCE PER BANK STATEMENT</t>
  </si>
  <si>
    <t>√</t>
  </si>
  <si>
    <t xml:space="preserve">UNCREDITED LODGMENTS </t>
  </si>
  <si>
    <t>DATE</t>
  </si>
  <si>
    <t>NAME / DETAILS</t>
  </si>
  <si>
    <t>DOC REF</t>
  </si>
  <si>
    <t>AMT RECEIVED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</si>
  <si>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</si>
  <si>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</si>
  <si>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</si>
  <si>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</si>
  <si>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</si>
  <si>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</si>
  <si>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</si>
  <si>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</si>
  <si>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S/NO</t>
  </si>
  <si>
    <t>CHQ NO</t>
  </si>
  <si>
    <t>AMT PAID</t>
  </si>
  <si>
    <t>ECG - Payment of ECG bills for February, 26</t>
  </si>
  <si>
    <t>926073</t>
  </si>
  <si>
    <t xml:space="preserve"> - Cost of Office server repairs and lm CREDITS</t>
  </si>
  <si>
    <t>926072</t>
  </si>
  <si>
    <t xml:space="preserve"> -  - Alex Avorkpo / Payment of GMT commissions for Oct. 2025</t>
  </si>
  <si>
    <t>TOTAL</t>
  </si>
  <si>
    <t>??</t>
  </si>
  <si>
    <t xml:space="preserve">UNMATCHED PAYMENTS IN CASH BOOK </t>
  </si>
  <si>
    <t>Samuel Narh - Payment of Board Secretary Allowance for Feb 2026</t>
  </si>
  <si>
    <t>926101</t>
  </si>
  <si>
    <t>Samuel Narh - Payment of Board Secretary Allowance for Mar 2026</t>
  </si>
  <si>
    <t>926058</t>
  </si>
  <si>
    <t>**</t>
  </si>
  <si>
    <t>Skones Security Com. - Payment of security charges for Jan 26</t>
  </si>
  <si>
    <t>925975</t>
  </si>
  <si>
    <t>Skones Security Ltd - Payment of Security Services for Feb 26</t>
  </si>
  <si>
    <t>926105</t>
  </si>
  <si>
    <t>Skones Security Ltd - Payment of Security Services for Mar 26</t>
  </si>
  <si>
    <t>926061</t>
  </si>
  <si>
    <t xml:space="preserve"> -  - Skones Security / Payment of Security Bill for Dec 2025</t>
  </si>
  <si>
    <t>Philip akuffo - Part payment of ED fuel for Jan 26</t>
  </si>
  <si>
    <t>925976</t>
  </si>
  <si>
    <t>Philip Akuffo - Part payment of fuel allowance for ED feb 26</t>
  </si>
  <si>
    <t>926102</t>
  </si>
  <si>
    <t>Philip Akuffo - Part payment of fuel allowance for ED Mar 26</t>
  </si>
  <si>
    <t>926059</t>
  </si>
  <si>
    <t>Royal Adjei - Payment of Short Loan to Royal Adjei</t>
  </si>
  <si>
    <t>926075</t>
  </si>
  <si>
    <t xml:space="preserve">UNMATCHED DEBITS IN BANK STATEMENT </t>
  </si>
  <si>
    <t>Debit</t>
  </si>
  <si>
    <t>WITHDRAWAL- EGH CHQ NO 925976 PD TO ROYAL ADJEI - 0246136244</t>
  </si>
  <si>
    <t>WITHDRAWAL- EGH CHQ NO 926102 PAID TO DANIEL NII ARYEE ANNANG</t>
  </si>
  <si>
    <t>CHEQUE WITHDRAWAL- EGH CHQ NO 926059  PD TO ALEX AVORKPA - 0549350048</t>
  </si>
  <si>
    <t>CHEQUE CLEARING -
INWARD LCY ECOBANK
CHQ NO 925975 received from Clearing</t>
  </si>
  <si>
    <t>CHEQUE CLEARING -
INWARD LCY ECOBANK
CHQ NO 925881 received from Clearing</t>
  </si>
  <si>
    <t>CHEQUE CLEARING -
INWARD LCY ECOBANK
CHQ NO 925973 received from Clearing</t>
  </si>
  <si>
    <t xml:space="preserve">DEBITS IN BANK STATEMENT NOT IN CASH BOOK </t>
  </si>
  <si>
    <t>MAINTENANCE FEE CURRENT ACCOUNT SERVICE CHARGE</t>
  </si>
  <si>
    <t>CURRENT ACCOUNT MAINTENANCE FEE CURRENT ACCOUNT SERVICE CHARGE/ H55CASCGHSL00001</t>
  </si>
  <si>
    <t>COST OF CHEQUE  BOOK
ISSUED</t>
  </si>
  <si>
    <t>WITHDRAWAL- EGH CHQ 925958 PAID TO ALEX SETSOFIA AVORKPO</t>
  </si>
  <si>
    <t>CHEQUE WITHDRAWAL CHEQUE WITHDRAWAL- EGH CHQ 925877 PAID TO ALEX SETSOAFIA AVORKPO/ H55CQWL260190095</t>
  </si>
  <si>
    <t>WITHDRAWAL- EGH CHQ NO 925952 PAID TO ALEX SETSOAFIA AVORKPO</t>
  </si>
  <si>
    <t>WITHDRAWAL- EGH CHQ 925957 PAID TO PHILIP AKUFFO KWAME</t>
  </si>
  <si>
    <t xml:space="preserve"> HSE CHEQUE-EBG CHQ NO 926046 DEP BO LORDSHIP INSURANCE BROKERS LIMITED IFO SETSOAFIA AVORKPO</t>
  </si>
  <si>
    <t>CHEQUE CLEARING - INWARD LCY ECOBANK/ H98ZEXA26075183W  16-Mar-2026</t>
  </si>
  <si>
    <t>CHEQUE CLEARING - INWARD LCY ECOBANK
CHQ NO 925891 received from Clearing/ H98ZEXA260210O0A</t>
  </si>
  <si>
    <t>CHEQUE CLEARING -
INWARD LCY ECOBANK
CHQ NO 925983 received from Clearing</t>
  </si>
  <si>
    <t>CHQ NO 926110 received from Clearing</t>
  </si>
  <si>
    <t>CHEQUE CLEARING -
INWARD LCY ECOBANK
CHQ NO 925878 received from Clearing</t>
  </si>
  <si>
    <t>CHEQUE CLEARING - INWARD LCY ECOBANK
CHQ NO 925732 received from Clearing/ H98ZEXA260151FGP</t>
  </si>
  <si>
    <t>CHEQUE CLEARING - INWARD LCY ECOBANK
CHQ NO 925863 received from Clearing/ H98ZEXA260151FGF</t>
  </si>
  <si>
    <t>WITHDRAWAL- EGH CHQ 926095 PAID TO ROYAL ADJEI.</t>
  </si>
  <si>
    <t>WITHDRAWAL- EGH CHQ 925884 PAID TO ALEX SETSOAFIA AVORKPO.</t>
  </si>
  <si>
    <t>WITHDRAWAL- EGH CHQ 925988 PAID TO ALEX SETSOAFIA AVORKPO</t>
  </si>
  <si>
    <t>FT Consolidation for SDMC
FT Consolidation for SDMC</t>
  </si>
  <si>
    <t>FT Consolidation for SDMC FT Consolidation for SDMC/ H55ZFCN260750001   16-Mar-2026</t>
  </si>
  <si>
    <t xml:space="preserve">FT Consolidation for SDMC FT Consolidation for SDMC/ </t>
  </si>
  <si>
    <t>FT Consolidation for SDMC</t>
  </si>
  <si>
    <t>WITHDRAWAL- EGH CHQ 925945 PAID TO ALEX SETSOAFIA AVORKPO.</t>
  </si>
  <si>
    <t>WITHDRAWAL- EGH CHQ 925989 PAID TO ALEX SETSOAFIA AVORKPA</t>
  </si>
  <si>
    <t>WITHDRAWAL- EGH CHQ NO 925987  PD TO ALEX AVORKPO - 0549350048</t>
  </si>
  <si>
    <t>WITHDRAWAL- EGH CHQ 926113 PAID TO AKUFFO PHILIP KWAME.</t>
  </si>
  <si>
    <t>CHEQUE WITHDRAWAL CHEQUE WITHDRAWAL- EGH CHQ NO 926069/ H55CQWL260850540</t>
  </si>
  <si>
    <t>CHEQUE CLEARING - INWARD LCY ECOBANK
CHQ NO 926042 received from Clearing/ H98ZEXA260160ZI0</t>
  </si>
  <si>
    <t>CHEQUE CLEARING - INWARD LCY ECOBANK
CHQ NO 925965 received from Clearing/ H98ZEXA2607606IP    17-Mar-2026</t>
  </si>
  <si>
    <t>NAME</t>
  </si>
  <si>
    <t>CHQNO</t>
  </si>
  <si>
    <t>SSNIT</t>
  </si>
  <si>
    <t>926042</t>
  </si>
  <si>
    <t>Philip akuffo</t>
  </si>
  <si>
    <t>925987</t>
  </si>
  <si>
    <t>Philip Akuffo</t>
  </si>
  <si>
    <t>926113</t>
  </si>
  <si>
    <t>926069</t>
  </si>
  <si>
    <t xml:space="preserve">CREDITS IN BANK STATEMENT NOT IN CASH BOOK </t>
  </si>
  <si>
    <t>FUNDS TRANSFER -
INWARD 000004953278 TRF B/O PRUDENTIAL LIFE INSURANCE GHANA LTD  IRO BROKER
COMMISSIONS FOR JAN 26 IFO LORDSHIP INSURANCE
BROKERS</t>
  </si>
  <si>
    <t>CHEQUE WITHDRAWAL- EGH CHQ NO 926103 PD TO EMMANUEL TETTEH  NO 0543280732</t>
  </si>
  <si>
    <t xml:space="preserve">BALANCE PER CASH BOOK AT END OF THE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</si>
</sst>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#,##0.00;[Red]\ #,##0.00"/>
    <numFmt numFmtId="166" formatCode="#,##0.00;[Red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5" fontId="2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66" fontId="0" fillId="3" borderId="0" xfId="0" applyNumberFormat="1" applyFill="1"/>
    <xf numFmtId="1" fontId="0" fillId="0" borderId="0" xfId="0" applyNumberFormat="1" applyAlignment="1">
      <alignment wrapText="1"/>
    </xf>
    <xf numFmtId="165" fontId="1" fillId="2" borderId="0" xfId="0" applyNumberFormat="1" applyFont="1" applyFill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8"/>
  <sheetViews>
    <sheetView tabSelected="1" workbookViewId="0"/>
  </sheetViews>
  <sheetFormatPr defaultRowHeight="14.75" x14ac:dyDescent="0.75"/>
  <cols>
    <col min="1" max="1" width="2.40625" customWidth="1"/>
    <col min="2" max="2" width="13.1328125" style="1" customWidth="1"/>
    <col min="3" max="3" width="78.7265625" style="2" customWidth="1"/>
    <col min="4" max="4" width="25.26953125" style="3" customWidth="1"/>
    <col min="5" max="5" width="14.40625" style="4" customWidth="1"/>
    <col min="6" max="6" width="14" style="4" customWidth="1"/>
    <col min="7" max="7" width="9.6796875" bestFit="1" customWidth="1"/>
  </cols>
  <sheetData>
    <row r="2" spans="2:7" x14ac:dyDescent="0.75">
      <c r="B2" s="1" t="s">
        <v>0</v>
      </c>
    </row>
    <row r="4" spans="2:7" x14ac:dyDescent="0.75">
      <c r="B4" s="1" t="s">
        <v>1</v>
      </c>
    </row>
    <row r="5" spans="2:7" x14ac:dyDescent="0.75">
      <c r="B5" s="1" t="s">
        <v>2</v>
      </c>
    </row>
    <row r="7" spans="2:7" x14ac:dyDescent="0.75">
      <c r="B7" s="1" t="s">
        <v>3</v>
      </c>
      <c r="F7" s="5">
        <v>18643.29</v>
      </c>
      <c r="G7" s="6" t="s">
        <v>4</v>
      </c>
    </row>
    <row r="9" spans="2:7" x14ac:dyDescent="0.75">
      <c r="B9" s="7" t="s">
        <v>5</v>
      </c>
    </row>
    <row r="11" spans="2:7" x14ac:dyDescent="0.75">
      <c r="B11" s="1" t="s">
        <v>6</v>
      </c>
      <c r="C11" s="2" t="s">
        <v>7</v>
      </c>
      <c r="D11" s="3" t="s">
        <v>8</v>
      </c>
      <c r="E11" s="4" t="s">
        <v>9</v>
      </c>
    </row>
    <row r="18" spans="2:6" x14ac:dyDescent="0.75">
      <c r="B18" s="7" t="s">
        <v>10</v>
      </c>
    </row>
    <row r="19" spans="2:6" x14ac:dyDescent="0.75">
      <c r="C19" s="2" t="s">
        <v>11</v>
      </c>
    </row>
    <row r="20" spans="2:6" x14ac:dyDescent="0.75">
      <c r="B20" s="1" t="s">
        <v>6</v>
      </c>
      <c r="C20" s="2" t="s">
        <v>12</v>
      </c>
      <c r="D20" s="3" t="s">
        <v>8</v>
      </c>
      <c r="E20" s="4" t="s">
        <v>9</v>
      </c>
    </row>
    <row r="25" spans="2:6" x14ac:dyDescent="0.75">
      <c r="B25" s="7" t="s">
        <v>13</v>
      </c>
    </row>
    <row r="28" spans="2:6" x14ac:dyDescent="0.75">
      <c r="B28" s="1" t="s">
        <v>14</v>
      </c>
      <c r="C28" s="2" t="s">
        <v>15</v>
      </c>
      <c r="E28" s="4" t="s">
        <v>16</v>
      </c>
    </row>
    <row r="29" spans="2:6" x14ac:dyDescent="0.75">
      <c r="F29" s="4">
        <v>0</v>
      </c>
    </row>
    <row r="30" spans="2:6" x14ac:dyDescent="0.75">
      <c r="F30" s="4">
        <v>18643.29</v>
      </c>
    </row>
    <row r="34" spans="1:8" x14ac:dyDescent="0.75">
      <c r="B34" s="7" t="s">
        <v>17</v>
      </c>
    </row>
    <row r="36" spans="1:8" x14ac:dyDescent="0.75">
      <c r="A36" t="s">
        <v>18</v>
      </c>
      <c r="B36" s="1" t="s">
        <v>6</v>
      </c>
      <c r="C36" s="2" t="s">
        <v>12</v>
      </c>
      <c r="D36" s="3" t="s">
        <v>19</v>
      </c>
      <c r="E36" s="4" t="s">
        <v>20</v>
      </c>
    </row>
    <row r="37" spans="1:8" x14ac:dyDescent="0.75">
      <c r="A37">
        <v>1</v>
      </c>
      <c r="B37" s="1">
        <v>46112</v>
      </c>
      <c r="C37" s="2" t="s">
        <v>21</v>
      </c>
      <c r="D37" s="3" t="s">
        <v>22</v>
      </c>
      <c r="E37" s="4">
        <v>4839.5600000000004</v>
      </c>
    </row>
    <row r="38" spans="1:8" x14ac:dyDescent="0.75">
      <c r="A38">
        <v>2</v>
      </c>
      <c r="B38" s="1">
        <v>46112</v>
      </c>
      <c r="C38" s="2" t="s">
        <v>23</v>
      </c>
      <c r="D38" s="3" t="s">
        <v>24</v>
      </c>
      <c r="E38" s="4">
        <v>650</v>
      </c>
    </row>
    <row r="39" spans="1:8" x14ac:dyDescent="0.75">
      <c r="A39">
        <v>3</v>
      </c>
      <c r="B39" s="1">
        <v>45965</v>
      </c>
      <c r="C39" s="2" t="s">
        <v>25</v>
      </c>
      <c r="D39" s="3">
        <v>926023</v>
      </c>
      <c r="E39" s="4">
        <v>510.7</v>
      </c>
    </row>
    <row r="40" spans="1:8" x14ac:dyDescent="0.75">
      <c r="A40">
        <v>4</v>
      </c>
      <c r="B40" s="1">
        <v>45924</v>
      </c>
      <c r="C40" s="2" t="s">
        <v>11</v>
      </c>
      <c r="D40" s="3">
        <v>925928</v>
      </c>
      <c r="E40" s="4">
        <v>2000</v>
      </c>
    </row>
    <row r="42" spans="1:8" x14ac:dyDescent="0.75">
      <c r="D42" s="8" t="s">
        <v>26</v>
      </c>
      <c r="E42" s="9">
        <v>8000.26</v>
      </c>
      <c r="G42" s="10">
        <f>E42+E50+E51+E54+E55+E56+E60</f>
        <v>17825.86</v>
      </c>
      <c r="H42" t="s">
        <v>27</v>
      </c>
    </row>
    <row r="47" spans="1:8" x14ac:dyDescent="0.75">
      <c r="B47" s="7" t="s">
        <v>28</v>
      </c>
    </row>
    <row r="48" spans="1:8" x14ac:dyDescent="0.75">
      <c r="C48" s="2" t="s">
        <v>11</v>
      </c>
    </row>
    <row r="49" spans="1:6" x14ac:dyDescent="0.75">
      <c r="A49" t="s">
        <v>18</v>
      </c>
      <c r="B49" s="1" t="s">
        <v>6</v>
      </c>
      <c r="C49" s="2" t="s">
        <v>12</v>
      </c>
      <c r="D49" s="3" t="s">
        <v>19</v>
      </c>
      <c r="E49" s="4" t="s">
        <v>20</v>
      </c>
    </row>
    <row r="50" spans="1:6" x14ac:dyDescent="0.75">
      <c r="A50">
        <v>4</v>
      </c>
      <c r="B50" s="1">
        <v>46077</v>
      </c>
      <c r="C50" s="2" t="s">
        <v>29</v>
      </c>
      <c r="D50" s="3" t="s">
        <v>30</v>
      </c>
      <c r="E50" s="4">
        <v>950</v>
      </c>
    </row>
    <row r="51" spans="1:6" x14ac:dyDescent="0.75">
      <c r="A51">
        <v>7</v>
      </c>
      <c r="B51" s="1">
        <v>46105</v>
      </c>
      <c r="C51" s="2" t="s">
        <v>31</v>
      </c>
      <c r="D51" s="3" t="s">
        <v>32</v>
      </c>
      <c r="E51" s="4">
        <v>950</v>
      </c>
    </row>
    <row r="52" spans="1:6" x14ac:dyDescent="0.75">
      <c r="A52">
        <v>11</v>
      </c>
      <c r="B52" s="1">
        <v>46015</v>
      </c>
      <c r="C52" s="2" t="s">
        <v>11</v>
      </c>
      <c r="D52" s="3">
        <v>925881</v>
      </c>
      <c r="E52" s="4">
        <v>950</v>
      </c>
      <c r="F52" s="4" t="s">
        <v>33</v>
      </c>
    </row>
    <row r="53" spans="1:6" x14ac:dyDescent="0.75">
      <c r="A53">
        <v>2</v>
      </c>
      <c r="B53" s="1">
        <v>46048</v>
      </c>
      <c r="C53" s="2" t="s">
        <v>34</v>
      </c>
      <c r="D53" s="3" t="s">
        <v>35</v>
      </c>
      <c r="E53" s="4">
        <v>975.2</v>
      </c>
      <c r="F53" s="4" t="s">
        <v>33</v>
      </c>
    </row>
    <row r="54" spans="1:6" x14ac:dyDescent="0.75">
      <c r="A54">
        <v>5</v>
      </c>
      <c r="B54" s="1">
        <v>46077</v>
      </c>
      <c r="C54" s="2" t="s">
        <v>36</v>
      </c>
      <c r="D54" s="3" t="s">
        <v>37</v>
      </c>
      <c r="E54" s="4">
        <v>975.2</v>
      </c>
    </row>
    <row r="55" spans="1:6" x14ac:dyDescent="0.75">
      <c r="A55">
        <v>8</v>
      </c>
      <c r="B55" s="1">
        <v>46105</v>
      </c>
      <c r="C55" s="2" t="s">
        <v>38</v>
      </c>
      <c r="D55" s="3" t="s">
        <v>39</v>
      </c>
      <c r="E55" s="4">
        <v>975.2</v>
      </c>
    </row>
    <row r="56" spans="1:6" x14ac:dyDescent="0.75">
      <c r="A56">
        <v>10</v>
      </c>
      <c r="B56" s="1">
        <v>46009</v>
      </c>
      <c r="C56" s="2" t="s">
        <v>40</v>
      </c>
      <c r="D56" s="3">
        <v>925942</v>
      </c>
      <c r="E56" s="4">
        <v>975.2</v>
      </c>
    </row>
    <row r="57" spans="1:6" x14ac:dyDescent="0.75">
      <c r="A57">
        <v>1</v>
      </c>
      <c r="B57" s="1">
        <v>46048</v>
      </c>
      <c r="C57" s="2" t="s">
        <v>41</v>
      </c>
      <c r="D57" s="3" t="s">
        <v>42</v>
      </c>
      <c r="E57" s="4">
        <v>5000</v>
      </c>
      <c r="F57" s="4" t="s">
        <v>33</v>
      </c>
    </row>
    <row r="58" spans="1:6" x14ac:dyDescent="0.75">
      <c r="A58">
        <v>3</v>
      </c>
      <c r="B58" s="1">
        <v>46077</v>
      </c>
      <c r="C58" s="2" t="s">
        <v>43</v>
      </c>
      <c r="D58" s="3" t="s">
        <v>44</v>
      </c>
      <c r="E58" s="4">
        <v>5000</v>
      </c>
      <c r="F58" s="4" t="s">
        <v>33</v>
      </c>
    </row>
    <row r="59" spans="1:6" x14ac:dyDescent="0.75">
      <c r="A59">
        <v>6</v>
      </c>
      <c r="B59" s="1">
        <v>46105</v>
      </c>
      <c r="C59" s="2" t="s">
        <v>45</v>
      </c>
      <c r="D59" s="3" t="s">
        <v>46</v>
      </c>
      <c r="E59" s="4">
        <v>5000</v>
      </c>
      <c r="F59" s="4" t="s">
        <v>33</v>
      </c>
    </row>
    <row r="60" spans="1:6" x14ac:dyDescent="0.75">
      <c r="A60">
        <v>9</v>
      </c>
      <c r="B60" s="1">
        <v>46112</v>
      </c>
      <c r="C60" s="2" t="s">
        <v>47</v>
      </c>
      <c r="D60" s="3" t="s">
        <v>48</v>
      </c>
      <c r="E60" s="4">
        <v>5000</v>
      </c>
    </row>
    <row r="62" spans="1:6" x14ac:dyDescent="0.75">
      <c r="D62" s="8" t="s">
        <v>26</v>
      </c>
      <c r="E62" s="9">
        <v>26750.800000000003</v>
      </c>
    </row>
    <row r="65" spans="1:6" x14ac:dyDescent="0.75">
      <c r="B65" s="7" t="s">
        <v>49</v>
      </c>
    </row>
    <row r="67" spans="1:6" x14ac:dyDescent="0.75">
      <c r="A67" t="s">
        <v>18</v>
      </c>
      <c r="B67" s="1" t="s">
        <v>14</v>
      </c>
      <c r="C67" s="2" t="s">
        <v>15</v>
      </c>
      <c r="E67" s="4" t="s">
        <v>50</v>
      </c>
    </row>
    <row r="68" spans="1:6" x14ac:dyDescent="0.75">
      <c r="A68">
        <v>1</v>
      </c>
      <c r="B68" s="1">
        <v>46051</v>
      </c>
      <c r="C68" s="2" t="s">
        <v>51</v>
      </c>
      <c r="E68" s="4">
        <v>-5000</v>
      </c>
      <c r="F68" s="4" t="s">
        <v>33</v>
      </c>
    </row>
    <row r="69" spans="1:6" x14ac:dyDescent="0.75">
      <c r="A69">
        <v>5</v>
      </c>
      <c r="B69" s="1">
        <v>46080</v>
      </c>
      <c r="C69" s="2" t="s">
        <v>52</v>
      </c>
      <c r="E69" s="4">
        <v>-5000</v>
      </c>
      <c r="F69" s="4" t="s">
        <v>33</v>
      </c>
    </row>
    <row r="70" spans="1:6" x14ac:dyDescent="0.75">
      <c r="A70">
        <v>6</v>
      </c>
      <c r="B70" s="1">
        <v>46107</v>
      </c>
      <c r="C70" s="2" t="s">
        <v>53</v>
      </c>
      <c r="E70" s="4">
        <v>-5000</v>
      </c>
      <c r="F70" s="4" t="s">
        <v>33</v>
      </c>
    </row>
    <row r="71" spans="1:6" ht="44.25" x14ac:dyDescent="0.75">
      <c r="A71">
        <v>2</v>
      </c>
      <c r="B71" s="1">
        <v>46063</v>
      </c>
      <c r="C71" s="11" t="s">
        <v>54</v>
      </c>
      <c r="E71" s="4">
        <v>-975.2</v>
      </c>
      <c r="F71" s="4" t="s">
        <v>33</v>
      </c>
    </row>
    <row r="72" spans="1:6" ht="44.25" x14ac:dyDescent="0.75">
      <c r="A72">
        <v>3</v>
      </c>
      <c r="B72" s="1">
        <v>46073</v>
      </c>
      <c r="C72" s="11" t="s">
        <v>55</v>
      </c>
      <c r="E72" s="4">
        <v>-950</v>
      </c>
      <c r="F72" s="4" t="s">
        <v>33</v>
      </c>
    </row>
    <row r="73" spans="1:6" ht="44.25" x14ac:dyDescent="0.75">
      <c r="A73">
        <v>4</v>
      </c>
      <c r="B73" s="1">
        <v>46073</v>
      </c>
      <c r="C73" s="11" t="s">
        <v>56</v>
      </c>
      <c r="E73" s="4">
        <v>-950</v>
      </c>
    </row>
    <row r="75" spans="1:6" x14ac:dyDescent="0.75">
      <c r="D75" s="8" t="s">
        <v>26</v>
      </c>
      <c r="E75" s="9">
        <v>-17875.2</v>
      </c>
      <c r="F75" s="4">
        <v>16875.860000000004</v>
      </c>
    </row>
    <row r="76" spans="1:6" x14ac:dyDescent="0.75">
      <c r="F76" s="4">
        <v>1767.4299999999967</v>
      </c>
    </row>
    <row r="79" spans="1:6" x14ac:dyDescent="0.75">
      <c r="B79" s="7" t="s">
        <v>57</v>
      </c>
    </row>
    <row r="82" spans="1:5" x14ac:dyDescent="0.75">
      <c r="A82" t="s">
        <v>18</v>
      </c>
      <c r="B82" s="1" t="s">
        <v>14</v>
      </c>
      <c r="C82" s="2" t="s">
        <v>15</v>
      </c>
      <c r="E82" s="4" t="s">
        <v>50</v>
      </c>
    </row>
    <row r="83" spans="1:5" x14ac:dyDescent="0.75">
      <c r="A83">
        <v>14</v>
      </c>
      <c r="B83" s="1">
        <v>46052</v>
      </c>
      <c r="C83" s="2" t="s">
        <v>58</v>
      </c>
      <c r="E83" s="4">
        <v>48</v>
      </c>
    </row>
    <row r="84" spans="1:5" x14ac:dyDescent="0.75">
      <c r="A84">
        <v>19</v>
      </c>
      <c r="B84" s="1">
        <v>46080</v>
      </c>
      <c r="C84" s="2" t="s">
        <v>58</v>
      </c>
      <c r="E84" s="4">
        <v>48</v>
      </c>
    </row>
    <row r="85" spans="1:5" x14ac:dyDescent="0.75">
      <c r="A85">
        <v>25</v>
      </c>
      <c r="B85" s="1">
        <v>46112</v>
      </c>
      <c r="C85" s="2" t="s">
        <v>59</v>
      </c>
      <c r="E85" s="4">
        <v>48</v>
      </c>
    </row>
    <row r="86" spans="1:5" ht="29.5" x14ac:dyDescent="0.75">
      <c r="A86">
        <v>4</v>
      </c>
      <c r="B86" s="1">
        <v>46029</v>
      </c>
      <c r="C86" s="11" t="s">
        <v>60</v>
      </c>
      <c r="E86" s="4">
        <v>50</v>
      </c>
    </row>
    <row r="87" spans="1:5" x14ac:dyDescent="0.75">
      <c r="A87">
        <v>2</v>
      </c>
      <c r="B87" s="1">
        <v>46028</v>
      </c>
      <c r="C87" s="2" t="s">
        <v>61</v>
      </c>
      <c r="E87" s="4">
        <v>188</v>
      </c>
    </row>
    <row r="88" spans="1:5" x14ac:dyDescent="0.75">
      <c r="A88">
        <v>9</v>
      </c>
      <c r="B88" s="1">
        <v>46041</v>
      </c>
      <c r="C88" s="2" t="s">
        <v>62</v>
      </c>
      <c r="E88" s="4">
        <v>848</v>
      </c>
    </row>
    <row r="89" spans="1:5" x14ac:dyDescent="0.75">
      <c r="A89">
        <v>11</v>
      </c>
      <c r="B89" s="1">
        <v>46048</v>
      </c>
      <c r="C89" s="2" t="s">
        <v>63</v>
      </c>
      <c r="E89" s="4">
        <v>1018</v>
      </c>
    </row>
    <row r="90" spans="1:5" x14ac:dyDescent="0.75">
      <c r="A90">
        <v>1</v>
      </c>
      <c r="B90" s="1">
        <v>46027</v>
      </c>
      <c r="C90" s="2" t="s">
        <v>64</v>
      </c>
      <c r="E90" s="4">
        <v>1260</v>
      </c>
    </row>
    <row r="91" spans="1:5" x14ac:dyDescent="0.75">
      <c r="A91">
        <v>23</v>
      </c>
      <c r="B91" s="1">
        <v>46106</v>
      </c>
      <c r="C91" s="2" t="s">
        <v>65</v>
      </c>
      <c r="E91" s="4">
        <v>1320</v>
      </c>
    </row>
    <row r="92" spans="1:5" x14ac:dyDescent="0.75">
      <c r="A92">
        <v>20</v>
      </c>
      <c r="B92" s="1">
        <v>46097</v>
      </c>
      <c r="C92" s="2" t="s">
        <v>66</v>
      </c>
      <c r="E92" s="4">
        <v>2393.17</v>
      </c>
    </row>
    <row r="93" spans="1:5" ht="29.5" x14ac:dyDescent="0.75">
      <c r="A93">
        <v>10</v>
      </c>
      <c r="B93" s="1">
        <v>46043</v>
      </c>
      <c r="C93" s="11" t="s">
        <v>67</v>
      </c>
      <c r="E93" s="4">
        <v>2451.44</v>
      </c>
    </row>
    <row r="94" spans="1:5" ht="44.25" x14ac:dyDescent="0.75">
      <c r="A94">
        <v>16</v>
      </c>
      <c r="B94" s="1">
        <v>46073</v>
      </c>
      <c r="C94" s="11" t="s">
        <v>68</v>
      </c>
      <c r="E94" s="4">
        <v>2451.44</v>
      </c>
    </row>
    <row r="95" spans="1:5" x14ac:dyDescent="0.75">
      <c r="A95">
        <v>22</v>
      </c>
      <c r="B95" s="1">
        <v>46105</v>
      </c>
      <c r="C95" s="2" t="s">
        <v>69</v>
      </c>
      <c r="E95" s="4">
        <v>2451.44</v>
      </c>
    </row>
    <row r="96" spans="1:5" ht="44.25" x14ac:dyDescent="0.75">
      <c r="A96">
        <v>5</v>
      </c>
      <c r="B96" s="1">
        <v>46034</v>
      </c>
      <c r="C96" s="11" t="s">
        <v>70</v>
      </c>
      <c r="E96" s="4">
        <v>2817.34</v>
      </c>
    </row>
    <row r="97" spans="1:8" ht="29.5" x14ac:dyDescent="0.75">
      <c r="A97">
        <v>7</v>
      </c>
      <c r="B97" s="1">
        <v>46037</v>
      </c>
      <c r="C97" s="11" t="s">
        <v>71</v>
      </c>
      <c r="E97" s="4">
        <v>2926.83</v>
      </c>
    </row>
    <row r="98" spans="1:8" ht="29.5" x14ac:dyDescent="0.75">
      <c r="A98">
        <v>6</v>
      </c>
      <c r="B98" s="1">
        <v>46037</v>
      </c>
      <c r="C98" s="11" t="s">
        <v>72</v>
      </c>
      <c r="E98" s="4">
        <v>3460.05</v>
      </c>
    </row>
    <row r="99" spans="1:8" x14ac:dyDescent="0.75">
      <c r="A99">
        <v>17</v>
      </c>
      <c r="B99" s="1">
        <v>46078</v>
      </c>
      <c r="C99" s="2" t="s">
        <v>73</v>
      </c>
      <c r="E99" s="4">
        <v>3467.81</v>
      </c>
    </row>
    <row r="100" spans="1:8" x14ac:dyDescent="0.75">
      <c r="A100">
        <v>3</v>
      </c>
      <c r="B100" s="1">
        <v>46029</v>
      </c>
      <c r="C100" s="2" t="s">
        <v>74</v>
      </c>
      <c r="E100" s="4">
        <v>4591</v>
      </c>
    </row>
    <row r="101" spans="1:8" x14ac:dyDescent="0.75">
      <c r="A101">
        <v>13</v>
      </c>
      <c r="B101" s="1">
        <v>46051</v>
      </c>
      <c r="C101" s="2" t="s">
        <v>75</v>
      </c>
      <c r="E101" s="4">
        <v>11100</v>
      </c>
    </row>
    <row r="102" spans="1:8" ht="29.5" x14ac:dyDescent="0.75">
      <c r="A102">
        <v>15</v>
      </c>
      <c r="B102" s="1">
        <v>46065</v>
      </c>
      <c r="C102" s="11" t="s">
        <v>76</v>
      </c>
      <c r="E102" s="4">
        <v>13140.5</v>
      </c>
    </row>
    <row r="103" spans="1:8" x14ac:dyDescent="0.75">
      <c r="A103">
        <v>21</v>
      </c>
      <c r="B103" s="1">
        <v>46097</v>
      </c>
      <c r="C103" s="2" t="s">
        <v>77</v>
      </c>
      <c r="E103" s="4">
        <v>13823.01</v>
      </c>
    </row>
    <row r="104" spans="1:8" x14ac:dyDescent="0.75">
      <c r="A104">
        <v>8</v>
      </c>
      <c r="B104" s="1">
        <v>46037</v>
      </c>
      <c r="C104" s="2" t="s">
        <v>78</v>
      </c>
      <c r="E104" s="4">
        <v>16905.14</v>
      </c>
    </row>
    <row r="105" spans="1:8" ht="29.5" x14ac:dyDescent="0.75">
      <c r="A105">
        <v>18</v>
      </c>
      <c r="B105" s="1">
        <v>46080</v>
      </c>
      <c r="C105" s="11" t="s">
        <v>76</v>
      </c>
      <c r="E105" s="4">
        <v>84283.93</v>
      </c>
    </row>
    <row r="106" spans="1:8" x14ac:dyDescent="0.75">
      <c r="A106">
        <v>24</v>
      </c>
      <c r="B106" s="1">
        <v>46107</v>
      </c>
      <c r="C106" s="2" t="s">
        <v>79</v>
      </c>
      <c r="E106" s="4">
        <v>96059.44</v>
      </c>
    </row>
    <row r="107" spans="1:8" ht="29.5" x14ac:dyDescent="0.75">
      <c r="A107">
        <v>12</v>
      </c>
      <c r="B107" s="1">
        <v>46050</v>
      </c>
      <c r="C107" s="11" t="s">
        <v>76</v>
      </c>
      <c r="E107" s="4">
        <v>106904.16</v>
      </c>
    </row>
    <row r="109" spans="1:8" x14ac:dyDescent="0.75">
      <c r="D109" s="8" t="s">
        <v>26</v>
      </c>
      <c r="E109" s="9">
        <v>374054.7</v>
      </c>
      <c r="G109" s="10">
        <f>E109+E118+E123-E73</f>
        <v>381219.59</v>
      </c>
      <c r="H109" s="6" t="s">
        <v>27</v>
      </c>
    </row>
    <row r="113" spans="1:6" x14ac:dyDescent="0.75">
      <c r="B113" s="7" t="s">
        <v>49</v>
      </c>
    </row>
    <row r="116" spans="1:6" x14ac:dyDescent="0.75">
      <c r="A116" t="s">
        <v>18</v>
      </c>
      <c r="B116" s="1" t="s">
        <v>14</v>
      </c>
      <c r="C116" s="2" t="s">
        <v>15</v>
      </c>
      <c r="E116" s="4" t="s">
        <v>50</v>
      </c>
    </row>
    <row r="117" spans="1:6" x14ac:dyDescent="0.75">
      <c r="A117">
        <v>1</v>
      </c>
      <c r="B117" s="1">
        <v>46029</v>
      </c>
      <c r="C117" s="2" t="s">
        <v>80</v>
      </c>
      <c r="E117" s="4">
        <v>3000</v>
      </c>
      <c r="F117" s="4" t="s">
        <v>33</v>
      </c>
    </row>
    <row r="118" spans="1:6" x14ac:dyDescent="0.75">
      <c r="A118">
        <v>3</v>
      </c>
      <c r="B118" s="1">
        <v>46051</v>
      </c>
      <c r="C118" s="2" t="s">
        <v>81</v>
      </c>
      <c r="E118" s="4">
        <v>3000</v>
      </c>
    </row>
    <row r="119" spans="1:6" x14ac:dyDescent="0.75">
      <c r="A119">
        <v>4</v>
      </c>
      <c r="B119" s="1">
        <v>46052</v>
      </c>
      <c r="C119" s="2" t="s">
        <v>82</v>
      </c>
      <c r="E119" s="4">
        <v>3000</v>
      </c>
      <c r="F119" s="4" t="s">
        <v>33</v>
      </c>
    </row>
    <row r="120" spans="1:6" x14ac:dyDescent="0.75">
      <c r="A120">
        <v>5</v>
      </c>
      <c r="B120" s="1">
        <v>46083</v>
      </c>
      <c r="C120" s="2" t="s">
        <v>83</v>
      </c>
      <c r="E120" s="4">
        <v>3000</v>
      </c>
      <c r="F120" s="4" t="s">
        <v>33</v>
      </c>
    </row>
    <row r="121" spans="1:6" x14ac:dyDescent="0.75">
      <c r="A121">
        <v>7</v>
      </c>
      <c r="B121" s="1">
        <v>46107</v>
      </c>
      <c r="C121" s="2" t="s">
        <v>84</v>
      </c>
      <c r="E121" s="4">
        <v>3000</v>
      </c>
      <c r="F121" s="4" t="s">
        <v>33</v>
      </c>
    </row>
    <row r="122" spans="1:6" ht="29.5" x14ac:dyDescent="0.75">
      <c r="A122">
        <v>2</v>
      </c>
      <c r="B122" s="1">
        <v>46038</v>
      </c>
      <c r="C122" s="11" t="s">
        <v>85</v>
      </c>
      <c r="E122" s="4">
        <v>3214.89</v>
      </c>
      <c r="F122" s="4" t="s">
        <v>33</v>
      </c>
    </row>
    <row r="123" spans="1:6" ht="29.5" x14ac:dyDescent="0.75">
      <c r="A123">
        <v>6</v>
      </c>
      <c r="B123" s="1">
        <v>46098</v>
      </c>
      <c r="C123" s="11" t="s">
        <v>86</v>
      </c>
      <c r="E123" s="4">
        <v>3214.89</v>
      </c>
    </row>
    <row r="125" spans="1:6" x14ac:dyDescent="0.75">
      <c r="D125" s="8" t="s">
        <v>26</v>
      </c>
      <c r="E125" s="9">
        <v>21429.78</v>
      </c>
    </row>
    <row r="127" spans="1:6" x14ac:dyDescent="0.75">
      <c r="B127" s="7" t="s">
        <v>28</v>
      </c>
    </row>
    <row r="130" spans="1:6" x14ac:dyDescent="0.75">
      <c r="A130" t="s">
        <v>18</v>
      </c>
      <c r="B130" s="1" t="s">
        <v>6</v>
      </c>
      <c r="C130" s="2" t="s">
        <v>87</v>
      </c>
      <c r="D130" s="3" t="s">
        <v>88</v>
      </c>
      <c r="E130" s="4" t="s">
        <v>20</v>
      </c>
    </row>
    <row r="131" spans="1:6" x14ac:dyDescent="0.75">
      <c r="A131">
        <v>1</v>
      </c>
      <c r="B131" s="1">
        <v>46036</v>
      </c>
      <c r="C131" s="2" t="s">
        <v>89</v>
      </c>
      <c r="D131" s="3" t="s">
        <v>90</v>
      </c>
      <c r="E131" s="4">
        <v>-3214.89</v>
      </c>
      <c r="F131" s="4" t="s">
        <v>33</v>
      </c>
    </row>
    <row r="132" spans="1:6" x14ac:dyDescent="0.75">
      <c r="A132">
        <v>2</v>
      </c>
      <c r="B132" s="1">
        <v>46048</v>
      </c>
      <c r="C132" s="2" t="s">
        <v>91</v>
      </c>
      <c r="D132" s="3" t="s">
        <v>92</v>
      </c>
      <c r="E132" s="4">
        <v>-3000</v>
      </c>
      <c r="F132" s="4" t="s">
        <v>33</v>
      </c>
    </row>
    <row r="133" spans="1:6" x14ac:dyDescent="0.75">
      <c r="A133">
        <v>3</v>
      </c>
      <c r="B133" s="1">
        <v>46077</v>
      </c>
      <c r="C133" s="2" t="s">
        <v>93</v>
      </c>
      <c r="D133" s="3" t="s">
        <v>94</v>
      </c>
      <c r="E133" s="4">
        <v>-3000</v>
      </c>
      <c r="F133" s="4" t="s">
        <v>33</v>
      </c>
    </row>
    <row r="134" spans="1:6" x14ac:dyDescent="0.75">
      <c r="A134">
        <v>4</v>
      </c>
      <c r="B134" s="1">
        <v>46105</v>
      </c>
      <c r="C134" s="2" t="s">
        <v>93</v>
      </c>
      <c r="D134" s="3" t="s">
        <v>95</v>
      </c>
      <c r="E134" s="4">
        <v>-3000</v>
      </c>
      <c r="F134" s="4" t="s">
        <v>33</v>
      </c>
    </row>
    <row r="135" spans="1:6" x14ac:dyDescent="0.75">
      <c r="A135">
        <v>5</v>
      </c>
      <c r="B135" s="1">
        <v>46009</v>
      </c>
      <c r="D135" s="3">
        <v>925945</v>
      </c>
      <c r="E135" s="4">
        <v>-3000</v>
      </c>
      <c r="F135" s="4" t="s">
        <v>33</v>
      </c>
    </row>
    <row r="137" spans="1:6" x14ac:dyDescent="0.75">
      <c r="D137" s="8" t="s">
        <v>26</v>
      </c>
      <c r="E137" s="9">
        <v>-15214.89</v>
      </c>
    </row>
    <row r="138" spans="1:6" x14ac:dyDescent="0.75">
      <c r="F138" s="4">
        <v>380269.58999999997</v>
      </c>
    </row>
    <row r="139" spans="1:6" x14ac:dyDescent="0.75">
      <c r="F139" s="4">
        <v>382037.01999999996</v>
      </c>
    </row>
    <row r="142" spans="1:6" x14ac:dyDescent="0.75">
      <c r="B142" s="7" t="s">
        <v>96</v>
      </c>
    </row>
    <row r="143" spans="1:6" x14ac:dyDescent="0.75">
      <c r="A143" t="s">
        <v>18</v>
      </c>
      <c r="B143" s="1" t="s">
        <v>14</v>
      </c>
      <c r="C143" s="2" t="s">
        <v>15</v>
      </c>
      <c r="E143" s="4" t="s">
        <v>16</v>
      </c>
    </row>
    <row r="144" spans="1:6" ht="59" x14ac:dyDescent="0.75">
      <c r="A144">
        <v>1</v>
      </c>
      <c r="B144" s="1">
        <v>46044</v>
      </c>
      <c r="C144" s="11" t="s">
        <v>97</v>
      </c>
      <c r="E144" s="4">
        <v>12.23</v>
      </c>
    </row>
    <row r="145" spans="1:6" x14ac:dyDescent="0.75">
      <c r="A145">
        <v>2</v>
      </c>
      <c r="B145" s="1">
        <v>46086</v>
      </c>
      <c r="C145" s="2" t="s">
        <v>98</v>
      </c>
      <c r="E145" s="4">
        <v>3467.5</v>
      </c>
    </row>
    <row r="147" spans="1:6" x14ac:dyDescent="0.75">
      <c r="D147" s="8" t="s">
        <v>26</v>
      </c>
      <c r="E147" s="12">
        <v>3479.73</v>
      </c>
      <c r="F147" s="6" t="s">
        <v>4</v>
      </c>
    </row>
    <row r="151" spans="1:6" x14ac:dyDescent="0.75">
      <c r="B151" s="7" t="s">
        <v>13</v>
      </c>
    </row>
    <row r="154" spans="1:6" x14ac:dyDescent="0.75">
      <c r="B154" s="1" t="s">
        <v>14</v>
      </c>
      <c r="C154" s="2" t="s">
        <v>15</v>
      </c>
      <c r="E154" s="4" t="s">
        <v>16</v>
      </c>
    </row>
    <row r="159" spans="1:6" x14ac:dyDescent="0.75">
      <c r="B159" s="7" t="s">
        <v>10</v>
      </c>
    </row>
    <row r="162" spans="2:7" x14ac:dyDescent="0.75">
      <c r="B162" s="1" t="s">
        <v>6</v>
      </c>
      <c r="C162" s="2" t="s">
        <v>87</v>
      </c>
      <c r="E162" s="4" t="s">
        <v>9</v>
      </c>
    </row>
    <row r="166" spans="2:7" x14ac:dyDescent="0.75">
      <c r="F166" s="4">
        <v>3479.73</v>
      </c>
    </row>
    <row r="167" spans="2:7" ht="15.5" thickBot="1" x14ac:dyDescent="0.9">
      <c r="B167" s="1" t="s">
        <v>99</v>
      </c>
      <c r="F167" s="13">
        <v>378557.29</v>
      </c>
      <c r="G167" s="6" t="s">
        <v>4</v>
      </c>
    </row>
    <row r="168" spans="2:7" ht="15.5" thickTop="1" x14ac:dyDescent="0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2026-06-10T14:50:02Z</dcterms:modified>
</cp:coreProperties>
</file>