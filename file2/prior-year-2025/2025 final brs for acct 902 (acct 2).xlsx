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FF84C88F-78A1-41BC-AE94-ED3847F8F56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FINAL B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3" l="1"/>
  <c r="F17" i="3"/>
</calcChain>
</file>

<file path=xl/sharedStrings.xml><?xml version="1.0" encoding="utf-8"?>
<sst xmlns="http://schemas.openxmlformats.org/spreadsheetml/2006/main" count="18" uniqueCount="18">
  <si>
    <t>LORDSHIP INSURANCE COMPANY LIMITED</t>
  </si>
  <si>
    <t>BANK RECONCILIATION STATEMENT AS AT 31-DECEMBER-2025</t>
  </si>
  <si>
    <t>ECOBANK TESANO ACCOUNT NO: 1441001519035</t>
  </si>
  <si>
    <t>CLOSING BALANCE PER BANK STATEMENT</t>
  </si>
  <si>
    <t xml:space="preserve">UNPRESENTED CHEQUES </t>
  </si>
  <si>
    <t>DATE</t>
  </si>
  <si>
    <t>NAME - DETAILS</t>
  </si>
  <si>
    <t>CHQ NO</t>
  </si>
  <si>
    <t>AMT PAID</t>
  </si>
  <si>
    <t xml:space="preserve"> -  / Payment of finders fees for Cocoa Marketing business</t>
  </si>
  <si>
    <t>002059</t>
  </si>
  <si>
    <t xml:space="preserve"> - GM / Payment of finders fees - GM</t>
  </si>
  <si>
    <t>002065</t>
  </si>
  <si>
    <t xml:space="preserve"> - Helina Yeboah / Payment of finders fees - Helina</t>
  </si>
  <si>
    <t>002066</t>
  </si>
  <si>
    <t xml:space="preserve">BALANCE PER CASH BOOK AT END OF THE PERIOD </t>
  </si>
  <si>
    <t>***NOTE:</t>
  </si>
  <si>
    <t>Please fill in the blank chq numbers and identify the stale chqs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</si>
</sst>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165" fontId="0" fillId="0" borderId="0" xfId="0" applyNumberFormat="1" applyAlignment="1">
      <alignment horizontal="center"/>
    </xf>
    <xf numFmtId="165" fontId="0" fillId="0" borderId="1" xfId="0" applyNumberFormat="1" applyBorder="1"/>
    <xf numFmtId="165" fontId="0" fillId="0" borderId="2" xfId="0" applyNumberFormat="1" applyBorder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16CB-7D5A-4335-B9F3-3799D3A2D3E0}">
  <dimension ref="A3:F60"/>
  <sheetViews>
    <sheetView tabSelected="1" topLeftCell="A11" workbookViewId="0">
      <selection activeCell="D21" sqref="D21"/>
    </sheetView>
  </sheetViews>
  <sheetFormatPr defaultRowHeight="14.75" x14ac:dyDescent="0.75"/>
  <cols>
    <col min="1" max="1" width="8.7265625" style="1"/>
    <col min="2" max="2" width="13.1328125" style="2" customWidth="1"/>
    <col min="3" max="3" width="78.7265625" style="3" customWidth="1"/>
    <col min="4" max="4" width="9.26953125" style="4" customWidth="1"/>
    <col min="5" max="5" width="14.40625" style="5" customWidth="1"/>
    <col min="6" max="6" width="17.26953125" style="5" customWidth="1"/>
    <col min="7" max="7" width="10.86328125" customWidth="1"/>
  </cols>
  <sheetData>
    <row r="3" spans="2:6" x14ac:dyDescent="0.75">
      <c r="B3" s="2" t="s">
        <v>0</v>
      </c>
    </row>
    <row r="5" spans="2:6" x14ac:dyDescent="0.75">
      <c r="B5" s="2" t="s">
        <v>1</v>
      </c>
    </row>
    <row r="6" spans="2:6" x14ac:dyDescent="0.75">
      <c r="B6" s="2" t="s">
        <v>2</v>
      </c>
    </row>
    <row r="8" spans="2:6" x14ac:dyDescent="0.75">
      <c r="B8" s="2" t="s">
        <v>3</v>
      </c>
      <c r="F8" s="5">
        <v>34122.050000000003</v>
      </c>
    </row>
    <row r="11" spans="2:6" x14ac:dyDescent="0.75">
      <c r="B11" s="6" t="s">
        <v>4</v>
      </c>
    </row>
    <row r="13" spans="2:6" x14ac:dyDescent="0.75">
      <c r="B13" s="2" t="s">
        <v>5</v>
      </c>
      <c r="C13" s="3" t="s">
        <v>6</v>
      </c>
      <c r="D13" s="4" t="s">
        <v>7</v>
      </c>
      <c r="E13" s="7" t="s">
        <v>8</v>
      </c>
    </row>
    <row r="14" spans="2:6" x14ac:dyDescent="0.75">
      <c r="B14" s="2">
        <v>46013</v>
      </c>
      <c r="C14" s="3" t="s">
        <v>9</v>
      </c>
      <c r="D14" s="4" t="s">
        <v>10</v>
      </c>
      <c r="E14" s="5">
        <v>9978.2099999999991</v>
      </c>
    </row>
    <row r="15" spans="2:6" x14ac:dyDescent="0.75">
      <c r="B15" s="2">
        <v>46022</v>
      </c>
      <c r="C15" s="3" t="s">
        <v>11</v>
      </c>
      <c r="D15" s="4" t="s">
        <v>12</v>
      </c>
      <c r="E15" s="5">
        <v>7605</v>
      </c>
    </row>
    <row r="16" spans="2:6" x14ac:dyDescent="0.75">
      <c r="B16" s="2">
        <v>46022</v>
      </c>
      <c r="C16" s="3" t="s">
        <v>13</v>
      </c>
      <c r="D16" s="4" t="s">
        <v>14</v>
      </c>
      <c r="E16" s="8">
        <v>1327.31</v>
      </c>
    </row>
    <row r="17" spans="1:6" x14ac:dyDescent="0.75">
      <c r="F17" s="5">
        <f>SUM(E14:E16)</f>
        <v>18910.52</v>
      </c>
    </row>
    <row r="18" spans="1:6" ht="15.5" thickBot="1" x14ac:dyDescent="0.9">
      <c r="B18" s="2" t="s">
        <v>15</v>
      </c>
      <c r="F18" s="9">
        <f>F8-F17</f>
        <v>15211.530000000002</v>
      </c>
    </row>
    <row r="19" spans="1:6" ht="15.5" thickTop="1" x14ac:dyDescent="0.75"/>
    <row r="22" spans="1:6" x14ac:dyDescent="0.75">
      <c r="C22" s="10" t="s">
        <v>16</v>
      </c>
    </row>
    <row r="23" spans="1:6" x14ac:dyDescent="0.75">
      <c r="A23"/>
      <c r="B23"/>
      <c r="C23" s="11" t="s">
        <v>17</v>
      </c>
      <c r="D23"/>
      <c r="E23"/>
      <c r="F23"/>
    </row>
    <row r="24" spans="1:6" x14ac:dyDescent="0.75">
      <c r="A24"/>
      <c r="B24"/>
      <c r="C24"/>
      <c r="D24"/>
      <c r="E24"/>
      <c r="F24"/>
    </row>
    <row r="25" spans="1:6" x14ac:dyDescent="0.75">
      <c r="A25"/>
      <c r="B25"/>
      <c r="C25"/>
      <c r="D25"/>
      <c r="E25"/>
      <c r="F25"/>
    </row>
    <row r="26" spans="1:6" x14ac:dyDescent="0.75">
      <c r="A26"/>
      <c r="B26"/>
      <c r="C26"/>
      <c r="D26"/>
      <c r="E26"/>
      <c r="F26"/>
    </row>
    <row r="27" spans="1:6" x14ac:dyDescent="0.75">
      <c r="A27"/>
      <c r="B27"/>
      <c r="C27"/>
      <c r="D27"/>
      <c r="E27"/>
      <c r="F27"/>
    </row>
    <row r="28" spans="1:6" x14ac:dyDescent="0.75">
      <c r="A28"/>
      <c r="B28"/>
      <c r="C28"/>
      <c r="D28"/>
      <c r="E28"/>
      <c r="F28"/>
    </row>
    <row r="29" spans="1:6" x14ac:dyDescent="0.75">
      <c r="A29"/>
      <c r="B29"/>
      <c r="C29"/>
      <c r="D29"/>
      <c r="E29"/>
      <c r="F29"/>
    </row>
    <row r="30" spans="1:6" x14ac:dyDescent="0.75">
      <c r="A30"/>
      <c r="B30"/>
      <c r="C30"/>
      <c r="D30"/>
      <c r="E30"/>
      <c r="F30"/>
    </row>
    <row r="31" spans="1:6" x14ac:dyDescent="0.75">
      <c r="A31"/>
      <c r="B31"/>
      <c r="C31"/>
      <c r="D31"/>
      <c r="E31"/>
      <c r="F31"/>
    </row>
    <row r="32" spans="1:6" x14ac:dyDescent="0.75">
      <c r="A32"/>
      <c r="B32"/>
      <c r="C32"/>
      <c r="D32"/>
      <c r="E32"/>
      <c r="F32"/>
    </row>
    <row r="33" customFormat="1" x14ac:dyDescent="0.75"/>
    <row r="34" customFormat="1" x14ac:dyDescent="0.75"/>
    <row r="35" customFormat="1" x14ac:dyDescent="0.75"/>
    <row r="36" customFormat="1" x14ac:dyDescent="0.75"/>
    <row r="37" customFormat="1" x14ac:dyDescent="0.75"/>
    <row r="38" customFormat="1" x14ac:dyDescent="0.75"/>
    <row r="39" customFormat="1" x14ac:dyDescent="0.75"/>
    <row r="40" customFormat="1" x14ac:dyDescent="0.75"/>
    <row r="41" customFormat="1" x14ac:dyDescent="0.75"/>
    <row r="42" customFormat="1" x14ac:dyDescent="0.75"/>
    <row r="43" customFormat="1" x14ac:dyDescent="0.75"/>
    <row r="44" customFormat="1" x14ac:dyDescent="0.75"/>
    <row r="45" customFormat="1" x14ac:dyDescent="0.75"/>
    <row r="46" customFormat="1" x14ac:dyDescent="0.75"/>
    <row r="47" customFormat="1" x14ac:dyDescent="0.75"/>
    <row r="48" customFormat="1" x14ac:dyDescent="0.75"/>
    <row r="49" customFormat="1" x14ac:dyDescent="0.75"/>
    <row r="50" customFormat="1" x14ac:dyDescent="0.75"/>
    <row r="51" customFormat="1" x14ac:dyDescent="0.75"/>
    <row r="52" customFormat="1" x14ac:dyDescent="0.75"/>
    <row r="53" customFormat="1" x14ac:dyDescent="0.75"/>
    <row r="54" customFormat="1" x14ac:dyDescent="0.75"/>
    <row r="55" customFormat="1" x14ac:dyDescent="0.75"/>
    <row r="56" customFormat="1" x14ac:dyDescent="0.75"/>
    <row r="57" customFormat="1" x14ac:dyDescent="0.75"/>
    <row r="58" customFormat="1" x14ac:dyDescent="0.75"/>
    <row r="59" customFormat="1" x14ac:dyDescent="0.75"/>
    <row r="60" customFormat="1" x14ac:dyDescent="0.75"/>
  </sheetData>
  <sortState xmlns:xlrd2="http://schemas.microsoft.com/office/spreadsheetml/2017/richdata2" ref="A14:F16">
    <sortCondition ref="F14:F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2026-05-25T13:53:08Z</dcterms:modified>
</cp:coreProperties>
</file>