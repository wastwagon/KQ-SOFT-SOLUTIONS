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ensa\Desktop\GilbertAmidu\Parsed files 26.8.2026 SCB\"/>
    </mc:Choice>
  </mc:AlternateContent>
  <xr:revisionPtr revIDLastSave="0" documentId="13_ncr:1_{2DBE38EC-8A9D-4403-A096-795C31617883}" xr6:coauthVersionLast="47" xr6:coauthVersionMax="47" xr10:uidLastSave="{00000000-0000-0000-0000-000000000000}"/>
  <bookViews>
    <workbookView xWindow="-90" yWindow="-90" windowWidth="19380" windowHeight="10260" activeTab="1" xr2:uid="{00000000-000D-0000-FFFF-FFFF0000000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3" i="2" l="1"/>
  <c r="J793" i="2" s="1"/>
  <c r="I792" i="2"/>
  <c r="J792" i="2" s="1"/>
  <c r="I791" i="2"/>
  <c r="J791" i="2" s="1"/>
  <c r="I790" i="2"/>
  <c r="J790" i="2" s="1"/>
  <c r="I789" i="2"/>
  <c r="J789" i="2" s="1"/>
  <c r="I788" i="2"/>
  <c r="J788" i="2" s="1"/>
  <c r="I787" i="2"/>
  <c r="J787" i="2" s="1"/>
  <c r="I786" i="2"/>
  <c r="J786" i="2" s="1"/>
  <c r="I785" i="2"/>
  <c r="J785" i="2" s="1"/>
  <c r="I784" i="2"/>
  <c r="J784" i="2" s="1"/>
  <c r="I783" i="2"/>
  <c r="J783" i="2" s="1"/>
  <c r="I782" i="2"/>
  <c r="J782" i="2" s="1"/>
  <c r="I781" i="2"/>
  <c r="J781" i="2" s="1"/>
  <c r="I780" i="2"/>
  <c r="J780" i="2" s="1"/>
  <c r="I779" i="2"/>
  <c r="J779" i="2" s="1"/>
  <c r="I778" i="2"/>
  <c r="J778" i="2" s="1"/>
  <c r="I777" i="2"/>
  <c r="J777" i="2" s="1"/>
  <c r="I776" i="2"/>
  <c r="J776" i="2" s="1"/>
  <c r="I775" i="2"/>
  <c r="J775" i="2" s="1"/>
  <c r="I774" i="2"/>
  <c r="J774" i="2" s="1"/>
  <c r="I773" i="2"/>
  <c r="J773" i="2" s="1"/>
  <c r="I772" i="2"/>
  <c r="J772" i="2" s="1"/>
  <c r="I771" i="2"/>
  <c r="J771" i="2" s="1"/>
  <c r="I770" i="2"/>
  <c r="J770" i="2" s="1"/>
  <c r="I769" i="2"/>
  <c r="J769" i="2" s="1"/>
  <c r="I768" i="2"/>
  <c r="J768" i="2" s="1"/>
  <c r="I767" i="2"/>
  <c r="J767" i="2" s="1"/>
  <c r="I766" i="2"/>
  <c r="J766" i="2" s="1"/>
  <c r="I765" i="2"/>
  <c r="J765" i="2" s="1"/>
  <c r="I764" i="2"/>
  <c r="J764" i="2" s="1"/>
  <c r="I763" i="2"/>
  <c r="J763" i="2" s="1"/>
  <c r="I762" i="2"/>
  <c r="J762" i="2" s="1"/>
  <c r="I761" i="2"/>
  <c r="J761" i="2" s="1"/>
  <c r="I760" i="2"/>
  <c r="J760" i="2" s="1"/>
  <c r="I759" i="2"/>
  <c r="J759" i="2" s="1"/>
  <c r="I758" i="2"/>
  <c r="J758" i="2" s="1"/>
  <c r="I757" i="2"/>
  <c r="J757" i="2" s="1"/>
  <c r="I756" i="2"/>
  <c r="J756" i="2" s="1"/>
  <c r="I755" i="2"/>
  <c r="J755" i="2" s="1"/>
  <c r="I754" i="2"/>
  <c r="J754" i="2" s="1"/>
  <c r="I753" i="2"/>
  <c r="J753" i="2" s="1"/>
  <c r="I752" i="2"/>
  <c r="J752" i="2" s="1"/>
  <c r="I751" i="2"/>
  <c r="J751" i="2" s="1"/>
  <c r="I750" i="2"/>
  <c r="J750" i="2" s="1"/>
  <c r="I749" i="2"/>
  <c r="J749" i="2" s="1"/>
  <c r="I748" i="2"/>
  <c r="J748" i="2" s="1"/>
  <c r="I747" i="2"/>
  <c r="J747" i="2" s="1"/>
  <c r="I746" i="2"/>
  <c r="J746" i="2" s="1"/>
  <c r="I745" i="2"/>
  <c r="J745" i="2" s="1"/>
  <c r="I744" i="2"/>
  <c r="J744" i="2" s="1"/>
  <c r="I743" i="2"/>
  <c r="J743" i="2" s="1"/>
  <c r="I742" i="2"/>
  <c r="J742" i="2" s="1"/>
  <c r="I741" i="2"/>
  <c r="J741" i="2" s="1"/>
  <c r="I740" i="2"/>
  <c r="J740" i="2" s="1"/>
  <c r="I739" i="2"/>
  <c r="J739" i="2" s="1"/>
  <c r="I738" i="2"/>
  <c r="J738" i="2" s="1"/>
  <c r="I737" i="2"/>
  <c r="J737" i="2" s="1"/>
  <c r="I736" i="2"/>
  <c r="J736" i="2" s="1"/>
  <c r="I735" i="2"/>
  <c r="J735" i="2" s="1"/>
  <c r="I734" i="2"/>
  <c r="J734" i="2" s="1"/>
  <c r="I733" i="2"/>
  <c r="J733" i="2" s="1"/>
  <c r="I732" i="2"/>
  <c r="J732" i="2" s="1"/>
  <c r="I731" i="2"/>
  <c r="J731" i="2" s="1"/>
  <c r="I730" i="2"/>
  <c r="J730" i="2" s="1"/>
  <c r="I729" i="2"/>
  <c r="J729" i="2" s="1"/>
  <c r="I728" i="2"/>
  <c r="J728" i="2" s="1"/>
  <c r="I727" i="2"/>
  <c r="J727" i="2" s="1"/>
  <c r="I726" i="2"/>
  <c r="J726" i="2" s="1"/>
  <c r="I725" i="2"/>
  <c r="J725" i="2" s="1"/>
  <c r="I724" i="2"/>
  <c r="J724" i="2" s="1"/>
  <c r="I723" i="2"/>
  <c r="J723" i="2" s="1"/>
  <c r="I722" i="2"/>
  <c r="J722" i="2" s="1"/>
  <c r="I721" i="2"/>
  <c r="J721" i="2" s="1"/>
  <c r="I720" i="2"/>
  <c r="J720" i="2" s="1"/>
  <c r="I719" i="2"/>
  <c r="J719" i="2" s="1"/>
  <c r="I718" i="2"/>
  <c r="J718" i="2" s="1"/>
  <c r="I717" i="2"/>
  <c r="J717" i="2" s="1"/>
  <c r="I716" i="2"/>
  <c r="J716" i="2" s="1"/>
  <c r="I715" i="2"/>
  <c r="J715" i="2" s="1"/>
  <c r="I714" i="2"/>
  <c r="J714" i="2" s="1"/>
  <c r="I713" i="2"/>
  <c r="J713" i="2" s="1"/>
  <c r="I712" i="2"/>
  <c r="J712" i="2" s="1"/>
  <c r="I711" i="2"/>
  <c r="J711" i="2" s="1"/>
  <c r="I710" i="2"/>
  <c r="J710" i="2" s="1"/>
  <c r="I709" i="2"/>
  <c r="J709" i="2" s="1"/>
  <c r="I708" i="2"/>
  <c r="J708" i="2" s="1"/>
  <c r="I707" i="2"/>
  <c r="J707" i="2" s="1"/>
  <c r="I706" i="2"/>
  <c r="J706" i="2" s="1"/>
  <c r="I705" i="2"/>
  <c r="J705" i="2" s="1"/>
  <c r="I704" i="2"/>
  <c r="J704" i="2" s="1"/>
  <c r="I703" i="2"/>
  <c r="J703" i="2" s="1"/>
  <c r="I702" i="2"/>
  <c r="J702" i="2" s="1"/>
  <c r="I701" i="2"/>
  <c r="J701" i="2" s="1"/>
  <c r="I700" i="2"/>
  <c r="J700" i="2" s="1"/>
  <c r="I699" i="2"/>
  <c r="J699" i="2" s="1"/>
  <c r="I698" i="2"/>
  <c r="J698" i="2" s="1"/>
  <c r="I697" i="2"/>
  <c r="J697" i="2" s="1"/>
  <c r="I696" i="2"/>
  <c r="J696" i="2" s="1"/>
  <c r="I695" i="2"/>
  <c r="J695" i="2" s="1"/>
  <c r="I694" i="2"/>
  <c r="J694" i="2" s="1"/>
  <c r="I693" i="2"/>
  <c r="J693" i="2" s="1"/>
  <c r="I692" i="2"/>
  <c r="J692" i="2" s="1"/>
  <c r="I691" i="2"/>
  <c r="J691" i="2" s="1"/>
  <c r="I690" i="2"/>
  <c r="J690" i="2" s="1"/>
  <c r="I689" i="2"/>
  <c r="J689" i="2" s="1"/>
  <c r="I688" i="2"/>
  <c r="J688" i="2" s="1"/>
  <c r="I687" i="2"/>
  <c r="J687" i="2" s="1"/>
  <c r="I686" i="2"/>
  <c r="J686" i="2" s="1"/>
  <c r="I685" i="2"/>
  <c r="J685" i="2" s="1"/>
  <c r="I684" i="2"/>
  <c r="J684" i="2" s="1"/>
  <c r="I683" i="2"/>
  <c r="J683" i="2" s="1"/>
  <c r="I682" i="2"/>
  <c r="J682" i="2" s="1"/>
  <c r="I681" i="2"/>
  <c r="J681" i="2" s="1"/>
  <c r="I680" i="2"/>
  <c r="J680" i="2" s="1"/>
  <c r="I679" i="2"/>
  <c r="J679" i="2" s="1"/>
  <c r="I678" i="2"/>
  <c r="J678" i="2" s="1"/>
  <c r="I677" i="2"/>
  <c r="J677" i="2" s="1"/>
  <c r="I676" i="2"/>
  <c r="J676" i="2" s="1"/>
  <c r="I675" i="2"/>
  <c r="J675" i="2" s="1"/>
  <c r="I674" i="2"/>
  <c r="J674" i="2" s="1"/>
  <c r="I673" i="2"/>
  <c r="J673" i="2" s="1"/>
  <c r="I672" i="2"/>
  <c r="J672" i="2" s="1"/>
  <c r="I671" i="2"/>
  <c r="J671" i="2" s="1"/>
  <c r="I670" i="2"/>
  <c r="J670" i="2" s="1"/>
  <c r="I669" i="2"/>
  <c r="J669" i="2" s="1"/>
  <c r="I668" i="2"/>
  <c r="J668" i="2" s="1"/>
  <c r="I667" i="2"/>
  <c r="J667" i="2" s="1"/>
  <c r="I666" i="2"/>
  <c r="J666" i="2" s="1"/>
  <c r="I665" i="2"/>
  <c r="J665" i="2" s="1"/>
  <c r="I664" i="2"/>
  <c r="J664" i="2" s="1"/>
  <c r="I663" i="2"/>
  <c r="J663" i="2" s="1"/>
  <c r="I662" i="2"/>
  <c r="J662" i="2" s="1"/>
  <c r="I661" i="2"/>
  <c r="J661" i="2" s="1"/>
  <c r="I660" i="2"/>
  <c r="J660" i="2" s="1"/>
  <c r="I659" i="2"/>
  <c r="J659" i="2" s="1"/>
  <c r="I658" i="2"/>
  <c r="J658" i="2" s="1"/>
  <c r="I657" i="2"/>
  <c r="J657" i="2" s="1"/>
  <c r="I656" i="2"/>
  <c r="J656" i="2" s="1"/>
  <c r="I655" i="2"/>
  <c r="J655" i="2" s="1"/>
  <c r="I654" i="2"/>
  <c r="J654" i="2" s="1"/>
  <c r="I653" i="2"/>
  <c r="J653" i="2" s="1"/>
  <c r="I652" i="2"/>
  <c r="J652" i="2" s="1"/>
  <c r="I651" i="2"/>
  <c r="J651" i="2" s="1"/>
  <c r="I650" i="2"/>
  <c r="J650" i="2" s="1"/>
  <c r="I649" i="2"/>
  <c r="J649" i="2" s="1"/>
  <c r="I648" i="2"/>
  <c r="J648" i="2" s="1"/>
  <c r="I647" i="2"/>
  <c r="J647" i="2" s="1"/>
  <c r="I646" i="2"/>
  <c r="J646" i="2" s="1"/>
  <c r="I645" i="2"/>
  <c r="J645" i="2" s="1"/>
  <c r="I644" i="2"/>
  <c r="J644" i="2" s="1"/>
  <c r="I643" i="2"/>
  <c r="J643" i="2" s="1"/>
  <c r="I642" i="2"/>
  <c r="J642" i="2" s="1"/>
  <c r="I641" i="2"/>
  <c r="J641" i="2" s="1"/>
  <c r="I640" i="2"/>
  <c r="J640" i="2" s="1"/>
  <c r="I639" i="2"/>
  <c r="J639" i="2" s="1"/>
  <c r="I638" i="2"/>
  <c r="J638" i="2" s="1"/>
  <c r="I637" i="2"/>
  <c r="J637" i="2" s="1"/>
  <c r="I636" i="2"/>
  <c r="J636" i="2" s="1"/>
  <c r="I635" i="2"/>
  <c r="J635" i="2" s="1"/>
  <c r="I634" i="2"/>
  <c r="J634" i="2" s="1"/>
  <c r="I633" i="2"/>
  <c r="J633" i="2" s="1"/>
  <c r="I632" i="2"/>
  <c r="J632" i="2" s="1"/>
  <c r="I631" i="2"/>
  <c r="J631" i="2" s="1"/>
  <c r="I630" i="2"/>
  <c r="J630" i="2" s="1"/>
  <c r="I629" i="2"/>
  <c r="J629" i="2" s="1"/>
  <c r="I628" i="2"/>
  <c r="J628" i="2" s="1"/>
  <c r="I627" i="2"/>
  <c r="J627" i="2" s="1"/>
  <c r="I626" i="2"/>
  <c r="J626" i="2" s="1"/>
  <c r="I625" i="2"/>
  <c r="J625" i="2" s="1"/>
  <c r="I624" i="2"/>
  <c r="J624" i="2" s="1"/>
  <c r="I623" i="2"/>
  <c r="J623" i="2" s="1"/>
  <c r="I622" i="2"/>
  <c r="J622" i="2" s="1"/>
  <c r="I621" i="2"/>
  <c r="J621" i="2" s="1"/>
  <c r="I620" i="2"/>
  <c r="J620" i="2" s="1"/>
  <c r="I619" i="2"/>
  <c r="J619" i="2" s="1"/>
  <c r="I618" i="2"/>
  <c r="J618" i="2" s="1"/>
  <c r="I617" i="2"/>
  <c r="J617" i="2" s="1"/>
  <c r="I616" i="2"/>
  <c r="J616" i="2" s="1"/>
  <c r="I615" i="2"/>
  <c r="J615" i="2" s="1"/>
  <c r="I614" i="2"/>
  <c r="J614" i="2" s="1"/>
  <c r="I613" i="2"/>
  <c r="J613" i="2" s="1"/>
  <c r="I612" i="2"/>
  <c r="J612" i="2" s="1"/>
  <c r="I611" i="2"/>
  <c r="J611" i="2" s="1"/>
  <c r="I610" i="2"/>
  <c r="J610" i="2" s="1"/>
  <c r="I609" i="2"/>
  <c r="J609" i="2" s="1"/>
  <c r="I608" i="2"/>
  <c r="J608" i="2" s="1"/>
  <c r="I607" i="2"/>
  <c r="J607" i="2" s="1"/>
  <c r="I606" i="2"/>
  <c r="J606" i="2" s="1"/>
  <c r="I605" i="2"/>
  <c r="J605" i="2" s="1"/>
  <c r="I604" i="2"/>
  <c r="J604" i="2" s="1"/>
  <c r="I603" i="2"/>
  <c r="J603" i="2" s="1"/>
  <c r="I602" i="2"/>
  <c r="J602" i="2" s="1"/>
  <c r="I601" i="2"/>
  <c r="J601" i="2" s="1"/>
  <c r="I600" i="2"/>
  <c r="J600" i="2" s="1"/>
  <c r="I599" i="2"/>
  <c r="J599" i="2" s="1"/>
  <c r="I598" i="2"/>
  <c r="J598" i="2" s="1"/>
  <c r="I597" i="2"/>
  <c r="J597" i="2" s="1"/>
  <c r="I596" i="2"/>
  <c r="J596" i="2" s="1"/>
  <c r="I595" i="2"/>
  <c r="J595" i="2" s="1"/>
  <c r="I594" i="2"/>
  <c r="J594" i="2" s="1"/>
  <c r="I593" i="2"/>
  <c r="J593" i="2" s="1"/>
  <c r="I592" i="2"/>
  <c r="J592" i="2" s="1"/>
  <c r="I591" i="2"/>
  <c r="J591" i="2" s="1"/>
  <c r="I590" i="2"/>
  <c r="J590" i="2" s="1"/>
  <c r="I589" i="2"/>
  <c r="J589" i="2" s="1"/>
  <c r="I588" i="2"/>
  <c r="J588" i="2" s="1"/>
  <c r="I587" i="2"/>
  <c r="J587" i="2" s="1"/>
  <c r="I586" i="2"/>
  <c r="J586" i="2" s="1"/>
  <c r="I585" i="2"/>
  <c r="J585" i="2" s="1"/>
  <c r="I584" i="2"/>
  <c r="J584" i="2" s="1"/>
  <c r="I583" i="2"/>
  <c r="J583" i="2" s="1"/>
  <c r="I582" i="2"/>
  <c r="J582" i="2" s="1"/>
  <c r="I581" i="2"/>
  <c r="J581" i="2" s="1"/>
  <c r="I580" i="2"/>
  <c r="J580" i="2" s="1"/>
  <c r="I579" i="2"/>
  <c r="J579" i="2" s="1"/>
  <c r="I578" i="2"/>
  <c r="J578" i="2" s="1"/>
  <c r="I577" i="2"/>
  <c r="J577" i="2" s="1"/>
  <c r="I576" i="2"/>
  <c r="J576" i="2" s="1"/>
  <c r="I575" i="2"/>
  <c r="J575" i="2" s="1"/>
  <c r="I574" i="2"/>
  <c r="J574" i="2" s="1"/>
  <c r="I573" i="2"/>
  <c r="J573" i="2" s="1"/>
  <c r="I572" i="2"/>
  <c r="J572" i="2" s="1"/>
  <c r="I571" i="2"/>
  <c r="J571" i="2" s="1"/>
  <c r="I570" i="2"/>
  <c r="J570" i="2" s="1"/>
  <c r="I569" i="2"/>
  <c r="J569" i="2" s="1"/>
  <c r="I568" i="2"/>
  <c r="J568" i="2" s="1"/>
  <c r="I567" i="2"/>
  <c r="J567" i="2" s="1"/>
  <c r="I566" i="2"/>
  <c r="J566" i="2" s="1"/>
  <c r="I565" i="2"/>
  <c r="J565" i="2" s="1"/>
  <c r="I564" i="2"/>
  <c r="J564" i="2" s="1"/>
  <c r="I563" i="2"/>
  <c r="J563" i="2" s="1"/>
  <c r="I562" i="2"/>
  <c r="J562" i="2" s="1"/>
  <c r="I561" i="2"/>
  <c r="J561" i="2" s="1"/>
  <c r="I560" i="2"/>
  <c r="J560" i="2" s="1"/>
  <c r="I559" i="2"/>
  <c r="J559" i="2" s="1"/>
  <c r="I558" i="2"/>
  <c r="J558" i="2" s="1"/>
  <c r="I557" i="2"/>
  <c r="J557" i="2" s="1"/>
  <c r="I556" i="2"/>
  <c r="J556" i="2" s="1"/>
  <c r="I555" i="2"/>
  <c r="J555" i="2" s="1"/>
  <c r="I554" i="2"/>
  <c r="J554" i="2" s="1"/>
  <c r="I553" i="2"/>
  <c r="J553" i="2" s="1"/>
  <c r="I552" i="2"/>
  <c r="J552" i="2" s="1"/>
  <c r="I551" i="2"/>
  <c r="J551" i="2" s="1"/>
  <c r="I550" i="2"/>
  <c r="J550" i="2" s="1"/>
  <c r="I549" i="2"/>
  <c r="J549" i="2" s="1"/>
  <c r="I548" i="2"/>
  <c r="J548" i="2" s="1"/>
  <c r="I547" i="2"/>
  <c r="J547" i="2" s="1"/>
  <c r="I546" i="2"/>
  <c r="J546" i="2" s="1"/>
  <c r="I545" i="2"/>
  <c r="J545" i="2" s="1"/>
  <c r="I544" i="2"/>
  <c r="J544" i="2" s="1"/>
  <c r="I543" i="2"/>
  <c r="J543" i="2" s="1"/>
  <c r="I542" i="2"/>
  <c r="J542" i="2" s="1"/>
  <c r="I541" i="2"/>
  <c r="J541" i="2" s="1"/>
  <c r="I540" i="2"/>
  <c r="J540" i="2" s="1"/>
  <c r="I539" i="2"/>
  <c r="J539" i="2" s="1"/>
  <c r="I538" i="2"/>
  <c r="J538" i="2" s="1"/>
  <c r="I537" i="2"/>
  <c r="J537" i="2" s="1"/>
  <c r="I536" i="2"/>
  <c r="J536" i="2" s="1"/>
  <c r="I535" i="2"/>
  <c r="J535" i="2" s="1"/>
  <c r="I534" i="2"/>
  <c r="J534" i="2" s="1"/>
  <c r="I533" i="2"/>
  <c r="J533" i="2" s="1"/>
  <c r="I532" i="2"/>
  <c r="J532" i="2" s="1"/>
  <c r="I531" i="2"/>
  <c r="J531" i="2" s="1"/>
  <c r="I530" i="2"/>
  <c r="J530" i="2" s="1"/>
  <c r="I529" i="2"/>
  <c r="J529" i="2" s="1"/>
  <c r="I528" i="2"/>
  <c r="J528" i="2" s="1"/>
  <c r="I527" i="2"/>
  <c r="J527" i="2" s="1"/>
  <c r="I526" i="2"/>
  <c r="J526" i="2" s="1"/>
  <c r="I525" i="2"/>
  <c r="J525" i="2" s="1"/>
  <c r="I524" i="2"/>
  <c r="J524" i="2" s="1"/>
  <c r="I523" i="2"/>
  <c r="J523" i="2" s="1"/>
  <c r="I522" i="2"/>
  <c r="J522" i="2" s="1"/>
  <c r="I521" i="2"/>
  <c r="J521" i="2" s="1"/>
  <c r="I520" i="2"/>
  <c r="J520" i="2" s="1"/>
  <c r="I519" i="2"/>
  <c r="J519" i="2" s="1"/>
  <c r="I518" i="2"/>
  <c r="J518" i="2" s="1"/>
  <c r="I517" i="2"/>
  <c r="J517" i="2" s="1"/>
  <c r="I516" i="2"/>
  <c r="J516" i="2" s="1"/>
  <c r="I515" i="2"/>
  <c r="J515" i="2" s="1"/>
  <c r="I514" i="2"/>
  <c r="J514" i="2" s="1"/>
  <c r="I513" i="2"/>
  <c r="J513" i="2" s="1"/>
  <c r="I512" i="2"/>
  <c r="J512" i="2" s="1"/>
  <c r="I511" i="2"/>
  <c r="J511" i="2" s="1"/>
  <c r="I510" i="2"/>
  <c r="J510" i="2" s="1"/>
  <c r="I509" i="2"/>
  <c r="J509" i="2" s="1"/>
  <c r="I508" i="2"/>
  <c r="J508" i="2" s="1"/>
  <c r="I507" i="2"/>
  <c r="J507" i="2" s="1"/>
  <c r="I506" i="2"/>
  <c r="J506" i="2" s="1"/>
  <c r="I505" i="2"/>
  <c r="J505" i="2" s="1"/>
  <c r="I504" i="2"/>
  <c r="J504" i="2" s="1"/>
  <c r="I503" i="2"/>
  <c r="J503" i="2" s="1"/>
  <c r="I502" i="2"/>
  <c r="J502" i="2" s="1"/>
  <c r="I501" i="2"/>
  <c r="J501" i="2" s="1"/>
  <c r="I500" i="2"/>
  <c r="J500" i="2" s="1"/>
  <c r="I499" i="2"/>
  <c r="J499" i="2" s="1"/>
  <c r="I498" i="2"/>
  <c r="J498" i="2" s="1"/>
  <c r="I497" i="2"/>
  <c r="J497" i="2" s="1"/>
  <c r="I496" i="2"/>
  <c r="J496" i="2" s="1"/>
  <c r="I495" i="2"/>
  <c r="J495" i="2" s="1"/>
  <c r="I494" i="2"/>
  <c r="J494" i="2" s="1"/>
  <c r="I493" i="2"/>
  <c r="J493" i="2" s="1"/>
  <c r="I492" i="2"/>
  <c r="J492" i="2" s="1"/>
  <c r="I491" i="2"/>
  <c r="J491" i="2" s="1"/>
  <c r="I490" i="2"/>
  <c r="J490" i="2" s="1"/>
  <c r="I489" i="2"/>
  <c r="J489" i="2" s="1"/>
  <c r="I488" i="2"/>
  <c r="J488" i="2" s="1"/>
  <c r="I487" i="2"/>
  <c r="J487" i="2" s="1"/>
  <c r="I486" i="2"/>
  <c r="J486" i="2" s="1"/>
  <c r="I485" i="2"/>
  <c r="J485" i="2" s="1"/>
  <c r="I484" i="2"/>
  <c r="J484" i="2" s="1"/>
  <c r="I483" i="2"/>
  <c r="J483" i="2" s="1"/>
  <c r="I482" i="2"/>
  <c r="J482" i="2" s="1"/>
  <c r="I481" i="2"/>
  <c r="J481" i="2" s="1"/>
  <c r="I480" i="2"/>
  <c r="J480" i="2" s="1"/>
  <c r="I479" i="2"/>
  <c r="J479" i="2" s="1"/>
  <c r="I478" i="2"/>
  <c r="J478" i="2" s="1"/>
  <c r="I477" i="2"/>
  <c r="J477" i="2" s="1"/>
  <c r="I476" i="2"/>
  <c r="J476" i="2" s="1"/>
  <c r="I475" i="2"/>
  <c r="J475" i="2" s="1"/>
  <c r="I474" i="2"/>
  <c r="J474" i="2" s="1"/>
  <c r="I473" i="2"/>
  <c r="J473" i="2" s="1"/>
  <c r="I472" i="2"/>
  <c r="J472" i="2" s="1"/>
  <c r="I471" i="2"/>
  <c r="J471" i="2" s="1"/>
  <c r="I470" i="2"/>
  <c r="J470" i="2" s="1"/>
  <c r="I469" i="2"/>
  <c r="J469" i="2" s="1"/>
  <c r="I468" i="2"/>
  <c r="J468" i="2" s="1"/>
  <c r="I467" i="2"/>
  <c r="J467" i="2" s="1"/>
  <c r="I466" i="2"/>
  <c r="J466" i="2" s="1"/>
  <c r="I465" i="2"/>
  <c r="J465" i="2" s="1"/>
  <c r="I464" i="2"/>
  <c r="J464" i="2" s="1"/>
  <c r="I463" i="2"/>
  <c r="J463" i="2" s="1"/>
  <c r="I462" i="2"/>
  <c r="J462" i="2" s="1"/>
  <c r="I461" i="2"/>
  <c r="J461" i="2" s="1"/>
  <c r="I460" i="2"/>
  <c r="J460" i="2" s="1"/>
  <c r="I459" i="2"/>
  <c r="J459" i="2" s="1"/>
  <c r="I458" i="2"/>
  <c r="J458" i="2" s="1"/>
  <c r="I457" i="2"/>
  <c r="J457" i="2" s="1"/>
  <c r="I456" i="2"/>
  <c r="J456" i="2" s="1"/>
  <c r="I455" i="2"/>
  <c r="J455" i="2" s="1"/>
  <c r="I454" i="2"/>
  <c r="J454" i="2" s="1"/>
  <c r="I453" i="2"/>
  <c r="J453" i="2" s="1"/>
  <c r="I452" i="2"/>
  <c r="J452" i="2" s="1"/>
  <c r="J451" i="2"/>
  <c r="I451" i="2"/>
  <c r="I450" i="2"/>
  <c r="J450" i="2" s="1"/>
  <c r="I449" i="2"/>
  <c r="J449" i="2" s="1"/>
  <c r="I448" i="2"/>
  <c r="J448" i="2" s="1"/>
  <c r="I447" i="2"/>
  <c r="J447" i="2" s="1"/>
  <c r="I446" i="2"/>
  <c r="J446" i="2" s="1"/>
  <c r="I445" i="2"/>
  <c r="J445" i="2" s="1"/>
  <c r="I444" i="2"/>
  <c r="J444" i="2" s="1"/>
  <c r="J443" i="2"/>
  <c r="I443" i="2"/>
  <c r="I442" i="2"/>
  <c r="J442" i="2" s="1"/>
  <c r="I441" i="2"/>
  <c r="J441" i="2" s="1"/>
  <c r="I440" i="2"/>
  <c r="J440" i="2" s="1"/>
  <c r="J439" i="2"/>
  <c r="I439" i="2"/>
  <c r="I438" i="2"/>
  <c r="J438" i="2" s="1"/>
  <c r="I437" i="2"/>
  <c r="J437" i="2" s="1"/>
  <c r="I436" i="2"/>
  <c r="J436" i="2" s="1"/>
  <c r="J435" i="2"/>
  <c r="I435" i="2"/>
  <c r="I434" i="2"/>
  <c r="J434" i="2" s="1"/>
  <c r="I433" i="2"/>
  <c r="J433" i="2" s="1"/>
  <c r="I432" i="2"/>
  <c r="J432" i="2" s="1"/>
  <c r="I431" i="2"/>
  <c r="J431" i="2" s="1"/>
  <c r="I430" i="2"/>
  <c r="J430" i="2" s="1"/>
  <c r="I429" i="2"/>
  <c r="J429" i="2" s="1"/>
  <c r="I428" i="2"/>
  <c r="J428" i="2" s="1"/>
  <c r="J427" i="2"/>
  <c r="I427" i="2"/>
  <c r="I426" i="2"/>
  <c r="J426" i="2" s="1"/>
  <c r="I425" i="2"/>
  <c r="J425" i="2" s="1"/>
  <c r="I424" i="2"/>
  <c r="J424" i="2" s="1"/>
  <c r="J423" i="2"/>
  <c r="I423" i="2"/>
  <c r="I422" i="2"/>
  <c r="J422" i="2" s="1"/>
  <c r="I421" i="2"/>
  <c r="J421" i="2" s="1"/>
  <c r="I420" i="2"/>
  <c r="J420" i="2" s="1"/>
  <c r="J419" i="2"/>
  <c r="I419" i="2"/>
  <c r="I418" i="2"/>
  <c r="J418" i="2" s="1"/>
  <c r="I417" i="2"/>
  <c r="J417" i="2" s="1"/>
  <c r="I416" i="2"/>
  <c r="J416" i="2" s="1"/>
  <c r="I415" i="2"/>
  <c r="J415" i="2" s="1"/>
  <c r="I414" i="2"/>
  <c r="J414" i="2" s="1"/>
  <c r="I413" i="2"/>
  <c r="J413" i="2" s="1"/>
  <c r="I412" i="2"/>
  <c r="J412" i="2" s="1"/>
  <c r="J411" i="2"/>
  <c r="I411" i="2"/>
  <c r="I410" i="2"/>
  <c r="J410" i="2" s="1"/>
  <c r="I409" i="2"/>
  <c r="J409" i="2" s="1"/>
  <c r="I408" i="2"/>
  <c r="J408" i="2" s="1"/>
  <c r="J407" i="2"/>
  <c r="I407" i="2"/>
  <c r="I406" i="2"/>
  <c r="J406" i="2" s="1"/>
  <c r="I405" i="2"/>
  <c r="J405" i="2" s="1"/>
  <c r="I404" i="2"/>
  <c r="J404" i="2" s="1"/>
  <c r="J403" i="2"/>
  <c r="I403" i="2"/>
  <c r="I402" i="2"/>
  <c r="J402" i="2" s="1"/>
  <c r="I401" i="2"/>
  <c r="J401" i="2" s="1"/>
  <c r="I400" i="2"/>
  <c r="J400" i="2" s="1"/>
  <c r="I399" i="2"/>
  <c r="J399" i="2" s="1"/>
  <c r="I398" i="2"/>
  <c r="J398" i="2" s="1"/>
  <c r="I397" i="2"/>
  <c r="J397" i="2" s="1"/>
  <c r="I396" i="2"/>
  <c r="J396" i="2" s="1"/>
  <c r="J395" i="2"/>
  <c r="I395" i="2"/>
  <c r="I394" i="2"/>
  <c r="J394" i="2" s="1"/>
  <c r="I393" i="2"/>
  <c r="J393" i="2" s="1"/>
  <c r="I392" i="2"/>
  <c r="J392" i="2" s="1"/>
  <c r="J391" i="2"/>
  <c r="I391" i="2"/>
  <c r="I390" i="2"/>
  <c r="J390" i="2" s="1"/>
  <c r="I389" i="2"/>
  <c r="J389" i="2" s="1"/>
  <c r="I388" i="2"/>
  <c r="J388" i="2" s="1"/>
  <c r="J387" i="2"/>
  <c r="I387" i="2"/>
  <c r="I386" i="2"/>
  <c r="J386" i="2" s="1"/>
  <c r="I385" i="2"/>
  <c r="J385" i="2" s="1"/>
  <c r="I384" i="2"/>
  <c r="J384" i="2" s="1"/>
  <c r="I383" i="2"/>
  <c r="J383" i="2" s="1"/>
  <c r="I382" i="2"/>
  <c r="J382" i="2" s="1"/>
  <c r="I381" i="2"/>
  <c r="J381" i="2" s="1"/>
  <c r="I380" i="2"/>
  <c r="J380" i="2" s="1"/>
  <c r="J379" i="2"/>
  <c r="I379" i="2"/>
  <c r="I378" i="2"/>
  <c r="J378" i="2" s="1"/>
  <c r="I377" i="2"/>
  <c r="J377" i="2" s="1"/>
  <c r="I376" i="2"/>
  <c r="J376" i="2" s="1"/>
  <c r="J375" i="2"/>
  <c r="I375" i="2"/>
  <c r="I374" i="2"/>
  <c r="J374" i="2" s="1"/>
  <c r="I373" i="2"/>
  <c r="J373" i="2" s="1"/>
  <c r="I372" i="2"/>
  <c r="J372" i="2" s="1"/>
  <c r="J371" i="2"/>
  <c r="I371" i="2"/>
  <c r="I370" i="2"/>
  <c r="J370" i="2" s="1"/>
  <c r="I369" i="2"/>
  <c r="J369" i="2" s="1"/>
  <c r="I368" i="2"/>
  <c r="J368" i="2" s="1"/>
  <c r="I367" i="2"/>
  <c r="J367" i="2" s="1"/>
  <c r="I366" i="2"/>
  <c r="J366" i="2" s="1"/>
  <c r="I365" i="2"/>
  <c r="J365" i="2" s="1"/>
  <c r="I364" i="2"/>
  <c r="J364" i="2" s="1"/>
  <c r="J363" i="2"/>
  <c r="I363" i="2"/>
  <c r="I362" i="2"/>
  <c r="J362" i="2" s="1"/>
  <c r="I361" i="2"/>
  <c r="J361" i="2" s="1"/>
  <c r="I360" i="2"/>
  <c r="J360" i="2" s="1"/>
  <c r="J359" i="2"/>
  <c r="I359" i="2"/>
  <c r="I358" i="2"/>
  <c r="J358" i="2" s="1"/>
  <c r="I357" i="2"/>
  <c r="J357" i="2" s="1"/>
  <c r="I356" i="2"/>
  <c r="J356" i="2" s="1"/>
  <c r="J355" i="2"/>
  <c r="I355" i="2"/>
  <c r="I354" i="2"/>
  <c r="J354" i="2" s="1"/>
  <c r="I353" i="2"/>
  <c r="J353" i="2" s="1"/>
  <c r="I352" i="2"/>
  <c r="J352" i="2" s="1"/>
  <c r="I351" i="2"/>
  <c r="J351" i="2" s="1"/>
  <c r="I350" i="2"/>
  <c r="J350" i="2" s="1"/>
  <c r="I349" i="2"/>
  <c r="J349" i="2" s="1"/>
  <c r="I348" i="2"/>
  <c r="J348" i="2" s="1"/>
  <c r="J347" i="2"/>
  <c r="I347" i="2"/>
  <c r="I346" i="2"/>
  <c r="J346" i="2" s="1"/>
  <c r="I345" i="2"/>
  <c r="J345" i="2" s="1"/>
  <c r="I344" i="2"/>
  <c r="J344" i="2" s="1"/>
  <c r="J343" i="2"/>
  <c r="I343" i="2"/>
  <c r="I342" i="2"/>
  <c r="J342" i="2" s="1"/>
  <c r="I341" i="2"/>
  <c r="J341" i="2" s="1"/>
  <c r="I340" i="2"/>
  <c r="J340" i="2" s="1"/>
  <c r="J339" i="2"/>
  <c r="I339" i="2"/>
  <c r="I338" i="2"/>
  <c r="J338" i="2" s="1"/>
  <c r="I337" i="2"/>
  <c r="J337" i="2" s="1"/>
  <c r="I336" i="2"/>
  <c r="J336" i="2" s="1"/>
  <c r="I335" i="2"/>
  <c r="J335" i="2" s="1"/>
  <c r="I334" i="2"/>
  <c r="J334" i="2" s="1"/>
  <c r="I333" i="2"/>
  <c r="J333" i="2" s="1"/>
  <c r="I332" i="2"/>
  <c r="J332" i="2" s="1"/>
  <c r="J331" i="2"/>
  <c r="I331" i="2"/>
  <c r="I330" i="2"/>
  <c r="J330" i="2" s="1"/>
  <c r="I329" i="2"/>
  <c r="J329" i="2" s="1"/>
  <c r="I328" i="2"/>
  <c r="J328" i="2" s="1"/>
  <c r="J327" i="2"/>
  <c r="I327" i="2"/>
  <c r="I326" i="2"/>
  <c r="J326" i="2" s="1"/>
  <c r="I325" i="2"/>
  <c r="J325" i="2" s="1"/>
  <c r="I324" i="2"/>
  <c r="J324" i="2" s="1"/>
  <c r="J323" i="2"/>
  <c r="I323" i="2"/>
  <c r="I322" i="2"/>
  <c r="J322" i="2" s="1"/>
  <c r="I321" i="2"/>
  <c r="J321" i="2" s="1"/>
  <c r="I320" i="2"/>
  <c r="J320" i="2" s="1"/>
  <c r="I319" i="2"/>
  <c r="J319" i="2" s="1"/>
  <c r="I318" i="2"/>
  <c r="J318" i="2" s="1"/>
  <c r="I317" i="2"/>
  <c r="J317" i="2" s="1"/>
  <c r="I316" i="2"/>
  <c r="J316" i="2" s="1"/>
  <c r="J315" i="2"/>
  <c r="I315" i="2"/>
  <c r="I314" i="2"/>
  <c r="J314" i="2" s="1"/>
  <c r="I313" i="2"/>
  <c r="J313" i="2" s="1"/>
  <c r="I312" i="2"/>
  <c r="J312" i="2" s="1"/>
  <c r="J311" i="2"/>
  <c r="I311" i="2"/>
  <c r="I310" i="2"/>
  <c r="J310" i="2" s="1"/>
  <c r="I309" i="2"/>
  <c r="J309" i="2" s="1"/>
  <c r="I308" i="2"/>
  <c r="J308" i="2" s="1"/>
  <c r="J307" i="2"/>
  <c r="I307" i="2"/>
  <c r="I306" i="2"/>
  <c r="J306" i="2" s="1"/>
  <c r="I305" i="2"/>
  <c r="J305" i="2" s="1"/>
  <c r="I304" i="2"/>
  <c r="J304" i="2" s="1"/>
  <c r="I303" i="2"/>
  <c r="J303" i="2" s="1"/>
  <c r="I302" i="2"/>
  <c r="J302" i="2" s="1"/>
  <c r="I301" i="2"/>
  <c r="J301" i="2" s="1"/>
  <c r="I300" i="2"/>
  <c r="J300" i="2" s="1"/>
  <c r="J299" i="2"/>
  <c r="I299" i="2"/>
  <c r="I298" i="2"/>
  <c r="J298" i="2" s="1"/>
  <c r="I297" i="2"/>
  <c r="J297" i="2" s="1"/>
  <c r="I296" i="2"/>
  <c r="J296" i="2" s="1"/>
  <c r="J295" i="2"/>
  <c r="I295" i="2"/>
  <c r="I294" i="2"/>
  <c r="J294" i="2" s="1"/>
  <c r="I293" i="2"/>
  <c r="J293" i="2" s="1"/>
  <c r="I292" i="2"/>
  <c r="J292" i="2" s="1"/>
  <c r="J291" i="2"/>
  <c r="I291" i="2"/>
  <c r="I290" i="2"/>
  <c r="J290" i="2" s="1"/>
  <c r="I289" i="2"/>
  <c r="J289" i="2" s="1"/>
  <c r="I288" i="2"/>
  <c r="J288" i="2" s="1"/>
  <c r="I287" i="2"/>
  <c r="J287" i="2" s="1"/>
  <c r="I286" i="2"/>
  <c r="J286" i="2" s="1"/>
  <c r="I285" i="2"/>
  <c r="J285" i="2" s="1"/>
  <c r="I284" i="2"/>
  <c r="J284" i="2" s="1"/>
  <c r="J283" i="2"/>
  <c r="I283" i="2"/>
  <c r="I282" i="2"/>
  <c r="J282" i="2" s="1"/>
  <c r="I281" i="2"/>
  <c r="J281" i="2" s="1"/>
  <c r="I280" i="2"/>
  <c r="J280" i="2" s="1"/>
  <c r="J279" i="2"/>
  <c r="I279" i="2"/>
  <c r="I278" i="2"/>
  <c r="J278" i="2" s="1"/>
  <c r="I277" i="2"/>
  <c r="J277" i="2" s="1"/>
  <c r="I276" i="2"/>
  <c r="J276" i="2" s="1"/>
  <c r="J275" i="2"/>
  <c r="I275" i="2"/>
  <c r="I274" i="2"/>
  <c r="J274" i="2" s="1"/>
  <c r="I273" i="2"/>
  <c r="J273" i="2" s="1"/>
  <c r="I272" i="2"/>
  <c r="J272" i="2" s="1"/>
  <c r="I271" i="2"/>
  <c r="J271" i="2" s="1"/>
  <c r="I270" i="2"/>
  <c r="J270" i="2" s="1"/>
  <c r="I269" i="2"/>
  <c r="J269" i="2" s="1"/>
  <c r="I268" i="2"/>
  <c r="J268" i="2" s="1"/>
  <c r="J267" i="2"/>
  <c r="I267" i="2"/>
  <c r="I266" i="2"/>
  <c r="J266" i="2" s="1"/>
  <c r="I265" i="2"/>
  <c r="J265" i="2" s="1"/>
  <c r="I264" i="2"/>
  <c r="J264" i="2" s="1"/>
  <c r="J263" i="2"/>
  <c r="I263" i="2"/>
  <c r="I262" i="2"/>
  <c r="J262" i="2" s="1"/>
  <c r="I261" i="2"/>
  <c r="J261" i="2" s="1"/>
  <c r="I260" i="2"/>
  <c r="J260" i="2" s="1"/>
  <c r="J259" i="2"/>
  <c r="I259" i="2"/>
  <c r="I258" i="2"/>
  <c r="J258" i="2" s="1"/>
  <c r="I257" i="2"/>
  <c r="J257" i="2" s="1"/>
  <c r="I256" i="2"/>
  <c r="J256" i="2" s="1"/>
  <c r="I255" i="2"/>
  <c r="J255" i="2" s="1"/>
  <c r="I254" i="2"/>
  <c r="J254" i="2" s="1"/>
  <c r="I253" i="2"/>
  <c r="J253" i="2" s="1"/>
  <c r="I252" i="2"/>
  <c r="J252" i="2" s="1"/>
  <c r="J251" i="2"/>
  <c r="I251" i="2"/>
  <c r="I250" i="2"/>
  <c r="J250" i="2" s="1"/>
  <c r="I249" i="2"/>
  <c r="J249" i="2" s="1"/>
  <c r="I248" i="2"/>
  <c r="J248" i="2" s="1"/>
  <c r="J247" i="2"/>
  <c r="I247" i="2"/>
  <c r="I246" i="2"/>
  <c r="J246" i="2" s="1"/>
  <c r="I245" i="2"/>
  <c r="J245" i="2" s="1"/>
  <c r="I244" i="2"/>
  <c r="J244" i="2" s="1"/>
  <c r="J243" i="2"/>
  <c r="I243" i="2"/>
  <c r="I242" i="2"/>
  <c r="J242" i="2" s="1"/>
  <c r="I241" i="2"/>
  <c r="J241" i="2" s="1"/>
  <c r="I240" i="2"/>
  <c r="J240" i="2" s="1"/>
  <c r="I239" i="2"/>
  <c r="J239" i="2" s="1"/>
  <c r="I238" i="2"/>
  <c r="J238" i="2" s="1"/>
  <c r="I237" i="2"/>
  <c r="J237" i="2" s="1"/>
  <c r="I236" i="2"/>
  <c r="J236" i="2" s="1"/>
  <c r="J235" i="2"/>
  <c r="I235" i="2"/>
  <c r="I234" i="2"/>
  <c r="J234" i="2" s="1"/>
  <c r="I233" i="2"/>
  <c r="J233" i="2" s="1"/>
  <c r="I232" i="2"/>
  <c r="J232" i="2" s="1"/>
  <c r="J231" i="2"/>
  <c r="I231" i="2"/>
  <c r="I230" i="2"/>
  <c r="J230" i="2" s="1"/>
  <c r="I229" i="2"/>
  <c r="J229" i="2" s="1"/>
  <c r="I228" i="2"/>
  <c r="J228" i="2" s="1"/>
  <c r="J227" i="2"/>
  <c r="I227" i="2"/>
  <c r="I226" i="2"/>
  <c r="J226" i="2" s="1"/>
  <c r="I225" i="2"/>
  <c r="J225" i="2" s="1"/>
  <c r="I224" i="2"/>
  <c r="J224" i="2" s="1"/>
  <c r="I223" i="2"/>
  <c r="J223" i="2" s="1"/>
  <c r="I222" i="2"/>
  <c r="J222" i="2" s="1"/>
  <c r="I221" i="2"/>
  <c r="J221" i="2" s="1"/>
  <c r="I220" i="2"/>
  <c r="J220" i="2" s="1"/>
  <c r="J219" i="2"/>
  <c r="I219" i="2"/>
  <c r="I218" i="2"/>
  <c r="J218" i="2" s="1"/>
  <c r="I217" i="2"/>
  <c r="J217" i="2" s="1"/>
  <c r="I216" i="2"/>
  <c r="J216" i="2" s="1"/>
  <c r="I215" i="2"/>
  <c r="J215" i="2" s="1"/>
  <c r="I214" i="2"/>
  <c r="J214" i="2" s="1"/>
  <c r="I213" i="2"/>
  <c r="J213" i="2" s="1"/>
  <c r="I212" i="2"/>
  <c r="J212" i="2" s="1"/>
  <c r="J211" i="2"/>
  <c r="I211" i="2"/>
  <c r="I210" i="2"/>
  <c r="J210" i="2" s="1"/>
  <c r="I209" i="2"/>
  <c r="J209" i="2" s="1"/>
  <c r="I208" i="2"/>
  <c r="J208" i="2" s="1"/>
  <c r="I207" i="2"/>
  <c r="J207" i="2" s="1"/>
  <c r="I206" i="2"/>
  <c r="J206" i="2" s="1"/>
  <c r="I205" i="2"/>
  <c r="J205" i="2" s="1"/>
  <c r="I204" i="2"/>
  <c r="J204" i="2" s="1"/>
  <c r="J203" i="2"/>
  <c r="I203" i="2"/>
  <c r="I202" i="2"/>
  <c r="J202" i="2" s="1"/>
  <c r="I201" i="2"/>
  <c r="J201" i="2" s="1"/>
  <c r="I200" i="2"/>
  <c r="J200" i="2" s="1"/>
  <c r="I199" i="2"/>
  <c r="J199" i="2" s="1"/>
  <c r="I198" i="2"/>
  <c r="J198" i="2" s="1"/>
  <c r="I197" i="2"/>
  <c r="J197" i="2" s="1"/>
  <c r="I196" i="2"/>
  <c r="J196" i="2" s="1"/>
  <c r="J195" i="2"/>
  <c r="I195" i="2"/>
  <c r="I194" i="2"/>
  <c r="J194" i="2" s="1"/>
  <c r="I193" i="2"/>
  <c r="J193" i="2" s="1"/>
  <c r="I192" i="2"/>
  <c r="J192" i="2" s="1"/>
  <c r="I191" i="2"/>
  <c r="J191" i="2" s="1"/>
  <c r="I190" i="2"/>
  <c r="J190" i="2" s="1"/>
  <c r="I189" i="2"/>
  <c r="J189" i="2" s="1"/>
  <c r="I188" i="2"/>
  <c r="J188" i="2" s="1"/>
  <c r="J187" i="2"/>
  <c r="I187" i="2"/>
  <c r="I186" i="2"/>
  <c r="J186" i="2" s="1"/>
  <c r="I185" i="2"/>
  <c r="J185" i="2" s="1"/>
  <c r="I184" i="2"/>
  <c r="J184" i="2" s="1"/>
  <c r="I183" i="2"/>
  <c r="J183" i="2" s="1"/>
  <c r="I182" i="2"/>
  <c r="J182" i="2" s="1"/>
  <c r="I181" i="2"/>
  <c r="J181" i="2" s="1"/>
  <c r="I180" i="2"/>
  <c r="J180" i="2" s="1"/>
  <c r="J179" i="2"/>
  <c r="I179" i="2"/>
  <c r="I178" i="2"/>
  <c r="J178" i="2" s="1"/>
  <c r="I177" i="2"/>
  <c r="J177" i="2" s="1"/>
  <c r="I176" i="2"/>
  <c r="J176" i="2" s="1"/>
  <c r="I175" i="2"/>
  <c r="J175" i="2" s="1"/>
  <c r="I174" i="2"/>
  <c r="J174" i="2" s="1"/>
  <c r="I173" i="2"/>
  <c r="J173" i="2" s="1"/>
  <c r="I172" i="2"/>
  <c r="J172" i="2" s="1"/>
  <c r="J171" i="2"/>
  <c r="I171" i="2"/>
  <c r="I170" i="2"/>
  <c r="J170" i="2" s="1"/>
  <c r="I169" i="2"/>
  <c r="J169" i="2" s="1"/>
  <c r="I168" i="2"/>
  <c r="J168" i="2" s="1"/>
  <c r="I167" i="2"/>
  <c r="J167" i="2" s="1"/>
  <c r="I166" i="2"/>
  <c r="J166" i="2" s="1"/>
  <c r="I165" i="2"/>
  <c r="J165" i="2" s="1"/>
  <c r="I164" i="2"/>
  <c r="J164" i="2" s="1"/>
  <c r="J163" i="2"/>
  <c r="I163" i="2"/>
  <c r="I162" i="2"/>
  <c r="J162" i="2" s="1"/>
  <c r="I161" i="2"/>
  <c r="J161" i="2" s="1"/>
  <c r="I160" i="2"/>
  <c r="J160" i="2" s="1"/>
  <c r="I159" i="2"/>
  <c r="J159" i="2" s="1"/>
  <c r="I158" i="2"/>
  <c r="J158" i="2" s="1"/>
  <c r="I157" i="2"/>
  <c r="J157" i="2" s="1"/>
  <c r="I156" i="2"/>
  <c r="J156" i="2" s="1"/>
  <c r="I155" i="2"/>
  <c r="J155" i="2" s="1"/>
  <c r="I154" i="2"/>
  <c r="J154" i="2" s="1"/>
  <c r="I153" i="2"/>
  <c r="J153" i="2" s="1"/>
  <c r="I152" i="2"/>
  <c r="J152" i="2" s="1"/>
  <c r="I151" i="2"/>
  <c r="J151" i="2" s="1"/>
  <c r="I150" i="2"/>
  <c r="J150" i="2" s="1"/>
  <c r="I149" i="2"/>
  <c r="J149" i="2" s="1"/>
  <c r="I148" i="2"/>
  <c r="J148" i="2" s="1"/>
  <c r="J147" i="2"/>
  <c r="I147" i="2"/>
  <c r="I146" i="2"/>
  <c r="J146" i="2" s="1"/>
  <c r="I145" i="2"/>
  <c r="J145" i="2" s="1"/>
  <c r="I144" i="2"/>
  <c r="J144" i="2" s="1"/>
  <c r="I143" i="2"/>
  <c r="J143" i="2" s="1"/>
  <c r="I142" i="2"/>
  <c r="J142" i="2" s="1"/>
  <c r="I141" i="2"/>
  <c r="J141" i="2" s="1"/>
  <c r="I140" i="2"/>
  <c r="J140" i="2" s="1"/>
  <c r="I139" i="2"/>
  <c r="J139" i="2" s="1"/>
  <c r="I138" i="2"/>
  <c r="J138" i="2" s="1"/>
  <c r="I137" i="2"/>
  <c r="J137" i="2" s="1"/>
  <c r="I136" i="2"/>
  <c r="J136" i="2" s="1"/>
  <c r="I135" i="2"/>
  <c r="J135" i="2" s="1"/>
  <c r="I134" i="2"/>
  <c r="J134" i="2" s="1"/>
  <c r="I133" i="2"/>
  <c r="J133" i="2" s="1"/>
  <c r="I132" i="2"/>
  <c r="J132" i="2" s="1"/>
  <c r="J131" i="2"/>
  <c r="I131" i="2"/>
  <c r="I130" i="2"/>
  <c r="J130" i="2" s="1"/>
  <c r="I129" i="2"/>
  <c r="J129" i="2" s="1"/>
  <c r="I128" i="2"/>
  <c r="J128" i="2" s="1"/>
  <c r="I127" i="2"/>
  <c r="J127" i="2" s="1"/>
  <c r="I126" i="2"/>
  <c r="J126" i="2" s="1"/>
  <c r="I125" i="2"/>
  <c r="J125" i="2" s="1"/>
  <c r="I124" i="2"/>
  <c r="J124" i="2" s="1"/>
  <c r="I123" i="2"/>
  <c r="J123" i="2" s="1"/>
  <c r="I122" i="2"/>
  <c r="J122" i="2" s="1"/>
  <c r="I121" i="2"/>
  <c r="J121" i="2" s="1"/>
  <c r="I120" i="2"/>
  <c r="J120" i="2" s="1"/>
  <c r="I119" i="2"/>
  <c r="J119" i="2" s="1"/>
  <c r="I118" i="2"/>
  <c r="J118" i="2" s="1"/>
  <c r="I117" i="2"/>
  <c r="J117" i="2" s="1"/>
  <c r="I116" i="2"/>
  <c r="J116" i="2" s="1"/>
  <c r="J115" i="2"/>
  <c r="I115" i="2"/>
  <c r="I114" i="2"/>
  <c r="J114" i="2" s="1"/>
  <c r="I113" i="2"/>
  <c r="J113" i="2" s="1"/>
  <c r="I112" i="2"/>
  <c r="J112" i="2" s="1"/>
  <c r="I111" i="2"/>
  <c r="J111" i="2" s="1"/>
  <c r="I110" i="2"/>
  <c r="J110" i="2" s="1"/>
  <c r="I109" i="2"/>
  <c r="J109" i="2" s="1"/>
  <c r="I108" i="2"/>
  <c r="J108" i="2" s="1"/>
  <c r="I107" i="2"/>
  <c r="J107" i="2" s="1"/>
  <c r="I106" i="2"/>
  <c r="J106" i="2" s="1"/>
  <c r="I105" i="2"/>
  <c r="J105" i="2" s="1"/>
  <c r="I104" i="2"/>
  <c r="J104" i="2" s="1"/>
  <c r="I103" i="2"/>
  <c r="J103" i="2" s="1"/>
  <c r="I102" i="2"/>
  <c r="J102" i="2" s="1"/>
  <c r="J101" i="2"/>
  <c r="I101" i="2"/>
  <c r="I100" i="2"/>
  <c r="J100" i="2" s="1"/>
  <c r="I99" i="2"/>
  <c r="J99" i="2" s="1"/>
  <c r="I98" i="2"/>
  <c r="J98" i="2" s="1"/>
  <c r="I97" i="2"/>
  <c r="J97" i="2" s="1"/>
  <c r="I96" i="2"/>
  <c r="J96" i="2" s="1"/>
  <c r="I95" i="2"/>
  <c r="J95" i="2" s="1"/>
  <c r="I94" i="2"/>
  <c r="J94" i="2" s="1"/>
  <c r="I93" i="2"/>
  <c r="J93" i="2" s="1"/>
  <c r="J92" i="2"/>
  <c r="I92" i="2"/>
  <c r="I91" i="2"/>
  <c r="J91" i="2" s="1"/>
  <c r="I90" i="2"/>
  <c r="J90" i="2" s="1"/>
  <c r="I89" i="2"/>
  <c r="J89" i="2" s="1"/>
  <c r="I88" i="2"/>
  <c r="J88" i="2" s="1"/>
  <c r="I87" i="2"/>
  <c r="J87" i="2" s="1"/>
  <c r="I86" i="2"/>
  <c r="J86" i="2" s="1"/>
  <c r="I85" i="2"/>
  <c r="J85" i="2" s="1"/>
  <c r="I84" i="2"/>
  <c r="J84" i="2" s="1"/>
  <c r="J83" i="2"/>
  <c r="I83" i="2"/>
  <c r="I82" i="2"/>
  <c r="J82" i="2" s="1"/>
  <c r="I81" i="2"/>
  <c r="J81" i="2" s="1"/>
  <c r="I80" i="2"/>
  <c r="J80" i="2" s="1"/>
  <c r="I79" i="2"/>
  <c r="J79" i="2" s="1"/>
  <c r="I78" i="2"/>
  <c r="J78" i="2" s="1"/>
  <c r="I77" i="2"/>
  <c r="J77" i="2" s="1"/>
  <c r="I76" i="2"/>
  <c r="J76" i="2" s="1"/>
  <c r="I75" i="2"/>
  <c r="J75" i="2" s="1"/>
  <c r="I74" i="2"/>
  <c r="J74" i="2" s="1"/>
  <c r="I73" i="2"/>
  <c r="J73" i="2" s="1"/>
  <c r="I72" i="2"/>
  <c r="J72" i="2" s="1"/>
  <c r="J71" i="2"/>
  <c r="I71" i="2"/>
  <c r="I70" i="2"/>
  <c r="J70" i="2" s="1"/>
  <c r="J69" i="2"/>
  <c r="I69" i="2"/>
  <c r="I68" i="2"/>
  <c r="J68" i="2" s="1"/>
  <c r="I67" i="2"/>
  <c r="J67" i="2" s="1"/>
  <c r="I66" i="2"/>
  <c r="J66" i="2" s="1"/>
  <c r="I65" i="2"/>
  <c r="J65" i="2" s="1"/>
  <c r="I64" i="2"/>
  <c r="J64" i="2" s="1"/>
  <c r="I63" i="2"/>
  <c r="J63" i="2" s="1"/>
  <c r="I62" i="2"/>
  <c r="J62" i="2" s="1"/>
  <c r="I61" i="2"/>
  <c r="J61" i="2" s="1"/>
  <c r="J60" i="2"/>
  <c r="I60" i="2"/>
  <c r="I59" i="2"/>
  <c r="J59" i="2" s="1"/>
  <c r="I58" i="2"/>
  <c r="J58" i="2" s="1"/>
  <c r="J57" i="2"/>
  <c r="I57" i="2"/>
  <c r="I56" i="2"/>
  <c r="J56" i="2" s="1"/>
  <c r="I55" i="2"/>
  <c r="J55" i="2" s="1"/>
  <c r="I54" i="2"/>
  <c r="J54" i="2" s="1"/>
  <c r="I53" i="2"/>
  <c r="J53" i="2" s="1"/>
  <c r="I52" i="2"/>
  <c r="J52" i="2" s="1"/>
  <c r="J51" i="2"/>
  <c r="I51" i="2"/>
  <c r="I50" i="2"/>
  <c r="J50" i="2" s="1"/>
  <c r="I49" i="2"/>
  <c r="J49" i="2" s="1"/>
  <c r="I48" i="2"/>
  <c r="J48" i="2" s="1"/>
  <c r="I47" i="2"/>
  <c r="J47" i="2" s="1"/>
  <c r="I46" i="2"/>
  <c r="J46" i="2" s="1"/>
  <c r="I45" i="2"/>
  <c r="J45" i="2" s="1"/>
  <c r="I44" i="2"/>
  <c r="J44" i="2" s="1"/>
  <c r="I43" i="2"/>
  <c r="J43" i="2" s="1"/>
  <c r="I42" i="2"/>
  <c r="J42" i="2" s="1"/>
  <c r="I41" i="2"/>
  <c r="J41" i="2" s="1"/>
  <c r="I40" i="2"/>
  <c r="J40" i="2" s="1"/>
  <c r="I39" i="2"/>
  <c r="J39" i="2" s="1"/>
  <c r="I38" i="2"/>
  <c r="J38" i="2" s="1"/>
  <c r="J37" i="2"/>
  <c r="I37" i="2"/>
  <c r="I36" i="2"/>
  <c r="J36" i="2" s="1"/>
  <c r="I35" i="2"/>
  <c r="J35" i="2" s="1"/>
  <c r="I34" i="2"/>
  <c r="J34" i="2" s="1"/>
  <c r="I33" i="2"/>
  <c r="J33" i="2" s="1"/>
  <c r="I32" i="2"/>
  <c r="J32" i="2" s="1"/>
  <c r="I31" i="2"/>
  <c r="J31" i="2" s="1"/>
  <c r="I30" i="2"/>
  <c r="J30" i="2" s="1"/>
  <c r="I29" i="2"/>
  <c r="J29" i="2" s="1"/>
  <c r="J28" i="2"/>
  <c r="I28" i="2"/>
  <c r="I27" i="2"/>
  <c r="J27" i="2" s="1"/>
  <c r="I26" i="2"/>
  <c r="J26" i="2" s="1"/>
  <c r="I25" i="2"/>
  <c r="J25" i="2" s="1"/>
  <c r="I24" i="2"/>
  <c r="J24" i="2" s="1"/>
  <c r="I23" i="2"/>
  <c r="J23" i="2" s="1"/>
  <c r="I22" i="2"/>
  <c r="J22" i="2" s="1"/>
  <c r="I21" i="2"/>
  <c r="J21" i="2" s="1"/>
  <c r="I20" i="2"/>
  <c r="J20" i="2" s="1"/>
  <c r="J19" i="2"/>
  <c r="I19" i="2"/>
  <c r="I18" i="2"/>
  <c r="J18" i="2" s="1"/>
  <c r="I17" i="2"/>
  <c r="J17" i="2" s="1"/>
  <c r="I16" i="2"/>
  <c r="J16" i="2" s="1"/>
  <c r="I15" i="2"/>
  <c r="J15" i="2" s="1"/>
  <c r="I14" i="2"/>
  <c r="J14" i="2" s="1"/>
  <c r="I13" i="2"/>
  <c r="J13" i="2" s="1"/>
  <c r="I12" i="2"/>
  <c r="J12" i="2" s="1"/>
  <c r="I11" i="2"/>
  <c r="J11" i="2" s="1"/>
  <c r="I10" i="2"/>
  <c r="J10" i="2" s="1"/>
  <c r="J9" i="2"/>
  <c r="I9" i="2"/>
  <c r="I8" i="2"/>
  <c r="J8" i="2" s="1"/>
  <c r="I7" i="2"/>
  <c r="J7" i="2" s="1"/>
  <c r="I6" i="2"/>
  <c r="J6" i="2" s="1"/>
  <c r="J5" i="2"/>
  <c r="I5" i="2"/>
</calcChain>
</file>

<file path=xl/sharedStrings.xml><?xml version="1.0" encoding="utf-8"?>
<sst xmlns="http://schemas.openxmlformats.org/spreadsheetml/2006/main" count="5163" uniqueCount="1499">
  <si>
    <r>
      <rPr>
        <b/>
        <sz val="12"/>
        <rFont val="Arial"/>
        <family val="2"/>
      </rPr>
      <t xml:space="preserve">STATEMENT OF ACCOUNT
</t>
    </r>
    <r>
      <rPr>
        <sz val="6"/>
        <rFont val="Arial"/>
        <family val="2"/>
      </rPr>
      <t>FOR ACCOUNT NUMBER 0100106024702</t>
    </r>
  </si>
  <si>
    <r>
      <rPr>
        <sz val="6"/>
        <rFont val="Arial"/>
        <family val="2"/>
      </rPr>
      <t xml:space="preserve">From 01-Feb-2019 To 31-Dec-2019
</t>
    </r>
    <r>
      <rPr>
        <b/>
        <sz val="6"/>
        <rFont val="Arial"/>
        <family val="2"/>
      </rPr>
      <t>CURRENCY GHANA CEDI</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</si>
  <si>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0.00                                      0.00
</t>
    </r>
    <r>
      <rPr>
        <b/>
        <vertAlign val="superscript"/>
        <sz val="9.5"/>
        <rFont val="Times New Roman"/>
        <family val="1"/>
      </rPr>
      <t xml:space="preserve">C/O AFRICANUS NET LTD                                                            </t>
    </r>
    <r>
      <rPr>
        <sz val="8"/>
        <rFont val="Times New Roman"/>
        <family val="1"/>
      </rPr>
      <t xml:space="preserve">CLOSING BALANCE                               60,886.51                             60,886.51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4</t>
    </r>
  </si>
  <si>
    <r>
      <rPr>
        <sz val="8"/>
        <rFont val="Times New Roman"/>
        <family val="1"/>
      </rPr>
      <t>ENTRY DATE</t>
    </r>
  </si>
  <si>
    <r>
      <rPr>
        <sz val="8"/>
        <rFont val="Times New Roman"/>
        <family val="1"/>
      </rPr>
      <t>VALUE DATE</t>
    </r>
  </si>
  <si>
    <r>
      <rPr>
        <sz val="8"/>
        <rFont val="Times New Roman"/>
        <family val="1"/>
      </rPr>
      <t>DESCRIPTION</t>
    </r>
  </si>
  <si>
    <r>
      <rPr>
        <sz val="8"/>
        <rFont val="Times New Roman"/>
        <family val="1"/>
      </rPr>
      <t>DEBITS</t>
    </r>
  </si>
  <si>
    <r>
      <rPr>
        <sz val="8"/>
        <rFont val="Times New Roman"/>
        <family val="1"/>
      </rPr>
      <t>CREDITS</t>
    </r>
  </si>
  <si>
    <r>
      <rPr>
        <sz val="8"/>
        <rFont val="Times New Roman"/>
        <family val="1"/>
      </rPr>
      <t>BALANCE</t>
    </r>
  </si>
  <si>
    <r>
      <rPr>
        <sz val="8"/>
        <rFont val="Times New Roman"/>
        <family val="1"/>
      </rPr>
      <t xml:space="preserve">30-12-2019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</si>
  <si>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</si>
  <si>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BALANCE BROUGHT FORWARD
</t>
    </r>
    <r>
      <rPr>
        <sz val="8"/>
        <rFont val="Times New Roman"/>
        <family val="1"/>
      </rPr>
      <t xml:space="preserve">FAB CHQ# 484623 DRAWERS CONF NOT RECEIVED RTNS 02
</t>
    </r>
    <r>
      <rPr>
        <sz val="8"/>
        <rFont val="Times New Roman"/>
        <family val="1"/>
      </rPr>
      <t xml:space="preserve">FAB CHQ# 484625 DRAWERS CONF NOT RECEIVED RTNS 02
</t>
    </r>
    <r>
      <rPr>
        <sz val="8"/>
        <rFont val="Times New Roman"/>
        <family val="1"/>
      </rPr>
      <t xml:space="preserve">INW CLG 484623
</t>
    </r>
    <r>
      <rPr>
        <sz val="8"/>
        <rFont val="Times New Roman"/>
        <family val="1"/>
      </rPr>
      <t xml:space="preserve">INW CLG 484625
</t>
    </r>
    <r>
      <rPr>
        <sz val="8"/>
        <rFont val="Times New Roman"/>
        <family val="1"/>
      </rPr>
      <t xml:space="preserve">INW CLG 484624
</t>
    </r>
    <r>
      <rPr>
        <sz val="8"/>
        <rFont val="Times New Roman"/>
        <family val="1"/>
      </rPr>
      <t xml:space="preserve">FUNDS TRANSFER FROM 0100106024701 CMO 006
</t>
    </r>
    <r>
      <rPr>
        <sz val="8"/>
        <rFont val="Times New Roman"/>
        <family val="1"/>
      </rPr>
      <t xml:space="preserve">0000484622 DRAWERS CONFIRMATION REQUIRED
</t>
    </r>
    <r>
      <rPr>
        <sz val="8"/>
        <rFont val="Times New Roman"/>
        <family val="1"/>
      </rPr>
      <t xml:space="preserve">INW CLG 484622
</t>
    </r>
    <r>
      <rPr>
        <sz val="8"/>
        <rFont val="Times New Roman"/>
        <family val="1"/>
      </rPr>
      <t xml:space="preserve">0000484661 CASH WITHDRAWAL=IFO OLIV
</t>
    </r>
    <r>
      <rPr>
        <sz val="8"/>
        <rFont val="Times New Roman"/>
        <family val="1"/>
      </rPr>
      <t xml:space="preserve">DEBIT INTEREST
</t>
    </r>
    <r>
      <rPr>
        <sz val="8"/>
        <rFont val="Times New Roman"/>
        <family val="1"/>
      </rPr>
      <t>END OF STATEMENT</t>
    </r>
  </si>
  <si>
    <r>
      <rPr>
        <sz val="8"/>
        <rFont val="Times New Roman"/>
        <family val="1"/>
      </rPr>
      <t xml:space="preserve">-
</t>
    </r>
    <r>
      <rPr>
        <sz val="8"/>
        <rFont val="Times New Roman"/>
        <family val="1"/>
      </rPr>
      <t xml:space="preserve">-
</t>
    </r>
    <r>
      <rPr>
        <sz val="8"/>
        <rFont val="Times New Roman"/>
        <family val="1"/>
      </rPr>
      <t xml:space="preserve">2,702.04
</t>
    </r>
    <r>
      <rPr>
        <sz val="8"/>
        <rFont val="Times New Roman"/>
        <family val="1"/>
      </rPr>
      <t xml:space="preserve">13,454.33
</t>
    </r>
    <r>
      <rPr>
        <sz val="8"/>
        <rFont val="Times New Roman"/>
        <family val="1"/>
      </rPr>
      <t xml:space="preserve">23,487.55
</t>
    </r>
    <r>
      <rPr>
        <sz val="8"/>
        <rFont val="Times New Roman"/>
        <family val="1"/>
      </rPr>
      <t xml:space="preserve">-
</t>
    </r>
    <r>
      <rPr>
        <sz val="8"/>
        <rFont val="Times New Roman"/>
        <family val="1"/>
      </rPr>
      <t xml:space="preserve">-
</t>
    </r>
    <r>
      <rPr>
        <sz val="8"/>
        <rFont val="Times New Roman"/>
        <family val="1"/>
      </rPr>
      <t xml:space="preserve">645.05
</t>
    </r>
    <r>
      <rPr>
        <sz val="8"/>
        <rFont val="Times New Roman"/>
        <family val="1"/>
      </rPr>
      <t xml:space="preserve">15,598.92
</t>
    </r>
    <r>
      <rPr>
        <sz val="8"/>
        <rFont val="Times New Roman"/>
        <family val="1"/>
      </rPr>
      <t>27.02</t>
    </r>
  </si>
  <si>
    <r>
      <rPr>
        <sz val="8"/>
        <rFont val="Times New Roman"/>
        <family val="1"/>
      </rPr>
      <t xml:space="preserve">2,702.04
</t>
    </r>
    <r>
      <rPr>
        <sz val="8"/>
        <rFont val="Times New Roman"/>
        <family val="1"/>
      </rPr>
      <t xml:space="preserve">13,454.33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100,000.00
</t>
    </r>
    <r>
      <rPr>
        <sz val="8"/>
        <rFont val="Times New Roman"/>
        <family val="1"/>
      </rPr>
      <t xml:space="preserve">645.05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</si>
  <si>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0.00
</t>
    </r>
    <r>
      <rPr>
        <sz val="8"/>
        <rFont val="Times New Roman"/>
        <family val="1"/>
      </rPr>
      <t xml:space="preserve">2,702.04
</t>
    </r>
    <r>
      <rPr>
        <sz val="8"/>
        <rFont val="Times New Roman"/>
        <family val="1"/>
      </rPr>
      <t xml:space="preserve">16,156.37
</t>
    </r>
    <r>
      <rPr>
        <sz val="8"/>
        <rFont val="Times New Roman"/>
        <family val="1"/>
      </rPr>
      <t xml:space="preserve">13,454.33
</t>
    </r>
    <r>
      <rPr>
        <sz val="8"/>
        <rFont val="Times New Roman"/>
        <family val="1"/>
      </rPr>
      <t xml:space="preserve">0.00
</t>
    </r>
    <r>
      <rPr>
        <sz val="8"/>
        <rFont val="Times New Roman"/>
        <family val="1"/>
      </rPr>
      <t xml:space="preserve">-23,487.55
</t>
    </r>
    <r>
      <rPr>
        <sz val="8"/>
        <rFont val="Times New Roman"/>
        <family val="1"/>
      </rPr>
      <t xml:space="preserve">76,512.45
</t>
    </r>
    <r>
      <rPr>
        <sz val="8"/>
        <rFont val="Times New Roman"/>
        <family val="1"/>
      </rPr>
      <t xml:space="preserve">77,157.50
</t>
    </r>
    <r>
      <rPr>
        <sz val="8"/>
        <rFont val="Times New Roman"/>
        <family val="1"/>
      </rPr>
      <t xml:space="preserve">76,512.45
</t>
    </r>
    <r>
      <rPr>
        <sz val="8"/>
        <rFont val="Times New Roman"/>
        <family val="1"/>
      </rPr>
      <t xml:space="preserve">60,913.53
</t>
    </r>
    <r>
      <rPr>
        <sz val="8"/>
        <rFont val="Times New Roman"/>
        <family val="1"/>
      </rPr>
      <t>60,886.51</t>
    </r>
  </si>
  <si>
    <r>
      <rPr>
        <sz val="6.5"/>
        <rFont val="Times New Roman"/>
        <family val="1"/>
      </rPr>
      <t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
</t>
    </r>
    <r>
      <rPr>
        <sz val="6.5"/>
        <rFont val="Times New Roman"/>
        <family val="1"/>
      </rPr>
      <t>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t>
    </r>
  </si>
  <si>
    <r>
      <rPr>
        <sz val="5.5"/>
        <rFont val="Times New Roman"/>
        <family val="1"/>
      </rPr>
      <t xml:space="preserve">Highstreet
</t>
    </r>
    <r>
      <rPr>
        <sz val="5.5"/>
        <rFont val="Times New Roman"/>
        <family val="1"/>
      </rPr>
      <t>** This is a re-generated copy **</t>
    </r>
  </si>
  <si>
    <r>
      <rPr>
        <sz val="8"/>
        <rFont val="Arial"/>
        <family val="2"/>
      </rPr>
      <t>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</si>
  <si>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60,886.51                           240,467.88
</t>
    </r>
    <r>
      <rPr>
        <b/>
        <vertAlign val="superscript"/>
        <sz val="9.5"/>
        <rFont val="Times New Roman"/>
        <family val="1"/>
      </rPr>
      <t xml:space="preserve">C/O AFRICANUS NET LTD                                                            </t>
    </r>
    <r>
      <rPr>
        <sz val="8"/>
        <rFont val="Times New Roman"/>
        <family val="1"/>
      </rPr>
      <t xml:space="preserve">CLOSING BALANCE                             240,467.88                           240,467.88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</si>
  <si>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BALANCE BROUGHT FORWARD</t>
    </r>
  </si>
  <si>
    <r>
      <rPr>
        <sz val="8"/>
        <rFont val="Times New Roman"/>
        <family val="1"/>
      </rPr>
      <t>CHQ # 484623 INWARD CLEARING INW 0 .</t>
    </r>
  </si>
  <si>
    <r>
      <rPr>
        <sz val="8"/>
        <rFont val="Times New Roman"/>
        <family val="1"/>
      </rPr>
      <t>-</t>
    </r>
  </si>
  <si>
    <r>
      <rPr>
        <sz val="8"/>
        <rFont val="Times New Roman"/>
        <family val="1"/>
      </rPr>
      <t>CHQ # 484625 INWARD CLEARING INW 0 .</t>
    </r>
  </si>
  <si>
    <r>
      <rPr>
        <sz val="8"/>
        <rFont val="Times New Roman"/>
        <family val="1"/>
      </rPr>
      <t>INW CLG 484622</t>
    </r>
  </si>
  <si>
    <r>
      <rPr>
        <sz val="8"/>
        <rFont val="Times New Roman"/>
        <family val="1"/>
      </rPr>
      <t>INW CLG 484664</t>
    </r>
  </si>
  <si>
    <r>
      <rPr>
        <sz val="8"/>
        <rFont val="Times New Roman"/>
        <family val="1"/>
      </rPr>
      <t>0000484636 SCB,CHQ#484636,IFO MULTI</t>
    </r>
  </si>
  <si>
    <r>
      <rPr>
        <sz val="8"/>
        <rFont val="Times New Roman"/>
        <family val="1"/>
      </rPr>
      <t>0000484697 CASH WITHDRAWAL-IBRAHIM</t>
    </r>
  </si>
  <si>
    <r>
      <rPr>
        <sz val="8"/>
        <rFont val="Times New Roman"/>
        <family val="1"/>
      </rPr>
      <t>INW CLG 484647</t>
    </r>
  </si>
  <si>
    <r>
      <rPr>
        <sz val="8"/>
        <rFont val="Times New Roman"/>
        <family val="1"/>
      </rPr>
      <t>SWEEP FROM GHS 0100106024701</t>
    </r>
  </si>
  <si>
    <r>
      <rPr>
        <sz val="8"/>
        <rFont val="Times New Roman"/>
        <family val="1"/>
      </rPr>
      <t>INW CLG 484687</t>
    </r>
  </si>
  <si>
    <r>
      <rPr>
        <sz val="8"/>
        <rFont val="Times New Roman"/>
        <family val="1"/>
      </rPr>
      <t>INW CLG 484685</t>
    </r>
  </si>
  <si>
    <r>
      <rPr>
        <sz val="8"/>
        <rFont val="Times New Roman"/>
        <family val="1"/>
      </rPr>
      <t>INW CLG 484689</t>
    </r>
  </si>
  <si>
    <r>
      <rPr>
        <sz val="5.5"/>
        <rFont val="Times New Roman"/>
        <family val="1"/>
      </rPr>
      <t>Highstreet</t>
    </r>
  </si>
  <si>
    <r>
      <rPr>
        <sz val="5.5"/>
        <rFont val="Times New Roman"/>
        <family val="1"/>
      </rPr>
      <t>** This is a re-generated copy **</t>
    </r>
  </si>
  <si>
    <r>
      <rPr>
        <sz val="8"/>
        <rFont val="Arial"/>
        <family val="2"/>
      </rPr>
      <t>2 / 71</t>
    </r>
  </si>
  <si>
    <r>
      <rPr>
        <b/>
        <sz val="9.5"/>
        <rFont val="Times New Roman"/>
        <family val="1"/>
      </rPr>
      <t xml:space="preserve">TGL PROPERTIES LTD C/O AFRICANUS NET LTD
</t>
    </r>
    <r>
      <rPr>
        <b/>
        <sz val="9.5"/>
        <rFont val="Times New Roman"/>
        <family val="1"/>
      </rPr>
      <t>BOX CT2277 CANTONMENTS-ACCRA</t>
    </r>
  </si>
  <si>
    <r>
      <rPr>
        <sz val="8"/>
        <rFont val="Times New Roman"/>
        <family val="1"/>
      </rPr>
      <t>0000484683 CASH WITHDRAWN BY ADDO F</t>
    </r>
  </si>
  <si>
    <r>
      <rPr>
        <sz val="8"/>
        <rFont val="Times New Roman"/>
        <family val="1"/>
      </rPr>
      <t>INW CLG 484646</t>
    </r>
  </si>
  <si>
    <r>
      <rPr>
        <sz val="8"/>
        <rFont val="Times New Roman"/>
        <family val="1"/>
      </rPr>
      <t>GTBTRPTRF5020 IT00101903150258 TGL PROPERTIES LTD</t>
    </r>
  </si>
  <si>
    <r>
      <rPr>
        <sz val="8"/>
        <rFont val="Times New Roman"/>
        <family val="1"/>
      </rPr>
      <t>/REC/TRF IFO</t>
    </r>
  </si>
  <si>
    <r>
      <rPr>
        <sz val="8"/>
        <rFont val="Times New Roman"/>
        <family val="1"/>
      </rPr>
      <t>INW CLG 484688</t>
    </r>
  </si>
  <si>
    <r>
      <rPr>
        <sz val="8"/>
        <rFont val="Times New Roman"/>
        <family val="1"/>
      </rPr>
      <t>INW CLG 484686</t>
    </r>
  </si>
  <si>
    <r>
      <rPr>
        <sz val="8"/>
        <rFont val="Times New Roman"/>
        <family val="1"/>
      </rPr>
      <t>INW CLG 484642</t>
    </r>
  </si>
  <si>
    <r>
      <rPr>
        <sz val="8"/>
        <rFont val="Times New Roman"/>
        <family val="1"/>
      </rPr>
      <t>INW CLG 484645</t>
    </r>
  </si>
  <si>
    <r>
      <rPr>
        <sz val="8"/>
        <rFont val="Times New Roman"/>
        <family val="1"/>
      </rPr>
      <t>INW CLG 484635</t>
    </r>
  </si>
  <si>
    <r>
      <rPr>
        <sz val="8"/>
        <rFont val="Times New Roman"/>
        <family val="1"/>
      </rPr>
      <t>INW CLG 484620</t>
    </r>
  </si>
  <si>
    <r>
      <rPr>
        <sz val="8"/>
        <rFont val="Times New Roman"/>
        <family val="1"/>
      </rPr>
      <t>INW CLG 484675</t>
    </r>
  </si>
  <si>
    <r>
      <rPr>
        <sz val="8"/>
        <rFont val="Arial"/>
        <family val="2"/>
      </rPr>
      <t>3 / 71</t>
    </r>
  </si>
  <si>
    <r>
      <rPr>
        <sz val="8"/>
        <rFont val="Times New Roman"/>
        <family val="1"/>
      </rPr>
      <t>INW CLG 484629</t>
    </r>
  </si>
  <si>
    <r>
      <rPr>
        <sz val="8"/>
        <rFont val="Times New Roman"/>
        <family val="1"/>
      </rPr>
      <t>INW CLG 484619</t>
    </r>
  </si>
  <si>
    <r>
      <rPr>
        <sz val="8"/>
        <rFont val="Times New Roman"/>
        <family val="1"/>
      </rPr>
      <t>INW CLG 484628</t>
    </r>
  </si>
  <si>
    <r>
      <rPr>
        <sz val="8"/>
        <rFont val="Times New Roman"/>
        <family val="1"/>
      </rPr>
      <t>INW CLG 484638</t>
    </r>
  </si>
  <si>
    <r>
      <rPr>
        <sz val="8"/>
        <rFont val="Times New Roman"/>
        <family val="1"/>
      </rPr>
      <t>INW CLG 484673</t>
    </r>
  </si>
  <si>
    <r>
      <rPr>
        <sz val="8"/>
        <rFont val="Times New Roman"/>
        <family val="1"/>
      </rPr>
      <t>INW CLG 484643</t>
    </r>
  </si>
  <si>
    <r>
      <rPr>
        <sz val="8"/>
        <rFont val="Times New Roman"/>
        <family val="1"/>
      </rPr>
      <t>INW CLG 484649</t>
    </r>
  </si>
  <si>
    <r>
      <rPr>
        <sz val="8"/>
        <rFont val="Times New Roman"/>
        <family val="1"/>
      </rPr>
      <t>INW CLG 484611</t>
    </r>
  </si>
  <si>
    <r>
      <rPr>
        <sz val="8"/>
        <rFont val="Times New Roman"/>
        <family val="1"/>
      </rPr>
      <t>INW CLG 484659</t>
    </r>
  </si>
  <si>
    <r>
      <rPr>
        <sz val="8"/>
        <rFont val="Times New Roman"/>
        <family val="1"/>
      </rPr>
      <t>INW CLG 484637</t>
    </r>
  </si>
  <si>
    <r>
      <rPr>
        <sz val="8"/>
        <rFont val="Arial"/>
        <family val="2"/>
      </rPr>
      <t>4 / 71</t>
    </r>
  </si>
  <si>
    <r>
      <rPr>
        <sz val="8"/>
        <rFont val="Times New Roman"/>
        <family val="1"/>
      </rPr>
      <t>INW CLG 484677</t>
    </r>
  </si>
  <si>
    <r>
      <rPr>
        <sz val="8"/>
        <rFont val="Times New Roman"/>
        <family val="1"/>
      </rPr>
      <t>INW CLG 484662</t>
    </r>
  </si>
  <si>
    <r>
      <rPr>
        <sz val="8"/>
        <rFont val="Times New Roman"/>
        <family val="1"/>
      </rPr>
      <t>INW CLG 484617</t>
    </r>
  </si>
  <si>
    <r>
      <rPr>
        <sz val="8"/>
        <rFont val="Times New Roman"/>
        <family val="1"/>
      </rPr>
      <t>INW CLG 484657</t>
    </r>
  </si>
  <si>
    <r>
      <rPr>
        <sz val="8"/>
        <rFont val="Times New Roman"/>
        <family val="1"/>
      </rPr>
      <t>INW CLG 484648</t>
    </r>
  </si>
  <si>
    <r>
      <rPr>
        <sz val="8"/>
        <rFont val="Times New Roman"/>
        <family val="1"/>
      </rPr>
      <t>INW CLG 484633</t>
    </r>
  </si>
  <si>
    <r>
      <rPr>
        <sz val="8"/>
        <rFont val="Times New Roman"/>
        <family val="1"/>
      </rPr>
      <t>INW CLG 484667</t>
    </r>
  </si>
  <si>
    <r>
      <rPr>
        <sz val="8"/>
        <rFont val="Times New Roman"/>
        <family val="1"/>
      </rPr>
      <t>INW CLG 484663</t>
    </r>
  </si>
  <si>
    <r>
      <rPr>
        <sz val="8"/>
        <rFont val="Times New Roman"/>
        <family val="1"/>
      </rPr>
      <t>INW CLG 484684</t>
    </r>
  </si>
  <si>
    <r>
      <rPr>
        <sz val="8"/>
        <rFont val="Times New Roman"/>
        <family val="1"/>
      </rPr>
      <t>INW CLG 484654</t>
    </r>
  </si>
  <si>
    <r>
      <rPr>
        <sz val="8"/>
        <rFont val="Arial"/>
        <family val="2"/>
      </rPr>
      <t>5 / 71</t>
    </r>
  </si>
  <si>
    <r>
      <rPr>
        <sz val="8"/>
        <rFont val="Times New Roman"/>
        <family val="1"/>
      </rPr>
      <t>INW CLG 484655</t>
    </r>
  </si>
  <si>
    <r>
      <rPr>
        <sz val="8"/>
        <rFont val="Times New Roman"/>
        <family val="1"/>
      </rPr>
      <t>INW CLG 210656</t>
    </r>
  </si>
  <si>
    <r>
      <rPr>
        <sz val="8"/>
        <rFont val="Times New Roman"/>
        <family val="1"/>
      </rPr>
      <t>INW CLG 484606</t>
    </r>
  </si>
  <si>
    <r>
      <rPr>
        <sz val="8"/>
        <rFont val="Times New Roman"/>
        <family val="1"/>
      </rPr>
      <t>INW CLG 484603</t>
    </r>
  </si>
  <si>
    <r>
      <rPr>
        <sz val="8"/>
        <rFont val="Times New Roman"/>
        <family val="1"/>
      </rPr>
      <t>INW CLG 484601</t>
    </r>
  </si>
  <si>
    <r>
      <rPr>
        <sz val="8"/>
        <rFont val="Times New Roman"/>
        <family val="1"/>
      </rPr>
      <t>0000484666 SCB HIGH STRT. CHQ#48466 TRANSMED GHANA</t>
    </r>
  </si>
  <si>
    <r>
      <rPr>
        <sz val="8"/>
        <rFont val="Times New Roman"/>
        <family val="1"/>
      </rPr>
      <t>LTD</t>
    </r>
  </si>
  <si>
    <r>
      <rPr>
        <sz val="8"/>
        <rFont val="Times New Roman"/>
        <family val="1"/>
      </rPr>
      <t>INW CLG 484660</t>
    </r>
  </si>
  <si>
    <r>
      <rPr>
        <sz val="8"/>
        <rFont val="Times New Roman"/>
        <family val="1"/>
      </rPr>
      <t>INW CLG 210655</t>
    </r>
  </si>
  <si>
    <r>
      <rPr>
        <sz val="8"/>
        <rFont val="Times New Roman"/>
        <family val="1"/>
      </rPr>
      <t>INW CLG 484640</t>
    </r>
  </si>
  <si>
    <r>
      <rPr>
        <sz val="8"/>
        <rFont val="Times New Roman"/>
        <family val="1"/>
      </rPr>
      <t>0000484650 CASH WITHDRAWN BY OLIVIA</t>
    </r>
  </si>
  <si>
    <r>
      <rPr>
        <sz val="8"/>
        <rFont val="Times New Roman"/>
        <family val="1"/>
      </rPr>
      <t>BILL NO: 18687578 26/03/2019 GR:126</t>
    </r>
  </si>
  <si>
    <r>
      <rPr>
        <sz val="8"/>
        <rFont val="Arial"/>
        <family val="2"/>
      </rPr>
      <t>6 / 71</t>
    </r>
  </si>
  <si>
    <r>
      <rPr>
        <sz val="8"/>
        <rFont val="Times New Roman"/>
        <family val="1"/>
      </rPr>
      <t xml:space="preserve">27-03-2019
</t>
    </r>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</si>
  <si>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</si>
  <si>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BALANCE BROUGHT FORWARD
</t>
    </r>
    <r>
      <rPr>
        <sz val="8"/>
        <rFont val="Times New Roman"/>
        <family val="1"/>
      </rPr>
      <t xml:space="preserve">MARCH 2019 SALARY SAL 010 SCW204GH0100270319512376
</t>
    </r>
    <r>
      <rPr>
        <sz val="8"/>
        <rFont val="Times New Roman"/>
        <family val="1"/>
      </rPr>
      <t xml:space="preserve">SWEEP FROM GHS 0100106024701
</t>
    </r>
    <r>
      <rPr>
        <sz val="8"/>
        <rFont val="Times New Roman"/>
        <family val="1"/>
      </rPr>
      <t xml:space="preserve">CHARGES ON SALARY TO OTHER BANKS SAL 024
</t>
    </r>
    <r>
      <rPr>
        <sz val="8"/>
        <rFont val="Times New Roman"/>
        <family val="1"/>
      </rPr>
      <t xml:space="preserve">SWEEP FROM GHS 0100106024701
</t>
    </r>
    <r>
      <rPr>
        <sz val="8"/>
        <rFont val="Times New Roman"/>
        <family val="1"/>
      </rPr>
      <t xml:space="preserve">INW CLG 210630
</t>
    </r>
    <r>
      <rPr>
        <sz val="8"/>
        <rFont val="Times New Roman"/>
        <family val="1"/>
      </rPr>
      <t>END OF STATEMENT</t>
    </r>
  </si>
  <si>
    <r>
      <rPr>
        <sz val="8"/>
        <rFont val="Times New Roman"/>
        <family val="1"/>
      </rPr>
      <t xml:space="preserve">202,395.28
</t>
    </r>
    <r>
      <rPr>
        <sz val="8"/>
        <rFont val="Times New Roman"/>
        <family val="1"/>
      </rPr>
      <t xml:space="preserve">-
</t>
    </r>
    <r>
      <rPr>
        <sz val="8"/>
        <rFont val="Times New Roman"/>
        <family val="1"/>
      </rPr>
      <t xml:space="preserve">302.50
</t>
    </r>
    <r>
      <rPr>
        <sz val="8"/>
        <rFont val="Times New Roman"/>
        <family val="1"/>
      </rPr>
      <t xml:space="preserve">-
</t>
    </r>
    <r>
      <rPr>
        <sz val="8"/>
        <rFont val="Times New Roman"/>
        <family val="1"/>
      </rPr>
      <t>4,490.56</t>
    </r>
  </si>
  <si>
    <r>
      <rPr>
        <sz val="8"/>
        <rFont val="Times New Roman"/>
        <family val="1"/>
      </rPr>
      <t xml:space="preserve">-
</t>
    </r>
    <r>
      <rPr>
        <sz val="8"/>
        <rFont val="Times New Roman"/>
        <family val="1"/>
      </rPr>
      <t xml:space="preserve">58,257.53
</t>
    </r>
    <r>
      <rPr>
        <sz val="8"/>
        <rFont val="Times New Roman"/>
        <family val="1"/>
      </rPr>
      <t xml:space="preserve">-
</t>
    </r>
    <r>
      <rPr>
        <sz val="8"/>
        <rFont val="Times New Roman"/>
        <family val="1"/>
      </rPr>
      <t xml:space="preserve">66,910.75
</t>
    </r>
    <r>
      <rPr>
        <sz val="8"/>
        <rFont val="Times New Roman"/>
        <family val="1"/>
      </rPr>
      <t>-</t>
    </r>
  </si>
  <si>
    <r>
      <rPr>
        <sz val="8"/>
        <rFont val="Times New Roman"/>
        <family val="1"/>
      </rPr>
      <t xml:space="preserve">322,487.94
</t>
    </r>
    <r>
      <rPr>
        <sz val="8"/>
        <rFont val="Times New Roman"/>
        <family val="1"/>
      </rPr>
      <t xml:space="preserve">120,092.66
</t>
    </r>
    <r>
      <rPr>
        <sz val="8"/>
        <rFont val="Times New Roman"/>
        <family val="1"/>
      </rPr>
      <t xml:space="preserve">178,350.19
</t>
    </r>
    <r>
      <rPr>
        <sz val="8"/>
        <rFont val="Times New Roman"/>
        <family val="1"/>
      </rPr>
      <t xml:space="preserve">178,047.69
</t>
    </r>
    <r>
      <rPr>
        <sz val="8"/>
        <rFont val="Times New Roman"/>
        <family val="1"/>
      </rPr>
      <t xml:space="preserve">244,958.44
</t>
    </r>
    <r>
      <rPr>
        <sz val="8"/>
        <rFont val="Times New Roman"/>
        <family val="1"/>
      </rPr>
      <t>240,467.88</t>
    </r>
  </si>
  <si>
    <r>
      <rPr>
        <sz val="8"/>
        <rFont val="Arial"/>
        <family val="2"/>
      </rPr>
      <t>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</si>
  <si>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240,467.88                           639,815.87
</t>
    </r>
    <r>
      <rPr>
        <b/>
        <vertAlign val="superscript"/>
        <sz val="9.5"/>
        <rFont val="Times New Roman"/>
        <family val="1"/>
      </rPr>
      <t xml:space="preserve">C/O AFRICANUS NET LTD                                                            </t>
    </r>
    <r>
      <rPr>
        <sz val="8"/>
        <rFont val="Times New Roman"/>
        <family val="1"/>
      </rPr>
      <t xml:space="preserve">CLOSING BALANCE                             639,815.87                           639,815.87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</si>
  <si>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0000210698 CASH WITHDRAWAL-BASSIROU</t>
    </r>
  </si>
  <si>
    <r>
      <rPr>
        <sz val="8"/>
        <rFont val="Times New Roman"/>
        <family val="1"/>
      </rPr>
      <t>0000210673 CASH WITHDRAWN BY OLIVIA</t>
    </r>
  </si>
  <si>
    <r>
      <rPr>
        <sz val="8"/>
        <rFont val="Times New Roman"/>
        <family val="1"/>
      </rPr>
      <t>INW CLG 484626</t>
    </r>
  </si>
  <si>
    <r>
      <rPr>
        <sz val="8"/>
        <rFont val="Times New Roman"/>
        <family val="1"/>
      </rPr>
      <t>INW CLG 484639</t>
    </r>
  </si>
  <si>
    <r>
      <rPr>
        <sz val="8"/>
        <rFont val="Times New Roman"/>
        <family val="1"/>
      </rPr>
      <t>INW CLG 210674</t>
    </r>
  </si>
  <si>
    <r>
      <rPr>
        <sz val="8"/>
        <rFont val="Times New Roman"/>
        <family val="1"/>
      </rPr>
      <t>INW CLG 210633</t>
    </r>
  </si>
  <si>
    <r>
      <rPr>
        <sz val="8"/>
        <rFont val="Times New Roman"/>
        <family val="1"/>
      </rPr>
      <t>INW CLG 210658</t>
    </r>
  </si>
  <si>
    <r>
      <rPr>
        <sz val="8"/>
        <rFont val="Times New Roman"/>
        <family val="1"/>
      </rPr>
      <t>0000210696 SCB #210696 IFO MULTICHO</t>
    </r>
  </si>
  <si>
    <r>
      <rPr>
        <sz val="8"/>
        <rFont val="Arial"/>
        <family val="2"/>
      </rPr>
      <t>8 / 71</t>
    </r>
  </si>
  <si>
    <r>
      <rPr>
        <sz val="8"/>
        <rFont val="Times New Roman"/>
        <family val="1"/>
      </rPr>
      <t>SCB CHQ# 484604 TRF IFO PETRA ADVA PENSION SCHEME</t>
    </r>
  </si>
  <si>
    <r>
      <rPr>
        <sz val="8"/>
        <rFont val="Times New Roman"/>
        <family val="1"/>
      </rPr>
      <t>INW CLG 484652</t>
    </r>
  </si>
  <si>
    <r>
      <rPr>
        <sz val="8"/>
        <rFont val="Times New Roman"/>
        <family val="1"/>
      </rPr>
      <t>BILL NO: 18757983 04/04/2019 GR:99</t>
    </r>
  </si>
  <si>
    <r>
      <rPr>
        <sz val="8"/>
        <rFont val="Times New Roman"/>
        <family val="1"/>
      </rPr>
      <t>INW CLG 210672</t>
    </r>
  </si>
  <si>
    <r>
      <rPr>
        <sz val="8"/>
        <rFont val="Times New Roman"/>
        <family val="1"/>
      </rPr>
      <t>INW CLG 210683</t>
    </r>
  </si>
  <si>
    <r>
      <rPr>
        <sz val="8"/>
        <rFont val="Times New Roman"/>
        <family val="1"/>
      </rPr>
      <t>0000259028 CASH WITHDRAWAL-AMADOU B THIQUINE</t>
    </r>
  </si>
  <si>
    <r>
      <rPr>
        <sz val="8"/>
        <rFont val="Times New Roman"/>
        <family val="1"/>
      </rPr>
      <t>INW CLG 210669</t>
    </r>
  </si>
  <si>
    <r>
      <rPr>
        <sz val="8"/>
        <rFont val="Arial"/>
        <family val="2"/>
      </rPr>
      <t>9 / 71</t>
    </r>
  </si>
  <si>
    <r>
      <rPr>
        <sz val="8"/>
        <rFont val="Times New Roman"/>
        <family val="1"/>
      </rPr>
      <t>INW CLG 210641</t>
    </r>
  </si>
  <si>
    <r>
      <rPr>
        <sz val="8"/>
        <rFont val="Times New Roman"/>
        <family val="1"/>
      </rPr>
      <t>INW CLG 484669</t>
    </r>
  </si>
  <si>
    <r>
      <rPr>
        <sz val="8"/>
        <rFont val="Times New Roman"/>
        <family val="1"/>
      </rPr>
      <t>INW CLG 484671</t>
    </r>
  </si>
  <si>
    <r>
      <rPr>
        <sz val="8"/>
        <rFont val="Times New Roman"/>
        <family val="1"/>
      </rPr>
      <t>INW CLG 484672</t>
    </r>
  </si>
  <si>
    <r>
      <rPr>
        <sz val="8"/>
        <rFont val="Times New Roman"/>
        <family val="1"/>
      </rPr>
      <t>0000484630 SCB #484630 IFO GGBL</t>
    </r>
  </si>
  <si>
    <r>
      <rPr>
        <sz val="8"/>
        <rFont val="Times New Roman"/>
        <family val="1"/>
      </rPr>
      <t>INW CLG 259049</t>
    </r>
  </si>
  <si>
    <r>
      <rPr>
        <sz val="8"/>
        <rFont val="Times New Roman"/>
        <family val="1"/>
      </rPr>
      <t>INW CLG 484700</t>
    </r>
  </si>
  <si>
    <r>
      <rPr>
        <sz val="8"/>
        <rFont val="Times New Roman"/>
        <family val="1"/>
      </rPr>
      <t>CHQ# 210662 DRAWERS SIGNATURE NOT PER MANDATE CLG</t>
    </r>
  </si>
  <si>
    <r>
      <rPr>
        <sz val="8"/>
        <rFont val="Times New Roman"/>
        <family val="1"/>
      </rPr>
      <t>CHQ# 259029 DRAWERS SIGNATURE NOT AS PER MANDATE</t>
    </r>
  </si>
  <si>
    <r>
      <rPr>
        <sz val="8"/>
        <rFont val="Times New Roman"/>
        <family val="1"/>
      </rPr>
      <t>CLG 09</t>
    </r>
  </si>
  <si>
    <r>
      <rPr>
        <sz val="8"/>
        <rFont val="Arial"/>
        <family val="2"/>
      </rPr>
      <t>10 / 71</t>
    </r>
  </si>
  <si>
    <r>
      <rPr>
        <sz val="8"/>
        <rFont val="Times New Roman"/>
        <family val="1"/>
      </rPr>
      <t>CHQ# 259058 DRAWERS SIGNATURE NOT AS PER MANDATE</t>
    </r>
  </si>
  <si>
    <r>
      <rPr>
        <sz val="8"/>
        <rFont val="Times New Roman"/>
        <family val="1"/>
      </rPr>
      <t>INW CLG 210662</t>
    </r>
  </si>
  <si>
    <r>
      <rPr>
        <sz val="8"/>
        <rFont val="Times New Roman"/>
        <family val="1"/>
      </rPr>
      <t>INW CLG 259029</t>
    </r>
  </si>
  <si>
    <r>
      <rPr>
        <sz val="8"/>
        <rFont val="Times New Roman"/>
        <family val="1"/>
      </rPr>
      <t>INW CLG 259058</t>
    </r>
  </si>
  <si>
    <r>
      <rPr>
        <sz val="8"/>
        <rFont val="Times New Roman"/>
        <family val="1"/>
      </rPr>
      <t>INW CLG 210684</t>
    </r>
  </si>
  <si>
    <r>
      <rPr>
        <sz val="8"/>
        <rFont val="Times New Roman"/>
        <family val="1"/>
      </rPr>
      <t>INW CLG 259009</t>
    </r>
  </si>
  <si>
    <r>
      <rPr>
        <sz val="8"/>
        <rFont val="Times New Roman"/>
        <family val="1"/>
      </rPr>
      <t>INW CLG 259063</t>
    </r>
  </si>
  <si>
    <r>
      <rPr>
        <sz val="8"/>
        <rFont val="Times New Roman"/>
        <family val="1"/>
      </rPr>
      <t>INW CLG 210677</t>
    </r>
  </si>
  <si>
    <r>
      <rPr>
        <sz val="8"/>
        <rFont val="Times New Roman"/>
        <family val="1"/>
      </rPr>
      <t>INW CLG 210700</t>
    </r>
  </si>
  <si>
    <r>
      <rPr>
        <sz val="8"/>
        <rFont val="Arial"/>
        <family val="2"/>
      </rPr>
      <t>11 / 71</t>
    </r>
  </si>
  <si>
    <r>
      <rPr>
        <sz val="8"/>
        <rFont val="Times New Roman"/>
        <family val="1"/>
      </rPr>
      <t>CHQ# 259059 DRAWERS SIGNATURE NOT AS PER MANDATE</t>
    </r>
  </si>
  <si>
    <r>
      <rPr>
        <sz val="8"/>
        <rFont val="Times New Roman"/>
        <family val="1"/>
      </rPr>
      <t>CLG 11</t>
    </r>
  </si>
  <si>
    <r>
      <rPr>
        <sz val="8"/>
        <rFont val="Times New Roman"/>
        <family val="1"/>
      </rPr>
      <t>CHQ# 259096 DRAWERS SIGNATURE NOT AS PER MANDATE</t>
    </r>
  </si>
  <si>
    <r>
      <rPr>
        <sz val="8"/>
        <rFont val="Times New Roman"/>
        <family val="1"/>
      </rPr>
      <t>CHQ# 259086 DRAWER'S SIGNATURE NOT AS PER MANDATE</t>
    </r>
  </si>
  <si>
    <r>
      <rPr>
        <sz val="8"/>
        <rFont val="Times New Roman"/>
        <family val="1"/>
      </rPr>
      <t>CLG 08</t>
    </r>
  </si>
  <si>
    <r>
      <rPr>
        <sz val="8"/>
        <rFont val="Times New Roman"/>
        <family val="1"/>
      </rPr>
      <t>CHQ# 259029 DRAWER'S SIGNATURE NOT AS PER MANDATE</t>
    </r>
  </si>
  <si>
    <r>
      <rPr>
        <sz val="8"/>
        <rFont val="Times New Roman"/>
        <family val="1"/>
      </rPr>
      <t>CHQ# 259029 EXPRESS INWARD CLEARIN EXP 01</t>
    </r>
  </si>
  <si>
    <r>
      <rPr>
        <sz val="8"/>
        <rFont val="Times New Roman"/>
        <family val="1"/>
      </rPr>
      <t>SCW950GH0100240419693774</t>
    </r>
  </si>
  <si>
    <r>
      <rPr>
        <sz val="8"/>
        <rFont val="Times New Roman"/>
        <family val="1"/>
      </rPr>
      <t>INW CLG 259090</t>
    </r>
  </si>
  <si>
    <r>
      <rPr>
        <sz val="8"/>
        <rFont val="Times New Roman"/>
        <family val="1"/>
      </rPr>
      <t>INW CLG 484651</t>
    </r>
  </si>
  <si>
    <r>
      <rPr>
        <sz val="8"/>
        <rFont val="Times New Roman"/>
        <family val="1"/>
      </rPr>
      <t>INW CLG 259059</t>
    </r>
  </si>
  <si>
    <r>
      <rPr>
        <sz val="8"/>
        <rFont val="Times New Roman"/>
        <family val="1"/>
      </rPr>
      <t>INW CLG 259096</t>
    </r>
  </si>
  <si>
    <r>
      <rPr>
        <sz val="8"/>
        <rFont val="Times New Roman"/>
        <family val="1"/>
      </rPr>
      <t>INW CLG 259086</t>
    </r>
  </si>
  <si>
    <r>
      <rPr>
        <sz val="8"/>
        <rFont val="Times New Roman"/>
        <family val="1"/>
      </rPr>
      <t>CHQ # 259096 DRAWER'S SIGNATURE NO AS PER MANDATE</t>
    </r>
  </si>
  <si>
    <r>
      <rPr>
        <sz val="8"/>
        <rFont val="Times New Roman"/>
        <family val="1"/>
      </rPr>
      <t>CLG 12</t>
    </r>
  </si>
  <si>
    <r>
      <rPr>
        <sz val="8"/>
        <rFont val="Arial"/>
        <family val="2"/>
      </rPr>
      <t>12 / 71</t>
    </r>
  </si>
  <si>
    <r>
      <rPr>
        <sz val="8"/>
        <rFont val="Times New Roman"/>
        <family val="1"/>
      </rPr>
      <t>CHQ # 259059 DRAWER'S SIGNATURE NO AS PER MANDATE</t>
    </r>
  </si>
  <si>
    <r>
      <rPr>
        <sz val="8"/>
        <rFont val="Times New Roman"/>
        <family val="1"/>
      </rPr>
      <t>CHQ # 259086 DRAWER'S SIGNATURE NO AS PER MANDATE</t>
    </r>
  </si>
  <si>
    <r>
      <rPr>
        <sz val="8"/>
        <rFont val="Times New Roman"/>
        <family val="1"/>
      </rPr>
      <t>CHQ # 259029 DRAWER'S SIGNATURE NO AS PER MANDATE</t>
    </r>
  </si>
  <si>
    <r>
      <rPr>
        <sz val="8"/>
        <rFont val="Times New Roman"/>
        <family val="1"/>
      </rPr>
      <t>GTBTRPTRF12885 IT00101904250837 TGL PROPERTIES LIMITED</t>
    </r>
  </si>
  <si>
    <r>
      <rPr>
        <sz val="8"/>
        <rFont val="Times New Roman"/>
        <family val="1"/>
      </rPr>
      <t>CHQ # 210662 EXPRESS INWARD CLEARI G EXP 01</t>
    </r>
  </si>
  <si>
    <r>
      <rPr>
        <sz val="8"/>
        <rFont val="Times New Roman"/>
        <family val="1"/>
      </rPr>
      <t>CHQ # 259086 EXPRESS INWARD CLEARI G EXP 01</t>
    </r>
  </si>
  <si>
    <r>
      <rPr>
        <sz val="8"/>
        <rFont val="Times New Roman"/>
        <family val="1"/>
      </rPr>
      <t>CHQ # 259029 EXPRESS INWARD CLEARI G EXP 01</t>
    </r>
  </si>
  <si>
    <r>
      <rPr>
        <sz val="8"/>
        <rFont val="Times New Roman"/>
        <family val="1"/>
      </rPr>
      <t>CHQ # 259058 EXPRESS INWARD CLEARI G EXP 01</t>
    </r>
  </si>
  <si>
    <r>
      <rPr>
        <sz val="8"/>
        <rFont val="Times New Roman"/>
        <family val="1"/>
      </rPr>
      <t>INW CLG 259083</t>
    </r>
  </si>
  <si>
    <r>
      <rPr>
        <sz val="8"/>
        <rFont val="Times New Roman"/>
        <family val="1"/>
      </rPr>
      <t>INW CLG 210651</t>
    </r>
  </si>
  <si>
    <r>
      <rPr>
        <sz val="8"/>
        <rFont val="Times New Roman"/>
        <family val="1"/>
      </rPr>
      <t>INW CLG 259084</t>
    </r>
  </si>
  <si>
    <r>
      <rPr>
        <sz val="8"/>
        <rFont val="Arial"/>
        <family val="2"/>
      </rPr>
      <t>13 / 71</t>
    </r>
  </si>
  <si>
    <r>
      <rPr>
        <sz val="8"/>
        <rFont val="Times New Roman"/>
        <family val="1"/>
      </rPr>
      <t>INW CLG 259082</t>
    </r>
  </si>
  <si>
    <r>
      <rPr>
        <sz val="8"/>
        <rFont val="Times New Roman"/>
        <family val="1"/>
      </rPr>
      <t>INW CLG 484692</t>
    </r>
  </si>
  <si>
    <r>
      <rPr>
        <sz val="8"/>
        <rFont val="Times New Roman"/>
        <family val="1"/>
      </rPr>
      <t>INW CLG 210660</t>
    </r>
  </si>
  <si>
    <r>
      <rPr>
        <sz val="8"/>
        <rFont val="Times New Roman"/>
        <family val="1"/>
      </rPr>
      <t>INW CLG 484694</t>
    </r>
  </si>
  <si>
    <r>
      <rPr>
        <sz val="8"/>
        <rFont val="Times New Roman"/>
        <family val="1"/>
      </rPr>
      <t>INW CLG 484693</t>
    </r>
  </si>
  <si>
    <r>
      <rPr>
        <sz val="8"/>
        <rFont val="Times New Roman"/>
        <family val="1"/>
      </rPr>
      <t>INW CLG 484607</t>
    </r>
  </si>
  <si>
    <r>
      <rPr>
        <sz val="8"/>
        <rFont val="Times New Roman"/>
        <family val="1"/>
      </rPr>
      <t>INW CLG 484690</t>
    </r>
  </si>
  <si>
    <r>
      <rPr>
        <sz val="8"/>
        <rFont val="Times New Roman"/>
        <family val="1"/>
      </rPr>
      <t>INW CLG 259085</t>
    </r>
  </si>
  <si>
    <r>
      <rPr>
        <sz val="8"/>
        <rFont val="Times New Roman"/>
        <family val="1"/>
      </rPr>
      <t>INW CLG 210653</t>
    </r>
  </si>
  <si>
    <r>
      <rPr>
        <sz val="8"/>
        <rFont val="Times New Roman"/>
        <family val="1"/>
      </rPr>
      <t>INW CLG 259074</t>
    </r>
  </si>
  <si>
    <r>
      <rPr>
        <sz val="8"/>
        <rFont val="Times New Roman"/>
        <family val="1"/>
      </rPr>
      <t>INW CLG 259094</t>
    </r>
  </si>
  <si>
    <r>
      <rPr>
        <sz val="8"/>
        <rFont val="Times New Roman"/>
        <family val="1"/>
      </rPr>
      <t>INW CLG 210675</t>
    </r>
  </si>
  <si>
    <r>
      <rPr>
        <sz val="8"/>
        <rFont val="Arial"/>
        <family val="2"/>
      </rPr>
      <t>14 / 71</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</si>
  <si>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</si>
  <si>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</si>
  <si>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BALANCE BROUGHT FORWARD INW CLG 210697
</t>
    </r>
    <r>
      <rPr>
        <sz val="8"/>
        <rFont val="Times New Roman"/>
        <family val="1"/>
      </rPr>
      <t xml:space="preserve">INW CLG 680326
</t>
    </r>
    <r>
      <rPr>
        <sz val="8"/>
        <rFont val="Times New Roman"/>
        <family val="1"/>
      </rPr>
      <t xml:space="preserve">INW CLG 210663
</t>
    </r>
    <r>
      <rPr>
        <sz val="8"/>
        <rFont val="Times New Roman"/>
        <family val="1"/>
      </rPr>
      <t xml:space="preserve">INW CLG 210647
</t>
    </r>
    <r>
      <rPr>
        <sz val="8"/>
        <rFont val="Times New Roman"/>
        <family val="1"/>
      </rPr>
      <t xml:space="preserve">INW CLG 210657
</t>
    </r>
    <r>
      <rPr>
        <sz val="8"/>
        <rFont val="Times New Roman"/>
        <family val="1"/>
      </rPr>
      <t xml:space="preserve">0000210618 CHQ DEP SCB H/S CHQ NO,2 IFO-IPMC
</t>
    </r>
    <r>
      <rPr>
        <sz val="8"/>
        <rFont val="Times New Roman"/>
        <family val="1"/>
      </rPr>
      <t xml:space="preserve">SWEEP FROM GHS 0100106024701
</t>
    </r>
    <r>
      <rPr>
        <sz val="8"/>
        <rFont val="Times New Roman"/>
        <family val="1"/>
      </rPr>
      <t xml:space="preserve">INW CLG 484670
</t>
    </r>
    <r>
      <rPr>
        <sz val="8"/>
        <rFont val="Times New Roman"/>
        <family val="1"/>
      </rPr>
      <t xml:space="preserve">INW CLG 210676
</t>
    </r>
    <r>
      <rPr>
        <sz val="8"/>
        <rFont val="Times New Roman"/>
        <family val="1"/>
      </rPr>
      <t>END OF STATEMENT</t>
    </r>
  </si>
  <si>
    <r>
      <rPr>
        <sz val="8"/>
        <rFont val="Times New Roman"/>
        <family val="1"/>
      </rPr>
      <t xml:space="preserve">1,000.00
</t>
    </r>
    <r>
      <rPr>
        <sz val="8"/>
        <rFont val="Times New Roman"/>
        <family val="1"/>
      </rPr>
      <t xml:space="preserve">4,293.00
</t>
    </r>
    <r>
      <rPr>
        <sz val="8"/>
        <rFont val="Times New Roman"/>
        <family val="1"/>
      </rPr>
      <t xml:space="preserve">6,370.19
</t>
    </r>
    <r>
      <rPr>
        <sz val="8"/>
        <rFont val="Times New Roman"/>
        <family val="1"/>
      </rPr>
      <t xml:space="preserve">4,134.61
</t>
    </r>
    <r>
      <rPr>
        <sz val="8"/>
        <rFont val="Times New Roman"/>
        <family val="1"/>
      </rPr>
      <t xml:space="preserve">6,628.01
</t>
    </r>
    <r>
      <rPr>
        <sz val="8"/>
        <rFont val="Times New Roman"/>
        <family val="1"/>
      </rPr>
      <t xml:space="preserve">927.00
</t>
    </r>
    <r>
      <rPr>
        <sz val="8"/>
        <rFont val="Times New Roman"/>
        <family val="1"/>
      </rPr>
      <t xml:space="preserve">-
</t>
    </r>
    <r>
      <rPr>
        <sz val="8"/>
        <rFont val="Times New Roman"/>
        <family val="1"/>
      </rPr>
      <t xml:space="preserve">767.55
</t>
    </r>
    <r>
      <rPr>
        <sz val="8"/>
        <rFont val="Times New Roman"/>
        <family val="1"/>
      </rPr>
      <t>5,238.87</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</si>
  <si>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53,494.50
</t>
    </r>
    <r>
      <rPr>
        <sz val="8"/>
        <rFont val="Times New Roman"/>
        <family val="1"/>
      </rPr>
      <t xml:space="preserve">-
</t>
    </r>
    <r>
      <rPr>
        <sz val="8"/>
        <rFont val="Times New Roman"/>
        <family val="1"/>
      </rPr>
      <t>-</t>
    </r>
  </si>
  <si>
    <r>
      <rPr>
        <sz val="8"/>
        <rFont val="Times New Roman"/>
        <family val="1"/>
      </rPr>
      <t xml:space="preserve">615,680.60
</t>
    </r>
    <r>
      <rPr>
        <sz val="8"/>
        <rFont val="Times New Roman"/>
        <family val="1"/>
      </rPr>
      <t xml:space="preserve">614,680.60
</t>
    </r>
    <r>
      <rPr>
        <sz val="8"/>
        <rFont val="Times New Roman"/>
        <family val="1"/>
      </rPr>
      <t xml:space="preserve">610,387.60
</t>
    </r>
    <r>
      <rPr>
        <sz val="8"/>
        <rFont val="Times New Roman"/>
        <family val="1"/>
      </rPr>
      <t xml:space="preserve">604,017.41
</t>
    </r>
    <r>
      <rPr>
        <sz val="8"/>
        <rFont val="Times New Roman"/>
        <family val="1"/>
      </rPr>
      <t xml:space="preserve">599,882.80
</t>
    </r>
    <r>
      <rPr>
        <sz val="8"/>
        <rFont val="Times New Roman"/>
        <family val="1"/>
      </rPr>
      <t xml:space="preserve">593,254.79
</t>
    </r>
    <r>
      <rPr>
        <sz val="8"/>
        <rFont val="Times New Roman"/>
        <family val="1"/>
      </rPr>
      <t xml:space="preserve">592,327.79
</t>
    </r>
    <r>
      <rPr>
        <sz val="8"/>
        <rFont val="Times New Roman"/>
        <family val="1"/>
      </rPr>
      <t xml:space="preserve">645,822.29
</t>
    </r>
    <r>
      <rPr>
        <sz val="8"/>
        <rFont val="Times New Roman"/>
        <family val="1"/>
      </rPr>
      <t xml:space="preserve">645,054.74
</t>
    </r>
    <r>
      <rPr>
        <sz val="8"/>
        <rFont val="Times New Roman"/>
        <family val="1"/>
      </rPr>
      <t>639,815.87</t>
    </r>
  </si>
  <si>
    <r>
      <rPr>
        <sz val="8"/>
        <rFont val="Arial"/>
        <family val="2"/>
      </rPr>
      <t>15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</si>
  <si>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639,815.87                           743,554.40
</t>
    </r>
    <r>
      <rPr>
        <b/>
        <vertAlign val="superscript"/>
        <sz val="9.5"/>
        <rFont val="Times New Roman"/>
        <family val="1"/>
      </rPr>
      <t xml:space="preserve">C/O AFRICANUS NET LTD                                                            </t>
    </r>
    <r>
      <rPr>
        <sz val="8"/>
        <rFont val="Times New Roman"/>
        <family val="1"/>
      </rPr>
      <t xml:space="preserve">CLOSING BALANCE                             743,554.40                           743,554.40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</si>
  <si>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259092</t>
    </r>
  </si>
  <si>
    <r>
      <rPr>
        <sz val="8"/>
        <rFont val="Times New Roman"/>
        <family val="1"/>
      </rPr>
      <t>INW CLG 210650</t>
    </r>
  </si>
  <si>
    <r>
      <rPr>
        <sz val="8"/>
        <rFont val="Times New Roman"/>
        <family val="1"/>
      </rPr>
      <t>INW CLG 680352</t>
    </r>
  </si>
  <si>
    <r>
      <rPr>
        <sz val="8"/>
        <rFont val="Times New Roman"/>
        <family val="1"/>
      </rPr>
      <t>INW CLG 259064</t>
    </r>
  </si>
  <si>
    <r>
      <rPr>
        <sz val="8"/>
        <rFont val="Times New Roman"/>
        <family val="1"/>
      </rPr>
      <t>INW CLG 680348</t>
    </r>
  </si>
  <si>
    <r>
      <rPr>
        <sz val="8"/>
        <rFont val="Times New Roman"/>
        <family val="1"/>
      </rPr>
      <t>INW CLG 259030</t>
    </r>
  </si>
  <si>
    <r>
      <rPr>
        <sz val="8"/>
        <rFont val="Times New Roman"/>
        <family val="1"/>
      </rPr>
      <t>INW CLG 680345</t>
    </r>
  </si>
  <si>
    <r>
      <rPr>
        <sz val="8"/>
        <rFont val="Times New Roman"/>
        <family val="1"/>
      </rPr>
      <t>CHQ # 259087 INWARD CLEARING INW 01</t>
    </r>
  </si>
  <si>
    <r>
      <rPr>
        <sz val="8"/>
        <rFont val="Times New Roman"/>
        <family val="1"/>
      </rPr>
      <t>INW CLG 680325</t>
    </r>
  </si>
  <si>
    <r>
      <rPr>
        <sz val="8"/>
        <rFont val="Arial"/>
        <family val="2"/>
      </rPr>
      <t>16 / 71</t>
    </r>
  </si>
  <si>
    <r>
      <rPr>
        <sz val="8"/>
        <rFont val="Times New Roman"/>
        <family val="1"/>
      </rPr>
      <t>INW CLG 259089</t>
    </r>
  </si>
  <si>
    <r>
      <rPr>
        <sz val="8"/>
        <rFont val="Times New Roman"/>
        <family val="1"/>
      </rPr>
      <t>INW CLG 680364</t>
    </r>
  </si>
  <si>
    <r>
      <rPr>
        <sz val="8"/>
        <rFont val="Times New Roman"/>
        <family val="1"/>
      </rPr>
      <t>INW CLG 210687</t>
    </r>
  </si>
  <si>
    <r>
      <rPr>
        <sz val="8"/>
        <rFont val="Times New Roman"/>
        <family val="1"/>
      </rPr>
      <t>INW CLG 259057</t>
    </r>
  </si>
  <si>
    <r>
      <rPr>
        <sz val="8"/>
        <rFont val="Times New Roman"/>
        <family val="1"/>
      </rPr>
      <t>INW CLG 259051</t>
    </r>
  </si>
  <si>
    <r>
      <rPr>
        <sz val="8"/>
        <rFont val="Times New Roman"/>
        <family val="1"/>
      </rPr>
      <t>INW CLG 680312</t>
    </r>
  </si>
  <si>
    <r>
      <rPr>
        <sz val="8"/>
        <rFont val="Times New Roman"/>
        <family val="1"/>
      </rPr>
      <t>INW CLG 680350</t>
    </r>
  </si>
  <si>
    <r>
      <rPr>
        <sz val="8"/>
        <rFont val="Times New Roman"/>
        <family val="1"/>
      </rPr>
      <t>INW CLG 680313</t>
    </r>
  </si>
  <si>
    <r>
      <rPr>
        <sz val="8"/>
        <rFont val="Times New Roman"/>
        <family val="1"/>
      </rPr>
      <t>INW CLG 259007</t>
    </r>
  </si>
  <si>
    <r>
      <rPr>
        <sz val="8"/>
        <rFont val="Times New Roman"/>
        <family val="1"/>
      </rPr>
      <t>INW CLG 259040</t>
    </r>
  </si>
  <si>
    <r>
      <rPr>
        <sz val="8"/>
        <rFont val="Arial"/>
        <family val="2"/>
      </rPr>
      <t>17 / 71</t>
    </r>
  </si>
  <si>
    <r>
      <rPr>
        <sz val="8"/>
        <rFont val="Times New Roman"/>
        <family val="1"/>
      </rPr>
      <t>0000210627 CASH WITHDRAWN BY OLIVIA</t>
    </r>
  </si>
  <si>
    <r>
      <rPr>
        <sz val="8"/>
        <rFont val="Times New Roman"/>
        <family val="1"/>
      </rPr>
      <t>0000210621 CASH WITHDRAWN BY OLIVIA</t>
    </r>
  </si>
  <si>
    <r>
      <rPr>
        <sz val="8"/>
        <rFont val="Times New Roman"/>
        <family val="1"/>
      </rPr>
      <t>0000210622 CASH WITHDRAWN BY OLIVIA</t>
    </r>
  </si>
  <si>
    <r>
      <rPr>
        <sz val="8"/>
        <rFont val="Times New Roman"/>
        <family val="1"/>
      </rPr>
      <t>0000484682 CASH WITHDRAWN BY OLIVIA</t>
    </r>
  </si>
  <si>
    <r>
      <rPr>
        <sz val="8"/>
        <rFont val="Times New Roman"/>
        <family val="1"/>
      </rPr>
      <t>0000210624 CASH WITHDRAWN BY OLIVIA</t>
    </r>
  </si>
  <si>
    <r>
      <rPr>
        <sz val="8"/>
        <rFont val="Times New Roman"/>
        <family val="1"/>
      </rPr>
      <t>0000210619 CASH WITHDRAWN BY OLIVIA</t>
    </r>
  </si>
  <si>
    <r>
      <rPr>
        <sz val="8"/>
        <rFont val="Times New Roman"/>
        <family val="1"/>
      </rPr>
      <t>0000484668 CASH WITHDRAWN BY OLIVIA</t>
    </r>
  </si>
  <si>
    <r>
      <rPr>
        <sz val="8"/>
        <rFont val="Times New Roman"/>
        <family val="1"/>
      </rPr>
      <t>0000210626 CASH WITHDRAWN BY OLIVIA</t>
    </r>
  </si>
  <si>
    <r>
      <rPr>
        <sz val="8"/>
        <rFont val="Times New Roman"/>
        <family val="1"/>
      </rPr>
      <t>0000210699 CASH WITHDRAWN BY OLIVIA</t>
    </r>
  </si>
  <si>
    <r>
      <rPr>
        <sz val="8"/>
        <rFont val="Times New Roman"/>
        <family val="1"/>
      </rPr>
      <t>INW CLG 210680</t>
    </r>
  </si>
  <si>
    <r>
      <rPr>
        <sz val="8"/>
        <rFont val="Times New Roman"/>
        <family val="1"/>
      </rPr>
      <t>INW CLG 210682</t>
    </r>
  </si>
  <si>
    <r>
      <rPr>
        <sz val="8"/>
        <rFont val="Arial"/>
        <family val="2"/>
      </rPr>
      <t>18 / 71</t>
    </r>
  </si>
  <si>
    <r>
      <rPr>
        <sz val="8"/>
        <rFont val="Times New Roman"/>
        <family val="1"/>
      </rPr>
      <t>INW CLG 259055</t>
    </r>
  </si>
  <si>
    <r>
      <rPr>
        <sz val="8"/>
        <rFont val="Times New Roman"/>
        <family val="1"/>
      </rPr>
      <t>INW CLG 259016</t>
    </r>
  </si>
  <si>
    <r>
      <rPr>
        <sz val="8"/>
        <rFont val="Times New Roman"/>
        <family val="1"/>
      </rPr>
      <t>INW CLG 484698</t>
    </r>
  </si>
  <si>
    <r>
      <rPr>
        <sz val="8"/>
        <rFont val="Times New Roman"/>
        <family val="1"/>
      </rPr>
      <t>INW CLG 259091</t>
    </r>
  </si>
  <si>
    <r>
      <rPr>
        <sz val="8"/>
        <rFont val="Times New Roman"/>
        <family val="1"/>
      </rPr>
      <t>INW CLG 680363</t>
    </r>
  </si>
  <si>
    <r>
      <rPr>
        <sz val="8"/>
        <rFont val="Times New Roman"/>
        <family val="1"/>
      </rPr>
      <t>INW CLG 680362</t>
    </r>
  </si>
  <si>
    <r>
      <rPr>
        <sz val="8"/>
        <rFont val="Times New Roman"/>
        <family val="1"/>
      </rPr>
      <t>INW CLG 210643</t>
    </r>
  </si>
  <si>
    <r>
      <rPr>
        <sz val="8"/>
        <rFont val="Times New Roman"/>
        <family val="1"/>
      </rPr>
      <t>INW CLG 210688</t>
    </r>
  </si>
  <si>
    <r>
      <rPr>
        <sz val="8"/>
        <rFont val="Times New Roman"/>
        <family val="1"/>
      </rPr>
      <t>INW CLG 210646</t>
    </r>
  </si>
  <si>
    <r>
      <rPr>
        <sz val="8"/>
        <rFont val="Times New Roman"/>
        <family val="1"/>
      </rPr>
      <t>INW CLG 680329</t>
    </r>
  </si>
  <si>
    <r>
      <rPr>
        <sz val="8"/>
        <rFont val="Times New Roman"/>
        <family val="1"/>
      </rPr>
      <t>0000259001 SCB #259001 IFO TRANSMED</t>
    </r>
  </si>
  <si>
    <r>
      <rPr>
        <sz val="8"/>
        <rFont val="Arial"/>
        <family val="2"/>
      </rPr>
      <t>19 / 71</t>
    </r>
  </si>
  <si>
    <r>
      <rPr>
        <sz val="8"/>
        <rFont val="Times New Roman"/>
        <family val="1"/>
      </rPr>
      <t>0000680301 TRF IFO OYA TRADING</t>
    </r>
  </si>
  <si>
    <r>
      <rPr>
        <sz val="8"/>
        <rFont val="Times New Roman"/>
        <family val="1"/>
      </rPr>
      <t>0000259098 TRF IFO OYA TRADING</t>
    </r>
  </si>
  <si>
    <r>
      <rPr>
        <sz val="8"/>
        <rFont val="Times New Roman"/>
        <family val="1"/>
      </rPr>
      <t>0000259056 SCB #259056 IFO TRANSMED</t>
    </r>
  </si>
  <si>
    <r>
      <rPr>
        <sz val="8"/>
        <rFont val="Times New Roman"/>
        <family val="1"/>
      </rPr>
      <t>0000259099 SCB #259099 IFO MULTICHO</t>
    </r>
  </si>
  <si>
    <r>
      <rPr>
        <sz val="8"/>
        <rFont val="Times New Roman"/>
        <family val="1"/>
      </rPr>
      <t>INW CLG 484665</t>
    </r>
  </si>
  <si>
    <r>
      <rPr>
        <sz val="8"/>
        <rFont val="Times New Roman"/>
        <family val="1"/>
      </rPr>
      <t>INW CLG 259034</t>
    </r>
  </si>
  <si>
    <r>
      <rPr>
        <sz val="8"/>
        <rFont val="Times New Roman"/>
        <family val="1"/>
      </rPr>
      <t>INW CLG 210685</t>
    </r>
  </si>
  <si>
    <r>
      <rPr>
        <sz val="8"/>
        <rFont val="Times New Roman"/>
        <family val="1"/>
      </rPr>
      <t>INW CLG 680303</t>
    </r>
  </si>
  <si>
    <r>
      <rPr>
        <sz val="8"/>
        <rFont val="Times New Roman"/>
        <family val="1"/>
      </rPr>
      <t>INW CLG 259100</t>
    </r>
  </si>
  <si>
    <r>
      <rPr>
        <sz val="8"/>
        <rFont val="Times New Roman"/>
        <family val="1"/>
      </rPr>
      <t>INW CLG 210642</t>
    </r>
  </si>
  <si>
    <r>
      <rPr>
        <sz val="8"/>
        <rFont val="Arial"/>
        <family val="2"/>
      </rPr>
      <t>20 / 71</t>
    </r>
  </si>
  <si>
    <r>
      <rPr>
        <sz val="8"/>
        <rFont val="Times New Roman"/>
        <family val="1"/>
      </rPr>
      <t>INW CLG 680360</t>
    </r>
  </si>
  <si>
    <r>
      <rPr>
        <sz val="8"/>
        <rFont val="Times New Roman"/>
        <family val="1"/>
      </rPr>
      <t>INW CLG 210652</t>
    </r>
  </si>
  <si>
    <r>
      <rPr>
        <sz val="8"/>
        <rFont val="Times New Roman"/>
        <family val="1"/>
      </rPr>
      <t>INW CLG 259024</t>
    </r>
  </si>
  <si>
    <r>
      <rPr>
        <sz val="8"/>
        <rFont val="Times New Roman"/>
        <family val="1"/>
      </rPr>
      <t>0000484608 IFO TGL PROPERTIES LTD SCB H/S ACCRA 484608</t>
    </r>
  </si>
  <si>
    <r>
      <rPr>
        <sz val="8"/>
        <rFont val="Times New Roman"/>
        <family val="1"/>
      </rPr>
      <t>0000680365 IFO TGL PROPERTIES LTD SCB H/S ACCRA 680365</t>
    </r>
  </si>
  <si>
    <r>
      <rPr>
        <sz val="8"/>
        <rFont val="Times New Roman"/>
        <family val="1"/>
      </rPr>
      <t>0000210625 IFO TGL PROPERTIES LTD SCB H/S ACCRA 210625</t>
    </r>
  </si>
  <si>
    <r>
      <rPr>
        <sz val="8"/>
        <rFont val="Times New Roman"/>
        <family val="1"/>
      </rPr>
      <t>0000484680 IFO TGL PROPERTIES LTD SCB H/S ACCRA 484680</t>
    </r>
  </si>
  <si>
    <r>
      <rPr>
        <sz val="8"/>
        <rFont val="Times New Roman"/>
        <family val="1"/>
      </rPr>
      <t>0000210620 IFO TGL PROPERTIES LTD SCB H/S ACCRA 210620</t>
    </r>
  </si>
  <si>
    <r>
      <rPr>
        <sz val="8"/>
        <rFont val="Times New Roman"/>
        <family val="1"/>
      </rPr>
      <t>0000484676 IFO TGL PROPERTIES LTD SCB H/S ACCRA 484676</t>
    </r>
  </si>
  <si>
    <r>
      <rPr>
        <sz val="8"/>
        <rFont val="Times New Roman"/>
        <family val="1"/>
      </rPr>
      <t>0000484634 IFO TGL PROPERTIES LTD SCB H/S ACCRA 484634</t>
    </r>
  </si>
  <si>
    <r>
      <rPr>
        <sz val="8"/>
        <rFont val="Times New Roman"/>
        <family val="1"/>
      </rPr>
      <t>0000210617 IFO TGL PROPERTIES LTD SCB H/S ACCRA 210617</t>
    </r>
  </si>
  <si>
    <r>
      <rPr>
        <sz val="8"/>
        <rFont val="Times New Roman"/>
        <family val="1"/>
      </rPr>
      <t>0000484610 IFO TGL PROPERTIES LTD SCB H/S ACCRA 484610</t>
    </r>
  </si>
  <si>
    <r>
      <rPr>
        <sz val="8"/>
        <rFont val="Arial"/>
        <family val="2"/>
      </rPr>
      <t>21 / 71</t>
    </r>
  </si>
  <si>
    <r>
      <rPr>
        <sz val="8"/>
        <rFont val="Times New Roman"/>
        <family val="1"/>
      </rPr>
      <t>0000484609 IFO TGL PROPERTIES LTD SCB H/S ACCRA 484609</t>
    </r>
  </si>
  <si>
    <r>
      <rPr>
        <sz val="8"/>
        <rFont val="Times New Roman"/>
        <family val="1"/>
      </rPr>
      <t>0000484612 IFO TGL PROPERTIES LTD SCB H/S ACCRA 484612</t>
    </r>
  </si>
  <si>
    <r>
      <rPr>
        <sz val="8"/>
        <rFont val="Times New Roman"/>
        <family val="1"/>
      </rPr>
      <t>0000484615 IFO TGL PROPERTIES LTD SCB H/S ACCRA 484615</t>
    </r>
  </si>
  <si>
    <r>
      <rPr>
        <sz val="8"/>
        <rFont val="Times New Roman"/>
        <family val="1"/>
      </rPr>
      <t>0000484613 IFO TGL PROPERTIES LTD SCB H/S ACCRA 484613</t>
    </r>
  </si>
  <si>
    <r>
      <rPr>
        <sz val="8"/>
        <rFont val="Times New Roman"/>
        <family val="1"/>
      </rPr>
      <t>0000484678 IFO TGL PROPERTIES LTD SCB H/S ACCRA 484678</t>
    </r>
  </si>
  <si>
    <r>
      <rPr>
        <sz val="8"/>
        <rFont val="Times New Roman"/>
        <family val="1"/>
      </rPr>
      <t>INW CLG 680330</t>
    </r>
  </si>
  <si>
    <r>
      <rPr>
        <sz val="8"/>
        <rFont val="Times New Roman"/>
        <family val="1"/>
      </rPr>
      <t>INW CLG 680338</t>
    </r>
  </si>
  <si>
    <r>
      <rPr>
        <sz val="8"/>
        <rFont val="Times New Roman"/>
        <family val="1"/>
      </rPr>
      <t>INW CLG 210645</t>
    </r>
  </si>
  <si>
    <r>
      <rPr>
        <sz val="8"/>
        <rFont val="Times New Roman"/>
        <family val="1"/>
      </rPr>
      <t>INW CLG 259022</t>
    </r>
  </si>
  <si>
    <r>
      <rPr>
        <sz val="8"/>
        <rFont val="Times New Roman"/>
        <family val="1"/>
      </rPr>
      <t>INW CLG 259071</t>
    </r>
  </si>
  <si>
    <r>
      <rPr>
        <sz val="8"/>
        <rFont val="Arial"/>
        <family val="2"/>
      </rPr>
      <t>22 / 71</t>
    </r>
  </si>
  <si>
    <r>
      <rPr>
        <sz val="8"/>
        <rFont val="Times New Roman"/>
        <family val="1"/>
      </rPr>
      <t>INW CLG 680314</t>
    </r>
  </si>
  <si>
    <r>
      <rPr>
        <sz val="8"/>
        <rFont val="Times New Roman"/>
        <family val="1"/>
      </rPr>
      <t>INW CLG 680306</t>
    </r>
  </si>
  <si>
    <r>
      <rPr>
        <sz val="8"/>
        <rFont val="Times New Roman"/>
        <family val="1"/>
      </rPr>
      <t>INW CLG 259003</t>
    </r>
  </si>
  <si>
    <r>
      <rPr>
        <sz val="8"/>
        <rFont val="Times New Roman"/>
        <family val="1"/>
      </rPr>
      <t>INW CLG 259041</t>
    </r>
  </si>
  <si>
    <r>
      <rPr>
        <sz val="8"/>
        <rFont val="Times New Roman"/>
        <family val="1"/>
      </rPr>
      <t>INW CLG 210654</t>
    </r>
  </si>
  <si>
    <r>
      <rPr>
        <sz val="8"/>
        <rFont val="Times New Roman"/>
        <family val="1"/>
      </rPr>
      <t>INW CLG 680335</t>
    </r>
  </si>
  <si>
    <r>
      <rPr>
        <sz val="8"/>
        <rFont val="Times New Roman"/>
        <family val="1"/>
      </rPr>
      <t>INW CLG 259077</t>
    </r>
  </si>
  <si>
    <r>
      <rPr>
        <sz val="8"/>
        <rFont val="Times New Roman"/>
        <family val="1"/>
      </rPr>
      <t>INW CLG 680316</t>
    </r>
  </si>
  <si>
    <r>
      <rPr>
        <sz val="8"/>
        <rFont val="Times New Roman"/>
        <family val="1"/>
      </rPr>
      <t>INW CLG 680308</t>
    </r>
  </si>
  <si>
    <r>
      <rPr>
        <sz val="8"/>
        <rFont val="Times New Roman"/>
        <family val="1"/>
      </rPr>
      <t>INW CLG 259072</t>
    </r>
  </si>
  <si>
    <r>
      <rPr>
        <sz val="8"/>
        <rFont val="Arial"/>
        <family val="2"/>
      </rPr>
      <t>23 / 71</t>
    </r>
  </si>
  <si>
    <r>
      <rPr>
        <sz val="8"/>
        <rFont val="Times New Roman"/>
        <family val="1"/>
      </rPr>
      <t>INW CLG 259078</t>
    </r>
  </si>
  <si>
    <r>
      <rPr>
        <sz val="8"/>
        <rFont val="Times New Roman"/>
        <family val="1"/>
      </rPr>
      <t>INW CLG 680346</t>
    </r>
  </si>
  <si>
    <r>
      <rPr>
        <sz val="8"/>
        <rFont val="Times New Roman"/>
        <family val="1"/>
      </rPr>
      <t>INW CLG 259097</t>
    </r>
  </si>
  <si>
    <r>
      <rPr>
        <sz val="8"/>
        <rFont val="Times New Roman"/>
        <family val="1"/>
      </rPr>
      <t>INW CLG 680331</t>
    </r>
  </si>
  <si>
    <r>
      <rPr>
        <sz val="8"/>
        <rFont val="Times New Roman"/>
        <family val="1"/>
      </rPr>
      <t>INW CLG 259075</t>
    </r>
  </si>
  <si>
    <r>
      <rPr>
        <sz val="8"/>
        <rFont val="Times New Roman"/>
        <family val="1"/>
      </rPr>
      <t>INW CLG 680333</t>
    </r>
  </si>
  <si>
    <r>
      <rPr>
        <sz val="8"/>
        <rFont val="Times New Roman"/>
        <family val="1"/>
      </rPr>
      <t>INW CLG 680320</t>
    </r>
  </si>
  <si>
    <r>
      <rPr>
        <sz val="8"/>
        <rFont val="Times New Roman"/>
        <family val="1"/>
      </rPr>
      <t>INW CLG 259073</t>
    </r>
  </si>
  <si>
    <r>
      <rPr>
        <sz val="8"/>
        <rFont val="Times New Roman"/>
        <family val="1"/>
      </rPr>
      <t>INW CLG 680309</t>
    </r>
  </si>
  <si>
    <r>
      <rPr>
        <sz val="8"/>
        <rFont val="Times New Roman"/>
        <family val="1"/>
      </rPr>
      <t>INW CLG 210686</t>
    </r>
  </si>
  <si>
    <r>
      <rPr>
        <sz val="8"/>
        <rFont val="Times New Roman"/>
        <family val="1"/>
      </rPr>
      <t>INW CLG 210681</t>
    </r>
  </si>
  <si>
    <r>
      <rPr>
        <sz val="8"/>
        <rFont val="Times New Roman"/>
        <family val="1"/>
      </rPr>
      <t>INW CLG 210661</t>
    </r>
  </si>
  <si>
    <r>
      <rPr>
        <sz val="8"/>
        <rFont val="Arial"/>
        <family val="2"/>
      </rPr>
      <t>24 / 71</t>
    </r>
  </si>
  <si>
    <r>
      <rPr>
        <sz val="8"/>
        <rFont val="Times New Roman"/>
        <family val="1"/>
      </rPr>
      <t>INW CLG 210694</t>
    </r>
  </si>
  <si>
    <r>
      <rPr>
        <sz val="8"/>
        <rFont val="Times New Roman"/>
        <family val="1"/>
      </rPr>
      <t>INW CLG 259065</t>
    </r>
  </si>
  <si>
    <r>
      <rPr>
        <sz val="8"/>
        <rFont val="Times New Roman"/>
        <family val="1"/>
      </rPr>
      <t>INW CLG 680358</t>
    </r>
  </si>
  <si>
    <r>
      <rPr>
        <sz val="8"/>
        <rFont val="Times New Roman"/>
        <family val="1"/>
      </rPr>
      <t>INW CLG 259048</t>
    </r>
  </si>
  <si>
    <r>
      <rPr>
        <sz val="8"/>
        <rFont val="Times New Roman"/>
        <family val="1"/>
      </rPr>
      <t>INW CLG 680321</t>
    </r>
  </si>
  <si>
    <r>
      <rPr>
        <sz val="8"/>
        <rFont val="Times New Roman"/>
        <family val="1"/>
      </rPr>
      <t>INW CLG 484621</t>
    </r>
  </si>
  <si>
    <r>
      <rPr>
        <sz val="8"/>
        <rFont val="Times New Roman"/>
        <family val="1"/>
      </rPr>
      <t>INW CLG 259068</t>
    </r>
  </si>
  <si>
    <r>
      <rPr>
        <sz val="8"/>
        <rFont val="Times New Roman"/>
        <family val="1"/>
      </rPr>
      <t>0000259061 CHQ 259061-IFO EOXA RESO</t>
    </r>
  </si>
  <si>
    <r>
      <rPr>
        <sz val="8"/>
        <rFont val="Times New Roman"/>
        <family val="1"/>
      </rPr>
      <t>INW CLG 680334</t>
    </r>
  </si>
  <si>
    <r>
      <rPr>
        <sz val="8"/>
        <rFont val="Times New Roman"/>
        <family val="1"/>
      </rPr>
      <t>INW CLG 259031</t>
    </r>
  </si>
  <si>
    <r>
      <rPr>
        <sz val="8"/>
        <rFont val="Times New Roman"/>
        <family val="1"/>
      </rPr>
      <t>INW CLG 680349</t>
    </r>
  </si>
  <si>
    <r>
      <rPr>
        <sz val="8"/>
        <rFont val="Arial"/>
        <family val="2"/>
      </rPr>
      <t>25 / 71</t>
    </r>
  </si>
  <si>
    <r>
      <rPr>
        <sz val="8"/>
        <rFont val="Times New Roman"/>
        <family val="1"/>
      </rPr>
      <t>INW CLG 680336</t>
    </r>
  </si>
  <si>
    <r>
      <rPr>
        <sz val="8"/>
        <rFont val="Times New Roman"/>
        <family val="1"/>
      </rPr>
      <t>INW CLG 259039</t>
    </r>
  </si>
  <si>
    <r>
      <rPr>
        <sz val="8"/>
        <rFont val="Times New Roman"/>
        <family val="1"/>
      </rPr>
      <t>INW CLG 259002</t>
    </r>
  </si>
  <si>
    <r>
      <rPr>
        <sz val="8"/>
        <rFont val="Times New Roman"/>
        <family val="1"/>
      </rPr>
      <t>INW CLG 680317</t>
    </r>
  </si>
  <si>
    <r>
      <rPr>
        <sz val="8"/>
        <rFont val="Times New Roman"/>
        <family val="1"/>
      </rPr>
      <t>INW CLG 210692</t>
    </r>
  </si>
  <si>
    <r>
      <rPr>
        <sz val="8"/>
        <rFont val="Times New Roman"/>
        <family val="1"/>
      </rPr>
      <t>0000484696 FUND TRANSFER TO PETRA A 9970500015699 SCB</t>
    </r>
  </si>
  <si>
    <r>
      <rPr>
        <sz val="8"/>
        <rFont val="Times New Roman"/>
        <family val="1"/>
      </rPr>
      <t>H/S 484696</t>
    </r>
  </si>
  <si>
    <r>
      <rPr>
        <sz val="8"/>
        <rFont val="Times New Roman"/>
        <family val="1"/>
      </rPr>
      <t>0000210693 FUND TRANSFER TO PETRA A 9970500015699 SCB</t>
    </r>
  </si>
  <si>
    <r>
      <rPr>
        <sz val="8"/>
        <rFont val="Times New Roman"/>
        <family val="1"/>
      </rPr>
      <t>H/S 210693</t>
    </r>
  </si>
  <si>
    <r>
      <rPr>
        <sz val="8"/>
        <rFont val="Times New Roman"/>
        <family val="1"/>
      </rPr>
      <t>INW CLG 210665</t>
    </r>
  </si>
  <si>
    <r>
      <rPr>
        <sz val="8"/>
        <rFont val="Times New Roman"/>
        <family val="1"/>
      </rPr>
      <t>INW CLG 259062</t>
    </r>
  </si>
  <si>
    <r>
      <rPr>
        <sz val="8"/>
        <rFont val="Times New Roman"/>
        <family val="1"/>
      </rPr>
      <t>INW CLG 210689</t>
    </r>
  </si>
  <si>
    <r>
      <rPr>
        <sz val="8"/>
        <rFont val="Times New Roman"/>
        <family val="1"/>
      </rPr>
      <t>INW CLG 484641</t>
    </r>
  </si>
  <si>
    <r>
      <rPr>
        <sz val="8"/>
        <rFont val="Arial"/>
        <family val="2"/>
      </rPr>
      <t>26 / 71</t>
    </r>
  </si>
  <si>
    <r>
      <rPr>
        <sz val="8"/>
        <rFont val="Times New Roman"/>
        <family val="1"/>
      </rPr>
      <t>BILL NO: 18958743 24/05/2019 GR:123</t>
    </r>
  </si>
  <si>
    <r>
      <rPr>
        <sz val="8"/>
        <rFont val="Times New Roman"/>
        <family val="1"/>
      </rPr>
      <t>INW CLG 259066</t>
    </r>
  </si>
  <si>
    <r>
      <rPr>
        <sz val="8"/>
        <rFont val="Times New Roman"/>
        <family val="1"/>
      </rPr>
      <t>INW CLG 680328</t>
    </r>
  </si>
  <si>
    <r>
      <rPr>
        <sz val="8"/>
        <rFont val="Times New Roman"/>
        <family val="1"/>
      </rPr>
      <t>INW CLG 484614</t>
    </r>
  </si>
  <si>
    <r>
      <rPr>
        <sz val="8"/>
        <rFont val="Times New Roman"/>
        <family val="1"/>
      </rPr>
      <t>INW CLG 259070</t>
    </r>
  </si>
  <si>
    <r>
      <rPr>
        <sz val="8"/>
        <rFont val="Times New Roman"/>
        <family val="1"/>
      </rPr>
      <t>INW CLG 680323</t>
    </r>
  </si>
  <si>
    <r>
      <rPr>
        <sz val="8"/>
        <rFont val="Times New Roman"/>
        <family val="1"/>
      </rPr>
      <t>INW CLG 259079</t>
    </r>
  </si>
  <si>
    <r>
      <rPr>
        <sz val="8"/>
        <rFont val="Times New Roman"/>
        <family val="1"/>
      </rPr>
      <t>INW CLG 484656</t>
    </r>
  </si>
  <si>
    <r>
      <rPr>
        <sz val="8"/>
        <rFont val="Times New Roman"/>
        <family val="1"/>
      </rPr>
      <t>INW CLG 680332</t>
    </r>
  </si>
  <si>
    <r>
      <rPr>
        <sz val="8"/>
        <rFont val="Times New Roman"/>
        <family val="1"/>
      </rPr>
      <t>INW CLG 259069</t>
    </r>
  </si>
  <si>
    <r>
      <rPr>
        <sz val="8"/>
        <rFont val="Arial"/>
        <family val="2"/>
      </rPr>
      <t>27 / 71</t>
    </r>
  </si>
  <si>
    <r>
      <rPr>
        <sz val="8"/>
        <rFont val="Times New Roman"/>
        <family val="1"/>
      </rPr>
      <t xml:space="preserve">29-05-2019
</t>
    </r>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</si>
  <si>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</si>
  <si>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BALANCE BROUGHT FORWARD SWEEP FROM GHS 0100106024701
</t>
    </r>
    <r>
      <rPr>
        <sz val="8"/>
        <rFont val="Times New Roman"/>
        <family val="1"/>
      </rPr>
      <t xml:space="preserve">INW CLG 259047
</t>
    </r>
    <r>
      <rPr>
        <sz val="8"/>
        <rFont val="Times New Roman"/>
        <family val="1"/>
      </rPr>
      <t xml:space="preserve">SWEEP FROM GHS 0100106024701
</t>
    </r>
    <r>
      <rPr>
        <sz val="8"/>
        <rFont val="Times New Roman"/>
        <family val="1"/>
      </rPr>
      <t xml:space="preserve">INW CLG 680304
</t>
    </r>
    <r>
      <rPr>
        <sz val="8"/>
        <rFont val="Times New Roman"/>
        <family val="1"/>
      </rPr>
      <t>END OF STATEMENT</t>
    </r>
  </si>
  <si>
    <r>
      <rPr>
        <sz val="8"/>
        <rFont val="Times New Roman"/>
        <family val="1"/>
      </rPr>
      <t xml:space="preserve">-
</t>
    </r>
    <r>
      <rPr>
        <sz val="8"/>
        <rFont val="Times New Roman"/>
        <family val="1"/>
      </rPr>
      <t xml:space="preserve">2,328.00
</t>
    </r>
    <r>
      <rPr>
        <sz val="8"/>
        <rFont val="Times New Roman"/>
        <family val="1"/>
      </rPr>
      <t xml:space="preserve">-
</t>
    </r>
    <r>
      <rPr>
        <sz val="8"/>
        <rFont val="Times New Roman"/>
        <family val="1"/>
      </rPr>
      <t>416.25</t>
    </r>
  </si>
  <si>
    <r>
      <rPr>
        <sz val="8"/>
        <rFont val="Times New Roman"/>
        <family val="1"/>
      </rPr>
      <t xml:space="preserve">8,507.50
</t>
    </r>
    <r>
      <rPr>
        <sz val="8"/>
        <rFont val="Times New Roman"/>
        <family val="1"/>
      </rPr>
      <t xml:space="preserve">-
</t>
    </r>
    <r>
      <rPr>
        <sz val="8"/>
        <rFont val="Times New Roman"/>
        <family val="1"/>
      </rPr>
      <t xml:space="preserve">1,786.25
</t>
    </r>
    <r>
      <rPr>
        <sz val="8"/>
        <rFont val="Times New Roman"/>
        <family val="1"/>
      </rPr>
      <t>-</t>
    </r>
  </si>
  <si>
    <r>
      <rPr>
        <sz val="8"/>
        <rFont val="Times New Roman"/>
        <family val="1"/>
      </rPr>
      <t xml:space="preserve">736,004.90
</t>
    </r>
    <r>
      <rPr>
        <sz val="8"/>
        <rFont val="Times New Roman"/>
        <family val="1"/>
      </rPr>
      <t xml:space="preserve">744,512.40
</t>
    </r>
    <r>
      <rPr>
        <sz val="8"/>
        <rFont val="Times New Roman"/>
        <family val="1"/>
      </rPr>
      <t xml:space="preserve">742,184.40
</t>
    </r>
    <r>
      <rPr>
        <sz val="8"/>
        <rFont val="Times New Roman"/>
        <family val="1"/>
      </rPr>
      <t xml:space="preserve">743,970.65
</t>
    </r>
    <r>
      <rPr>
        <sz val="8"/>
        <rFont val="Times New Roman"/>
        <family val="1"/>
      </rPr>
      <t>743,554.40</t>
    </r>
  </si>
  <si>
    <r>
      <rPr>
        <sz val="8"/>
        <rFont val="Arial"/>
        <family val="2"/>
      </rPr>
      <t>28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</si>
  <si>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743,554.40                             47,959.73
</t>
    </r>
    <r>
      <rPr>
        <b/>
        <vertAlign val="superscript"/>
        <sz val="9.5"/>
        <rFont val="Times New Roman"/>
        <family val="1"/>
      </rPr>
      <t xml:space="preserve">C/O AFRICANUS NET LTD                                                            </t>
    </r>
    <r>
      <rPr>
        <sz val="8"/>
        <rFont val="Times New Roman"/>
        <family val="1"/>
      </rPr>
      <t xml:space="preserve">CLOSING BALANCE                               47,959.73                             47,959.73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</si>
  <si>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680347</t>
    </r>
  </si>
  <si>
    <r>
      <rPr>
        <sz val="8"/>
        <rFont val="Times New Roman"/>
        <family val="1"/>
      </rPr>
      <t>INW CLG 680322</t>
    </r>
  </si>
  <si>
    <r>
      <rPr>
        <sz val="8"/>
        <rFont val="Times New Roman"/>
        <family val="1"/>
      </rPr>
      <t>INW CLG 680366</t>
    </r>
  </si>
  <si>
    <r>
      <rPr>
        <sz val="8"/>
        <rFont val="Times New Roman"/>
        <family val="1"/>
      </rPr>
      <t>INW CLG 259053</t>
    </r>
  </si>
  <si>
    <r>
      <rPr>
        <sz val="8"/>
        <rFont val="Times New Roman"/>
        <family val="1"/>
      </rPr>
      <t>INW CLG 680337</t>
    </r>
  </si>
  <si>
    <r>
      <rPr>
        <sz val="8"/>
        <rFont val="Times New Roman"/>
        <family val="1"/>
      </rPr>
      <t>INW CLG 680319</t>
    </r>
  </si>
  <si>
    <r>
      <rPr>
        <sz val="8"/>
        <rFont val="Times New Roman"/>
        <family val="1"/>
      </rPr>
      <t>0000484618 IFO TGL PROPERTIES LTD SCB H/S 484618</t>
    </r>
  </si>
  <si>
    <r>
      <rPr>
        <sz val="8"/>
        <rFont val="Times New Roman"/>
        <family val="1"/>
      </rPr>
      <t>0000210623 IFO TGL PROPERTIES LTD SCB H/S ACCRA 210623</t>
    </r>
  </si>
  <si>
    <r>
      <rPr>
        <sz val="8"/>
        <rFont val="Times New Roman"/>
        <family val="1"/>
      </rPr>
      <t>0000484616 IFO TGL PROPERTIES LTD SCB H/S ACCRA 484616</t>
    </r>
  </si>
  <si>
    <r>
      <rPr>
        <sz val="8"/>
        <rFont val="Arial"/>
        <family val="2"/>
      </rPr>
      <t>29 / 71</t>
    </r>
  </si>
  <si>
    <r>
      <rPr>
        <sz val="8"/>
        <rFont val="Times New Roman"/>
        <family val="1"/>
      </rPr>
      <t>INW CLG 259067</t>
    </r>
  </si>
  <si>
    <r>
      <rPr>
        <sz val="8"/>
        <rFont val="Times New Roman"/>
        <family val="1"/>
      </rPr>
      <t>INW CLG 210666</t>
    </r>
  </si>
  <si>
    <r>
      <rPr>
        <sz val="8"/>
        <rFont val="Times New Roman"/>
        <family val="1"/>
      </rPr>
      <t>INW CLG 210629</t>
    </r>
  </si>
  <si>
    <r>
      <rPr>
        <sz val="8"/>
        <rFont val="Times New Roman"/>
        <family val="1"/>
      </rPr>
      <t>INW CLG 210635</t>
    </r>
  </si>
  <si>
    <r>
      <rPr>
        <sz val="8"/>
        <rFont val="Times New Roman"/>
        <family val="1"/>
      </rPr>
      <t>INW CLG 210628</t>
    </r>
  </si>
  <si>
    <r>
      <rPr>
        <sz val="8"/>
        <rFont val="Times New Roman"/>
        <family val="1"/>
      </rPr>
      <t>INW CLG 680310</t>
    </r>
  </si>
  <si>
    <r>
      <rPr>
        <sz val="8"/>
        <rFont val="Times New Roman"/>
        <family val="1"/>
      </rPr>
      <t>INW CLG 210639</t>
    </r>
  </si>
  <si>
    <r>
      <rPr>
        <sz val="8"/>
        <rFont val="Times New Roman"/>
        <family val="1"/>
      </rPr>
      <t>INW CLG 210634</t>
    </r>
  </si>
  <si>
    <r>
      <rPr>
        <sz val="8"/>
        <rFont val="Arial"/>
        <family val="2"/>
      </rPr>
      <t>30 / 71</t>
    </r>
  </si>
  <si>
    <r>
      <rPr>
        <sz val="8"/>
        <rFont val="Times New Roman"/>
        <family val="1"/>
      </rPr>
      <t>INW CLG 259018</t>
    </r>
  </si>
  <si>
    <r>
      <rPr>
        <sz val="8"/>
        <rFont val="Times New Roman"/>
        <family val="1"/>
      </rPr>
      <t>0000259044 TARKWA STORE ID 111003 SCB CHQ # 259044 IFO</t>
    </r>
  </si>
  <si>
    <r>
      <rPr>
        <sz val="8"/>
        <rFont val="Times New Roman"/>
        <family val="1"/>
      </rPr>
      <t>VODAFONE GHANA LIMITED</t>
    </r>
  </si>
  <si>
    <r>
      <rPr>
        <sz val="8"/>
        <rFont val="Times New Roman"/>
        <family val="1"/>
      </rPr>
      <t>0000210640 CHQ 210640 IFO DOXA RESO</t>
    </r>
  </si>
  <si>
    <r>
      <rPr>
        <sz val="8"/>
        <rFont val="Times New Roman"/>
        <family val="1"/>
      </rPr>
      <t>INW CLG 210638</t>
    </r>
  </si>
  <si>
    <r>
      <rPr>
        <sz val="8"/>
        <rFont val="Times New Roman"/>
        <family val="1"/>
      </rPr>
      <t>INW CLG 259052</t>
    </r>
  </si>
  <si>
    <r>
      <rPr>
        <sz val="8"/>
        <rFont val="Times New Roman"/>
        <family val="1"/>
      </rPr>
      <t>INW CLG 210632</t>
    </r>
  </si>
  <si>
    <r>
      <rPr>
        <sz val="8"/>
        <rFont val="Times New Roman"/>
        <family val="1"/>
      </rPr>
      <t>INW CLG 210631</t>
    </r>
  </si>
  <si>
    <r>
      <rPr>
        <sz val="8"/>
        <rFont val="Times New Roman"/>
        <family val="1"/>
      </rPr>
      <t>0000484679 TARKWA STORE ID 111003 SCB CHQ # 484679 IFO</t>
    </r>
  </si>
  <si>
    <r>
      <rPr>
        <sz val="8"/>
        <rFont val="Times New Roman"/>
        <family val="1"/>
      </rPr>
      <t>INW CLG 259060</t>
    </r>
  </si>
  <si>
    <r>
      <rPr>
        <sz val="8"/>
        <rFont val="Times New Roman"/>
        <family val="1"/>
      </rPr>
      <t>INW CLG 210616</t>
    </r>
  </si>
  <si>
    <r>
      <rPr>
        <sz val="8"/>
        <rFont val="Times New Roman"/>
        <family val="1"/>
      </rPr>
      <t>0000259043 CASH WITHDRAWAL-GBEDZO O</t>
    </r>
  </si>
  <si>
    <r>
      <rPr>
        <sz val="8"/>
        <rFont val="Arial"/>
        <family val="2"/>
      </rPr>
      <t>31 / 71</t>
    </r>
  </si>
  <si>
    <r>
      <rPr>
        <sz val="8"/>
        <rFont val="Times New Roman"/>
        <family val="1"/>
      </rPr>
      <t>INW CLG 210636</t>
    </r>
  </si>
  <si>
    <r>
      <rPr>
        <sz val="8"/>
        <rFont val="Times New Roman"/>
        <family val="1"/>
      </rPr>
      <t>INW CLG 259014</t>
    </r>
  </si>
  <si>
    <r>
      <rPr>
        <sz val="8"/>
        <rFont val="Times New Roman"/>
        <family val="1"/>
      </rPr>
      <t>INW CLG 210612</t>
    </r>
  </si>
  <si>
    <r>
      <rPr>
        <sz val="8"/>
        <rFont val="Times New Roman"/>
        <family val="1"/>
      </rPr>
      <t>INW CLG 210608</t>
    </r>
  </si>
  <si>
    <r>
      <rPr>
        <sz val="8"/>
        <rFont val="Times New Roman"/>
        <family val="1"/>
      </rPr>
      <t>0000259035 SCB,CHQ#259035 IFO TOYOT</t>
    </r>
  </si>
  <si>
    <r>
      <rPr>
        <sz val="8"/>
        <rFont val="Times New Roman"/>
        <family val="1"/>
      </rPr>
      <t>INW CLG 210615</t>
    </r>
  </si>
  <si>
    <r>
      <rPr>
        <sz val="8"/>
        <rFont val="Times New Roman"/>
        <family val="1"/>
      </rPr>
      <t>INW CLG 259032</t>
    </r>
  </si>
  <si>
    <r>
      <rPr>
        <sz val="8"/>
        <rFont val="Times New Roman"/>
        <family val="1"/>
      </rPr>
      <t>INW CLG 259004</t>
    </r>
  </si>
  <si>
    <r>
      <rPr>
        <sz val="8"/>
        <rFont val="Times New Roman"/>
        <family val="1"/>
      </rPr>
      <t>INW CLG 680318</t>
    </r>
  </si>
  <si>
    <r>
      <rPr>
        <sz val="8"/>
        <rFont val="Times New Roman"/>
        <family val="1"/>
      </rPr>
      <t>INW CLG 210664</t>
    </r>
  </si>
  <si>
    <r>
      <rPr>
        <sz val="8"/>
        <rFont val="Times New Roman"/>
        <family val="1"/>
      </rPr>
      <t>INW CLG 259026</t>
    </r>
  </si>
  <si>
    <r>
      <rPr>
        <sz val="8"/>
        <rFont val="Arial"/>
        <family val="2"/>
      </rPr>
      <t>32 / 71</t>
    </r>
  </si>
  <si>
    <r>
      <rPr>
        <sz val="8"/>
        <rFont val="Times New Roman"/>
        <family val="1"/>
      </rPr>
      <t xml:space="preserve">26-06-2019
</t>
    </r>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</si>
  <si>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</si>
  <si>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BALANCE BROUGHT FORWARD INW CLG 210613
</t>
    </r>
    <r>
      <rPr>
        <sz val="8"/>
        <rFont val="Times New Roman"/>
        <family val="1"/>
      </rPr>
      <t xml:space="preserve">0000680354 CASH WITHDRAWN BY WENDY AFRIYIE ADDO
</t>
    </r>
    <r>
      <rPr>
        <sz val="8"/>
        <rFont val="Times New Roman"/>
        <family val="1"/>
      </rPr>
      <t xml:space="preserve">INW CLG 210602
</t>
    </r>
    <r>
      <rPr>
        <sz val="8"/>
        <rFont val="Times New Roman"/>
        <family val="1"/>
      </rPr>
      <t xml:space="preserve">SWEEP FROM GHS 0100106024701
</t>
    </r>
    <r>
      <rPr>
        <sz val="8"/>
        <rFont val="Times New Roman"/>
        <family val="1"/>
      </rPr>
      <t>END OF STATEMENT</t>
    </r>
  </si>
  <si>
    <r>
      <rPr>
        <sz val="8"/>
        <rFont val="Times New Roman"/>
        <family val="1"/>
      </rPr>
      <t xml:space="preserve">6,500.00
</t>
    </r>
    <r>
      <rPr>
        <sz val="8"/>
        <rFont val="Times New Roman"/>
        <family val="1"/>
      </rPr>
      <t xml:space="preserve">2,201.31
</t>
    </r>
    <r>
      <rPr>
        <sz val="8"/>
        <rFont val="Times New Roman"/>
        <family val="1"/>
      </rPr>
      <t xml:space="preserve">5,358.28
</t>
    </r>
    <r>
      <rPr>
        <sz val="8"/>
        <rFont val="Times New Roman"/>
        <family val="1"/>
      </rPr>
      <t>-</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</si>
  <si>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3,814.22</t>
    </r>
  </si>
  <si>
    <r>
      <rPr>
        <sz val="8"/>
        <rFont val="Times New Roman"/>
        <family val="1"/>
      </rPr>
      <t xml:space="preserve">58,205.10
</t>
    </r>
    <r>
      <rPr>
        <sz val="8"/>
        <rFont val="Times New Roman"/>
        <family val="1"/>
      </rPr>
      <t xml:space="preserve">51,705.10
</t>
    </r>
    <r>
      <rPr>
        <sz val="8"/>
        <rFont val="Times New Roman"/>
        <family val="1"/>
      </rPr>
      <t xml:space="preserve">49,503.79
</t>
    </r>
    <r>
      <rPr>
        <sz val="8"/>
        <rFont val="Times New Roman"/>
        <family val="1"/>
      </rPr>
      <t xml:space="preserve">44,145.51
</t>
    </r>
    <r>
      <rPr>
        <sz val="8"/>
        <rFont val="Times New Roman"/>
        <family val="1"/>
      </rPr>
      <t>47,959.73</t>
    </r>
  </si>
  <si>
    <r>
      <rPr>
        <sz val="8"/>
        <rFont val="Arial"/>
        <family val="2"/>
      </rPr>
      <t>33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</si>
  <si>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47,959.73                           113,076.92
</t>
    </r>
    <r>
      <rPr>
        <b/>
        <vertAlign val="superscript"/>
        <sz val="9.5"/>
        <rFont val="Times New Roman"/>
        <family val="1"/>
      </rPr>
      <t xml:space="preserve">C/O AFRICANUS NET LTD                                                            </t>
    </r>
    <r>
      <rPr>
        <sz val="8"/>
        <rFont val="Times New Roman"/>
        <family val="1"/>
      </rPr>
      <t xml:space="preserve">CLOSING BALANCE                             113,076.92                           113,076.92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</si>
  <si>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680307</t>
    </r>
  </si>
  <si>
    <r>
      <rPr>
        <sz val="8"/>
        <rFont val="Times New Roman"/>
        <family val="1"/>
      </rPr>
      <t>INW CLG 210637</t>
    </r>
  </si>
  <si>
    <r>
      <rPr>
        <sz val="8"/>
        <rFont val="Times New Roman"/>
        <family val="1"/>
      </rPr>
      <t>INW CLG 680341</t>
    </r>
  </si>
  <si>
    <r>
      <rPr>
        <sz val="8"/>
        <rFont val="Times New Roman"/>
        <family val="1"/>
      </rPr>
      <t>INW CLG 210690</t>
    </r>
  </si>
  <si>
    <r>
      <rPr>
        <sz val="8"/>
        <rFont val="Arial"/>
        <family val="2"/>
      </rPr>
      <t>34 / 71</t>
    </r>
  </si>
  <si>
    <r>
      <rPr>
        <sz val="8"/>
        <rFont val="Times New Roman"/>
        <family val="1"/>
      </rPr>
      <t>INW CLG 680344</t>
    </r>
  </si>
  <si>
    <r>
      <rPr>
        <sz val="8"/>
        <rFont val="Times New Roman"/>
        <family val="1"/>
      </rPr>
      <t>INW CLG 259020</t>
    </r>
  </si>
  <si>
    <r>
      <rPr>
        <sz val="8"/>
        <rFont val="Times New Roman"/>
        <family val="1"/>
      </rPr>
      <t>INW CLG 210671</t>
    </r>
  </si>
  <si>
    <r>
      <rPr>
        <sz val="8"/>
        <rFont val="Times New Roman"/>
        <family val="1"/>
      </rPr>
      <t>INW CLG 210679</t>
    </r>
  </si>
  <si>
    <r>
      <rPr>
        <sz val="8"/>
        <rFont val="Times New Roman"/>
        <family val="1"/>
      </rPr>
      <t>INW CLG 484605</t>
    </r>
  </si>
  <si>
    <r>
      <rPr>
        <sz val="8"/>
        <rFont val="Times New Roman"/>
        <family val="1"/>
      </rPr>
      <t>INW CLG 484691</t>
    </r>
  </si>
  <si>
    <r>
      <rPr>
        <sz val="8"/>
        <rFont val="Times New Roman"/>
        <family val="1"/>
      </rPr>
      <t>INW CLG 259088</t>
    </r>
  </si>
  <si>
    <r>
      <rPr>
        <sz val="8"/>
        <rFont val="Arial"/>
        <family val="2"/>
      </rPr>
      <t>35 / 71</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</si>
  <si>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</si>
  <si>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</si>
  <si>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BALANCE BROUGHT FORWARD INW CLG 680361
</t>
    </r>
    <r>
      <rPr>
        <sz val="8"/>
        <rFont val="Times New Roman"/>
        <family val="1"/>
      </rPr>
      <t xml:space="preserve">INW CLG 259036
</t>
    </r>
    <r>
      <rPr>
        <sz val="8"/>
        <rFont val="Times New Roman"/>
        <family val="1"/>
      </rPr>
      <t xml:space="preserve">INW CLG 680340
</t>
    </r>
    <r>
      <rPr>
        <sz val="8"/>
        <rFont val="Times New Roman"/>
        <family val="1"/>
      </rPr>
      <t xml:space="preserve">INW CLG 210695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INW CLG 259027
</t>
    </r>
    <r>
      <rPr>
        <sz val="8"/>
        <rFont val="Times New Roman"/>
        <family val="1"/>
      </rPr>
      <t>END OF STATEMENT</t>
    </r>
  </si>
  <si>
    <r>
      <rPr>
        <sz val="8"/>
        <rFont val="Times New Roman"/>
        <family val="1"/>
      </rPr>
      <t xml:space="preserve">3,200.00
</t>
    </r>
    <r>
      <rPr>
        <sz val="8"/>
        <rFont val="Times New Roman"/>
        <family val="1"/>
      </rPr>
      <t xml:space="preserve">3,675.00
</t>
    </r>
    <r>
      <rPr>
        <sz val="8"/>
        <rFont val="Times New Roman"/>
        <family val="1"/>
      </rPr>
      <t xml:space="preserve">13,883.57
</t>
    </r>
    <r>
      <rPr>
        <sz val="8"/>
        <rFont val="Times New Roman"/>
        <family val="1"/>
      </rPr>
      <t xml:space="preserve">24,359.03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2,425.50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</si>
  <si>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5,093.28
</t>
    </r>
    <r>
      <rPr>
        <sz val="8"/>
        <rFont val="Times New Roman"/>
        <family val="1"/>
      </rPr>
      <t xml:space="preserve">10,382.50
</t>
    </r>
    <r>
      <rPr>
        <sz val="8"/>
        <rFont val="Times New Roman"/>
        <family val="1"/>
      </rPr>
      <t xml:space="preserve">1,888.25
</t>
    </r>
    <r>
      <rPr>
        <sz val="8"/>
        <rFont val="Times New Roman"/>
        <family val="1"/>
      </rPr>
      <t>-</t>
    </r>
  </si>
  <si>
    <r>
      <rPr>
        <sz val="8"/>
        <rFont val="Times New Roman"/>
        <family val="1"/>
      </rPr>
      <t xml:space="preserve">143,255.99
</t>
    </r>
    <r>
      <rPr>
        <sz val="8"/>
        <rFont val="Times New Roman"/>
        <family val="1"/>
      </rPr>
      <t xml:space="preserve">140,055.99
</t>
    </r>
    <r>
      <rPr>
        <sz val="8"/>
        <rFont val="Times New Roman"/>
        <family val="1"/>
      </rPr>
      <t xml:space="preserve">136,380.99
</t>
    </r>
    <r>
      <rPr>
        <sz val="8"/>
        <rFont val="Times New Roman"/>
        <family val="1"/>
      </rPr>
      <t xml:space="preserve">122,497.42
</t>
    </r>
    <r>
      <rPr>
        <sz val="8"/>
        <rFont val="Times New Roman"/>
        <family val="1"/>
      </rPr>
      <t xml:space="preserve">98,138.39
</t>
    </r>
    <r>
      <rPr>
        <sz val="8"/>
        <rFont val="Times New Roman"/>
        <family val="1"/>
      </rPr>
      <t xml:space="preserve">103,231.67
</t>
    </r>
    <r>
      <rPr>
        <sz val="8"/>
        <rFont val="Times New Roman"/>
        <family val="1"/>
      </rPr>
      <t xml:space="preserve">113,614.17
</t>
    </r>
    <r>
      <rPr>
        <sz val="8"/>
        <rFont val="Times New Roman"/>
        <family val="1"/>
      </rPr>
      <t xml:space="preserve">115,502.42
</t>
    </r>
    <r>
      <rPr>
        <sz val="8"/>
        <rFont val="Times New Roman"/>
        <family val="1"/>
      </rPr>
      <t>113,076.92</t>
    </r>
  </si>
  <si>
    <r>
      <rPr>
        <sz val="8"/>
        <rFont val="Arial"/>
        <family val="2"/>
      </rPr>
      <t>36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</si>
  <si>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113,076.92                             55,587.86
</t>
    </r>
    <r>
      <rPr>
        <b/>
        <vertAlign val="superscript"/>
        <sz val="9.5"/>
        <rFont val="Times New Roman"/>
        <family val="1"/>
      </rPr>
      <t xml:space="preserve">C/O AFRICANUS NET LTD                                                            </t>
    </r>
    <r>
      <rPr>
        <sz val="8"/>
        <rFont val="Times New Roman"/>
        <family val="1"/>
      </rPr>
      <t xml:space="preserve">CLOSING BALANCE                               55,587.86                             55,587.86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</si>
  <si>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680343</t>
    </r>
  </si>
  <si>
    <r>
      <rPr>
        <sz val="8"/>
        <rFont val="Times New Roman"/>
        <family val="1"/>
      </rPr>
      <t>INW CLG 210670</t>
    </r>
  </si>
  <si>
    <r>
      <rPr>
        <sz val="8"/>
        <rFont val="Times New Roman"/>
        <family val="1"/>
      </rPr>
      <t>OT REF OT00201908090041 TGL PROPERTIES LTD</t>
    </r>
  </si>
  <si>
    <r>
      <rPr>
        <sz val="8"/>
        <rFont val="Times New Roman"/>
        <family val="1"/>
      </rPr>
      <t>OT00201908090041 TT CHARGES OUTWARD TELEGRAPHIC</t>
    </r>
  </si>
  <si>
    <r>
      <rPr>
        <sz val="8"/>
        <rFont val="Times New Roman"/>
        <family val="1"/>
      </rPr>
      <t>COMM</t>
    </r>
  </si>
  <si>
    <r>
      <rPr>
        <sz val="8"/>
        <rFont val="Arial"/>
        <family val="2"/>
      </rPr>
      <t>37 / 71</t>
    </r>
  </si>
  <si>
    <r>
      <rPr>
        <sz val="8"/>
        <rFont val="Times New Roman"/>
        <family val="1"/>
      </rPr>
      <t xml:space="preserve">22-08-2019
</t>
    </r>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</si>
  <si>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</si>
  <si>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BALANCE BROUGHT FORWARD INW CLG 210691
</t>
    </r>
    <r>
      <rPr>
        <sz val="8"/>
        <rFont val="Times New Roman"/>
        <family val="1"/>
      </rPr>
      <t xml:space="preserve">SWEEP FROM GHS 0100106024701
</t>
    </r>
    <r>
      <rPr>
        <sz val="8"/>
        <rFont val="Times New Roman"/>
        <family val="1"/>
      </rPr>
      <t xml:space="preserve">SWEEP FROM GHS 0100106024701
</t>
    </r>
    <r>
      <rPr>
        <sz val="8"/>
        <rFont val="Times New Roman"/>
        <family val="1"/>
      </rPr>
      <t>END OF STATEMENT</t>
    </r>
  </si>
  <si>
    <r>
      <rPr>
        <sz val="8"/>
        <rFont val="Times New Roman"/>
        <family val="1"/>
      </rPr>
      <t xml:space="preserve">4,000.00
</t>
    </r>
    <r>
      <rPr>
        <sz val="8"/>
        <rFont val="Times New Roman"/>
        <family val="1"/>
      </rPr>
      <t xml:space="preserve">-
</t>
    </r>
    <r>
      <rPr>
        <sz val="8"/>
        <rFont val="Times New Roman"/>
        <family val="1"/>
      </rPr>
      <t>-</t>
    </r>
  </si>
  <si>
    <r>
      <rPr>
        <sz val="8"/>
        <rFont val="Times New Roman"/>
        <family val="1"/>
      </rPr>
      <t xml:space="preserve">-
</t>
    </r>
    <r>
      <rPr>
        <sz val="8"/>
        <rFont val="Times New Roman"/>
        <family val="1"/>
      </rPr>
      <t xml:space="preserve">3,600.51
</t>
    </r>
    <r>
      <rPr>
        <sz val="8"/>
        <rFont val="Times New Roman"/>
        <family val="1"/>
      </rPr>
      <t>7,623.53</t>
    </r>
  </si>
  <si>
    <r>
      <rPr>
        <sz val="8"/>
        <rFont val="Times New Roman"/>
        <family val="1"/>
      </rPr>
      <t xml:space="preserve">48,363.82
</t>
    </r>
    <r>
      <rPr>
        <sz val="8"/>
        <rFont val="Times New Roman"/>
        <family val="1"/>
      </rPr>
      <t xml:space="preserve">44,363.82
</t>
    </r>
    <r>
      <rPr>
        <sz val="8"/>
        <rFont val="Times New Roman"/>
        <family val="1"/>
      </rPr>
      <t xml:space="preserve">47,964.33
</t>
    </r>
    <r>
      <rPr>
        <sz val="8"/>
        <rFont val="Times New Roman"/>
        <family val="1"/>
      </rPr>
      <t>55,587.86</t>
    </r>
  </si>
  <si>
    <r>
      <rPr>
        <sz val="8"/>
        <rFont val="Arial"/>
        <family val="2"/>
      </rPr>
      <t>38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</si>
  <si>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55,587.86                           174,824.00
</t>
    </r>
    <r>
      <rPr>
        <b/>
        <vertAlign val="superscript"/>
        <sz val="9.5"/>
        <rFont val="Times New Roman"/>
        <family val="1"/>
      </rPr>
      <t xml:space="preserve">C/O AFRICANUS NET LTD                                                            </t>
    </r>
    <r>
      <rPr>
        <sz val="8"/>
        <rFont val="Times New Roman"/>
        <family val="1"/>
      </rPr>
      <t xml:space="preserve">CLOSING BALANCE                             174,824.00                           174,824.00
</t>
    </r>
    <r>
      <rPr>
        <b/>
        <sz val="9.5"/>
        <rFont val="Times New Roman"/>
        <family val="1"/>
      </rPr>
      <t xml:space="preserve">BOX CT2277 CANTONMENTS-ACCRA                                                </t>
    </r>
    <r>
      <rPr>
        <vertAlign val="subscript"/>
        <sz val="8"/>
        <rFont val="Times New Roman"/>
        <family val="1"/>
      </rPr>
      <t xml:space="preserve">TOTAL DEBIT                                             2
</t>
    </r>
    <r>
      <rPr>
        <sz val="8"/>
        <rFont val="Times New Roman"/>
        <family val="1"/>
      </rPr>
      <t>TOTAL CREDIT                                           10</t>
    </r>
  </si>
  <si>
    <r>
      <rPr>
        <sz val="8"/>
        <rFont val="Times New Roman"/>
        <family val="1"/>
      </rPr>
      <t>INW CLG 259046</t>
    </r>
  </si>
  <si>
    <r>
      <rPr>
        <sz val="8"/>
        <rFont val="Times New Roman"/>
        <family val="1"/>
      </rPr>
      <t>INW CLG 680367</t>
    </r>
  </si>
  <si>
    <r>
      <rPr>
        <sz val="8"/>
        <rFont val="Arial"/>
        <family val="2"/>
      </rPr>
      <t>39 / 71</t>
    </r>
  </si>
  <si>
    <r>
      <rPr>
        <sz val="8"/>
        <rFont val="Times New Roman"/>
        <family val="1"/>
      </rPr>
      <t>0000680370 CASH WITHDRAWAL-BONSU OB</t>
    </r>
  </si>
  <si>
    <r>
      <rPr>
        <sz val="8"/>
        <rFont val="Times New Roman"/>
        <family val="1"/>
      </rPr>
      <t>INW CLG 680369</t>
    </r>
  </si>
  <si>
    <r>
      <rPr>
        <sz val="8"/>
        <rFont val="Times New Roman"/>
        <family val="1"/>
      </rPr>
      <t>0000680376 CASH WITHDRAWAL;BY COLLI</t>
    </r>
  </si>
  <si>
    <r>
      <rPr>
        <sz val="8"/>
        <rFont val="Times New Roman"/>
        <family val="1"/>
      </rPr>
      <t>0000680375 CASH WITHDRAWN BY OLIVIA</t>
    </r>
  </si>
  <si>
    <r>
      <rPr>
        <sz val="8"/>
        <rFont val="Times New Roman"/>
        <family val="1"/>
      </rPr>
      <t>0000680380 CASH WITHDRAWN BY OLIVIA</t>
    </r>
  </si>
  <si>
    <r>
      <rPr>
        <sz val="8"/>
        <rFont val="Times New Roman"/>
        <family val="1"/>
      </rPr>
      <t>INW CLG 680371</t>
    </r>
  </si>
  <si>
    <r>
      <rPr>
        <sz val="8"/>
        <rFont val="Arial"/>
        <family val="2"/>
      </rPr>
      <t>40 / 71</t>
    </r>
  </si>
  <si>
    <r>
      <rPr>
        <sz val="8"/>
        <rFont val="Times New Roman"/>
        <family val="1"/>
      </rPr>
      <t xml:space="preserve">27-09-2019
</t>
    </r>
    <r>
      <rPr>
        <sz val="8"/>
        <rFont val="Times New Roman"/>
        <family val="1"/>
      </rPr>
      <t>30-09-2019</t>
    </r>
  </si>
  <si>
    <r>
      <rPr>
        <sz val="8"/>
        <rFont val="Times New Roman"/>
        <family val="1"/>
      </rPr>
      <t xml:space="preserve">BALANCE BROUGHT FORWARD SWEEP FROM GHS 0100106024701
</t>
    </r>
    <r>
      <rPr>
        <sz val="8"/>
        <rFont val="Times New Roman"/>
        <family val="1"/>
      </rPr>
      <t>END OF STATEMENT</t>
    </r>
  </si>
  <si>
    <r>
      <rPr>
        <sz val="8"/>
        <rFont val="Times New Roman"/>
        <family val="1"/>
      </rPr>
      <t xml:space="preserve">155,806.00
</t>
    </r>
    <r>
      <rPr>
        <sz val="8"/>
        <rFont val="Times New Roman"/>
        <family val="1"/>
      </rPr>
      <t>174,824.00</t>
    </r>
  </si>
  <si>
    <r>
      <rPr>
        <sz val="8"/>
        <rFont val="Arial"/>
        <family val="2"/>
      </rPr>
      <t>41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</si>
  <si>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174,824.00                           360,852.82
</t>
    </r>
    <r>
      <rPr>
        <b/>
        <vertAlign val="superscript"/>
        <sz val="9.5"/>
        <rFont val="Times New Roman"/>
        <family val="1"/>
      </rPr>
      <t xml:space="preserve">C/O AFRICANUS NET LTD                                                            </t>
    </r>
    <r>
      <rPr>
        <sz val="8"/>
        <rFont val="Times New Roman"/>
        <family val="1"/>
      </rPr>
      <t xml:space="preserve">CLOSING BALANCE                             360,852.82                           360,852.82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6</t>
    </r>
  </si>
  <si>
    <r>
      <rPr>
        <sz val="8"/>
        <rFont val="Times New Roman"/>
        <family val="1"/>
      </rPr>
      <t>INW CLG 680378</t>
    </r>
  </si>
  <si>
    <r>
      <rPr>
        <sz val="8"/>
        <rFont val="Times New Roman"/>
        <family val="1"/>
      </rPr>
      <t>INW CLG 680374</t>
    </r>
  </si>
  <si>
    <r>
      <rPr>
        <sz val="8"/>
        <rFont val="Times New Roman"/>
        <family val="1"/>
      </rPr>
      <t>0000680373 WITHDRAWAL-B/O DZOGBEDOZ</t>
    </r>
  </si>
  <si>
    <r>
      <rPr>
        <sz val="8"/>
        <rFont val="Times New Roman"/>
        <family val="1"/>
      </rPr>
      <t>INW CLG 680389</t>
    </r>
  </si>
  <si>
    <r>
      <rPr>
        <sz val="8"/>
        <rFont val="Times New Roman"/>
        <family val="1"/>
      </rPr>
      <t>INW CLG 680387</t>
    </r>
  </si>
  <si>
    <r>
      <rPr>
        <sz val="8"/>
        <rFont val="Times New Roman"/>
        <family val="1"/>
      </rPr>
      <t>INW CLG 680381</t>
    </r>
  </si>
  <si>
    <r>
      <rPr>
        <sz val="8"/>
        <rFont val="Arial"/>
        <family val="2"/>
      </rPr>
      <t>42 / 71</t>
    </r>
  </si>
  <si>
    <r>
      <rPr>
        <sz val="8"/>
        <rFont val="Times New Roman"/>
        <family val="1"/>
      </rPr>
      <t>0000680386 CASH WITHDRAWAL-OLIVIA G</t>
    </r>
  </si>
  <si>
    <r>
      <rPr>
        <sz val="8"/>
        <rFont val="Times New Roman"/>
        <family val="1"/>
      </rPr>
      <t>INW CLG 680372</t>
    </r>
  </si>
  <si>
    <r>
      <rPr>
        <sz val="8"/>
        <rFont val="Times New Roman"/>
        <family val="1"/>
      </rPr>
      <t>0000726418 CASH WITHDRAWAL-FRANCIS</t>
    </r>
  </si>
  <si>
    <r>
      <rPr>
        <sz val="8"/>
        <rFont val="Times New Roman"/>
        <family val="1"/>
      </rPr>
      <t>INW CLG 680383</t>
    </r>
  </si>
  <si>
    <r>
      <rPr>
        <sz val="8"/>
        <rFont val="Times New Roman"/>
        <family val="1"/>
      </rPr>
      <t>INW CLG 680393</t>
    </r>
  </si>
  <si>
    <r>
      <rPr>
        <sz val="8"/>
        <rFont val="Arial"/>
        <family val="2"/>
      </rPr>
      <t>43 / 71</t>
    </r>
  </si>
  <si>
    <r>
      <rPr>
        <sz val="8"/>
        <rFont val="Times New Roman"/>
        <family val="1"/>
      </rPr>
      <t>0000726491 CASH WITHDRAWAL-B/O OLIV</t>
    </r>
  </si>
  <si>
    <r>
      <rPr>
        <sz val="8"/>
        <rFont val="Times New Roman"/>
        <family val="1"/>
      </rPr>
      <t>INW CLG 726434</t>
    </r>
  </si>
  <si>
    <r>
      <rPr>
        <sz val="8"/>
        <rFont val="Times New Roman"/>
        <family val="1"/>
      </rPr>
      <t>INW CLG 680396</t>
    </r>
  </si>
  <si>
    <r>
      <rPr>
        <sz val="8"/>
        <rFont val="Times New Roman"/>
        <family val="1"/>
      </rPr>
      <t>INW CLG 726417</t>
    </r>
  </si>
  <si>
    <r>
      <rPr>
        <sz val="8"/>
        <rFont val="Times New Roman"/>
        <family val="1"/>
      </rPr>
      <t>INW CLG 726433</t>
    </r>
  </si>
  <si>
    <r>
      <rPr>
        <sz val="8"/>
        <rFont val="Times New Roman"/>
        <family val="1"/>
      </rPr>
      <t>INW CLG 726413</t>
    </r>
  </si>
  <si>
    <r>
      <rPr>
        <sz val="8"/>
        <rFont val="Times New Roman"/>
        <family val="1"/>
      </rPr>
      <t>INW CLG 680397</t>
    </r>
  </si>
  <si>
    <r>
      <rPr>
        <sz val="8"/>
        <rFont val="Times New Roman"/>
        <family val="1"/>
      </rPr>
      <t>INW CLG 680398</t>
    </r>
  </si>
  <si>
    <r>
      <rPr>
        <sz val="8"/>
        <rFont val="Times New Roman"/>
        <family val="1"/>
      </rPr>
      <t>INW CLG 680400</t>
    </r>
  </si>
  <si>
    <r>
      <rPr>
        <sz val="8"/>
        <rFont val="Times New Roman"/>
        <family val="1"/>
      </rPr>
      <t>INW CLG 680394</t>
    </r>
  </si>
  <si>
    <r>
      <rPr>
        <sz val="8"/>
        <rFont val="Arial"/>
        <family val="2"/>
      </rPr>
      <t>44 / 71</t>
    </r>
  </si>
  <si>
    <r>
      <rPr>
        <sz val="8"/>
        <rFont val="Times New Roman"/>
        <family val="1"/>
      </rPr>
      <t>0000726401 SCB CHQ # 726401 IFO TRA</t>
    </r>
  </si>
  <si>
    <r>
      <rPr>
        <sz val="8"/>
        <rFont val="Times New Roman"/>
        <family val="1"/>
      </rPr>
      <t>0000726431 726431 SCB H/ST IFO PETR 9970500015699</t>
    </r>
  </si>
  <si>
    <r>
      <rPr>
        <sz val="8"/>
        <rFont val="Times New Roman"/>
        <family val="1"/>
      </rPr>
      <t>INW CLG 726438</t>
    </r>
  </si>
  <si>
    <r>
      <rPr>
        <sz val="8"/>
        <rFont val="Times New Roman"/>
        <family val="1"/>
      </rPr>
      <t>BILL NO: 19715270 25/10/2019 GR:111</t>
    </r>
  </si>
  <si>
    <r>
      <rPr>
        <sz val="8"/>
        <rFont val="Times New Roman"/>
        <family val="1"/>
      </rPr>
      <t>INW CLG 726405</t>
    </r>
  </si>
  <si>
    <r>
      <rPr>
        <sz val="8"/>
        <rFont val="Times New Roman"/>
        <family val="1"/>
      </rPr>
      <t>INW CLG 726409</t>
    </r>
  </si>
  <si>
    <r>
      <rPr>
        <sz val="8"/>
        <rFont val="Times New Roman"/>
        <family val="1"/>
      </rPr>
      <t>INW CLG 726442</t>
    </r>
  </si>
  <si>
    <r>
      <rPr>
        <sz val="8"/>
        <rFont val="Times New Roman"/>
        <family val="1"/>
      </rPr>
      <t>SWEEP TO GHS 0100106024701</t>
    </r>
  </si>
  <si>
    <r>
      <rPr>
        <sz val="8"/>
        <rFont val="Times New Roman"/>
        <family val="1"/>
      </rPr>
      <t>INW CLG 680395</t>
    </r>
  </si>
  <si>
    <r>
      <rPr>
        <sz val="8"/>
        <rFont val="Arial"/>
        <family val="2"/>
      </rPr>
      <t>45 / 71</t>
    </r>
  </si>
  <si>
    <r>
      <rPr>
        <sz val="8"/>
        <rFont val="Times New Roman"/>
        <family val="1"/>
      </rPr>
      <t>INW CLG 726457</t>
    </r>
  </si>
  <si>
    <r>
      <rPr>
        <sz val="8"/>
        <rFont val="Times New Roman"/>
        <family val="1"/>
      </rPr>
      <t>INW CLG 726402</t>
    </r>
  </si>
  <si>
    <r>
      <rPr>
        <sz val="8"/>
        <rFont val="Times New Roman"/>
        <family val="1"/>
      </rPr>
      <t>INW CLG 726465</t>
    </r>
  </si>
  <si>
    <r>
      <rPr>
        <sz val="8"/>
        <rFont val="Times New Roman"/>
        <family val="1"/>
      </rPr>
      <t>INW CLG 726487</t>
    </r>
  </si>
  <si>
    <r>
      <rPr>
        <sz val="8"/>
        <rFont val="Times New Roman"/>
        <family val="1"/>
      </rPr>
      <t>INW CLG 726421</t>
    </r>
  </si>
  <si>
    <r>
      <rPr>
        <sz val="8"/>
        <rFont val="Times New Roman"/>
        <family val="1"/>
      </rPr>
      <t>INW CLG 726489</t>
    </r>
  </si>
  <si>
    <r>
      <rPr>
        <sz val="8"/>
        <rFont val="Times New Roman"/>
        <family val="1"/>
      </rPr>
      <t>INW CLG 726420</t>
    </r>
  </si>
  <si>
    <r>
      <rPr>
        <sz val="8"/>
        <rFont val="Times New Roman"/>
        <family val="1"/>
      </rPr>
      <t>INW CLG 726414</t>
    </r>
  </si>
  <si>
    <r>
      <rPr>
        <sz val="8"/>
        <rFont val="Times New Roman"/>
        <family val="1"/>
      </rPr>
      <t>INW CLG 231901</t>
    </r>
  </si>
  <si>
    <r>
      <rPr>
        <sz val="8"/>
        <rFont val="Times New Roman"/>
        <family val="1"/>
      </rPr>
      <t>INW CLG 726469</t>
    </r>
  </si>
  <si>
    <r>
      <rPr>
        <sz val="8"/>
        <rFont val="Arial"/>
        <family val="2"/>
      </rPr>
      <t>46 / 71</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</si>
  <si>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</si>
  <si>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</si>
  <si>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BALANCE BROUGHT FORWARD 0000231903 CASH WITHDRAWN BY OLIVIA
</t>
    </r>
    <r>
      <rPr>
        <sz val="8"/>
        <rFont val="Times New Roman"/>
        <family val="1"/>
      </rPr>
      <t xml:space="preserve">0000726495 CASH WITHDRAWN BY OLIVIA
</t>
    </r>
    <r>
      <rPr>
        <sz val="8"/>
        <rFont val="Times New Roman"/>
        <family val="1"/>
      </rPr>
      <t xml:space="preserve">FUNDS TRANSFER TO TGL PROPERTIES LIMITED CMO 005 SCW204GH0100311019624601
</t>
    </r>
    <r>
      <rPr>
        <sz val="8"/>
        <rFont val="Times New Roman"/>
        <family val="1"/>
      </rPr>
      <t xml:space="preserve">INW CLG 726449
</t>
    </r>
    <r>
      <rPr>
        <sz val="8"/>
        <rFont val="Times New Roman"/>
        <family val="1"/>
      </rPr>
      <t xml:space="preserve">INW CLG 726440
</t>
    </r>
    <r>
      <rPr>
        <sz val="8"/>
        <rFont val="Times New Roman"/>
        <family val="1"/>
      </rPr>
      <t xml:space="preserve">INW CLG 726415
</t>
    </r>
    <r>
      <rPr>
        <sz val="8"/>
        <rFont val="Times New Roman"/>
        <family val="1"/>
      </rPr>
      <t>END OF STATEMENT</t>
    </r>
  </si>
  <si>
    <r>
      <rPr>
        <sz val="8"/>
        <rFont val="Times New Roman"/>
        <family val="1"/>
      </rPr>
      <t xml:space="preserve">2,607.50
</t>
    </r>
    <r>
      <rPr>
        <sz val="8"/>
        <rFont val="Times New Roman"/>
        <family val="1"/>
      </rPr>
      <t xml:space="preserve">4,638.49
</t>
    </r>
    <r>
      <rPr>
        <sz val="8"/>
        <rFont val="Times New Roman"/>
        <family val="1"/>
      </rPr>
      <t xml:space="preserve">50,000.00
</t>
    </r>
    <r>
      <rPr>
        <sz val="8"/>
        <rFont val="Times New Roman"/>
        <family val="1"/>
      </rPr>
      <t xml:space="preserve">3,120.00
</t>
    </r>
    <r>
      <rPr>
        <sz val="8"/>
        <rFont val="Times New Roman"/>
        <family val="1"/>
      </rPr>
      <t xml:space="preserve">11,947.30
</t>
    </r>
    <r>
      <rPr>
        <sz val="8"/>
        <rFont val="Times New Roman"/>
        <family val="1"/>
      </rPr>
      <t>13,886.10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</si>
  <si>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</si>
  <si>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447,052.21
</t>
    </r>
    <r>
      <rPr>
        <sz val="8"/>
        <rFont val="Times New Roman"/>
        <family val="1"/>
      </rPr>
      <t xml:space="preserve">444,444.71
</t>
    </r>
    <r>
      <rPr>
        <sz val="8"/>
        <rFont val="Times New Roman"/>
        <family val="1"/>
      </rPr>
      <t xml:space="preserve">439,806.22
</t>
    </r>
    <r>
      <rPr>
        <sz val="8"/>
        <rFont val="Times New Roman"/>
        <family val="1"/>
      </rPr>
      <t xml:space="preserve">389,806.22
</t>
    </r>
    <r>
      <rPr>
        <sz val="8"/>
        <rFont val="Times New Roman"/>
        <family val="1"/>
      </rPr>
      <t xml:space="preserve">386,686.22
</t>
    </r>
    <r>
      <rPr>
        <sz val="8"/>
        <rFont val="Times New Roman"/>
        <family val="1"/>
      </rPr>
      <t xml:space="preserve">374,738.92
</t>
    </r>
    <r>
      <rPr>
        <sz val="8"/>
        <rFont val="Times New Roman"/>
        <family val="1"/>
      </rPr>
      <t>360,852.82</t>
    </r>
  </si>
  <si>
    <r>
      <rPr>
        <sz val="8"/>
        <rFont val="Arial"/>
        <family val="2"/>
      </rPr>
      <t>47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</si>
  <si>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360,852.82                        1,104,357.72
</t>
    </r>
    <r>
      <rPr>
        <b/>
        <vertAlign val="superscript"/>
        <sz val="9.5"/>
        <rFont val="Times New Roman"/>
        <family val="1"/>
      </rPr>
      <t xml:space="preserve">C/O AFRICANUS NET LTD                                                            </t>
    </r>
    <r>
      <rPr>
        <sz val="8"/>
        <rFont val="Times New Roman"/>
        <family val="1"/>
      </rPr>
      <t xml:space="preserve">CLOSING BALANCE                          1,104,357.72                        1,104,357.72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</si>
  <si>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INW CLG 726447</t>
    </r>
  </si>
  <si>
    <r>
      <rPr>
        <sz val="8"/>
        <rFont val="Times New Roman"/>
        <family val="1"/>
      </rPr>
      <t>INW CLG 726454</t>
    </r>
  </si>
  <si>
    <r>
      <rPr>
        <sz val="8"/>
        <rFont val="Times New Roman"/>
        <family val="1"/>
      </rPr>
      <t>INW CLG 680399</t>
    </r>
  </si>
  <si>
    <r>
      <rPr>
        <sz val="8"/>
        <rFont val="Times New Roman"/>
        <family val="1"/>
      </rPr>
      <t>INW CLG 726450</t>
    </r>
  </si>
  <si>
    <r>
      <rPr>
        <sz val="8"/>
        <rFont val="Times New Roman"/>
        <family val="1"/>
      </rPr>
      <t>INW CLG 726500</t>
    </r>
  </si>
  <si>
    <r>
      <rPr>
        <sz val="8"/>
        <rFont val="Times New Roman"/>
        <family val="1"/>
      </rPr>
      <t>INW CLG 680384</t>
    </r>
  </si>
  <si>
    <r>
      <rPr>
        <sz val="8"/>
        <rFont val="Times New Roman"/>
        <family val="1"/>
      </rPr>
      <t>INW CLG 726476</t>
    </r>
  </si>
  <si>
    <r>
      <rPr>
        <sz val="8"/>
        <rFont val="Times New Roman"/>
        <family val="1"/>
      </rPr>
      <t>INW CLG 726407</t>
    </r>
  </si>
  <si>
    <r>
      <rPr>
        <sz val="8"/>
        <rFont val="Arial"/>
        <family val="2"/>
      </rPr>
      <t>48 / 71</t>
    </r>
  </si>
  <si>
    <r>
      <rPr>
        <sz val="8"/>
        <rFont val="Times New Roman"/>
        <family val="1"/>
      </rPr>
      <t>FUNDS TRANSFER TO ACCT 01-001-060247-00 CMO 006</t>
    </r>
  </si>
  <si>
    <r>
      <rPr>
        <sz val="8"/>
        <rFont val="Times New Roman"/>
        <family val="1"/>
      </rPr>
      <t>INW CLG 726497</t>
    </r>
  </si>
  <si>
    <r>
      <rPr>
        <sz val="8"/>
        <rFont val="Times New Roman"/>
        <family val="1"/>
      </rPr>
      <t>INW CLG 726463</t>
    </r>
  </si>
  <si>
    <r>
      <rPr>
        <sz val="8"/>
        <rFont val="Times New Roman"/>
        <family val="1"/>
      </rPr>
      <t>INW CLG 726412</t>
    </r>
  </si>
  <si>
    <r>
      <rPr>
        <sz val="8"/>
        <rFont val="Times New Roman"/>
        <family val="1"/>
      </rPr>
      <t>INW CLG 726408</t>
    </r>
  </si>
  <si>
    <r>
      <rPr>
        <sz val="8"/>
        <rFont val="Times New Roman"/>
        <family val="1"/>
      </rPr>
      <t>0000726492 SCB,CHQ#726492 IFO MULTI</t>
    </r>
  </si>
  <si>
    <r>
      <rPr>
        <sz val="8"/>
        <rFont val="Times New Roman"/>
        <family val="1"/>
      </rPr>
      <t>SWEEP FROM GHS 0100106024700</t>
    </r>
  </si>
  <si>
    <r>
      <rPr>
        <sz val="8"/>
        <rFont val="Times New Roman"/>
        <family val="1"/>
      </rPr>
      <t>0000231920 CASH WITHDRAWAL-MILLICEN</t>
    </r>
  </si>
  <si>
    <r>
      <rPr>
        <sz val="8"/>
        <rFont val="Times New Roman"/>
        <family val="1"/>
      </rPr>
      <t>INW CLG 726426</t>
    </r>
  </si>
  <si>
    <r>
      <rPr>
        <sz val="8"/>
        <rFont val="Times New Roman"/>
        <family val="1"/>
      </rPr>
      <t>INW CLG 726459</t>
    </r>
  </si>
  <si>
    <r>
      <rPr>
        <sz val="8"/>
        <rFont val="Times New Roman"/>
        <family val="1"/>
      </rPr>
      <t>INW CLG 726410</t>
    </r>
  </si>
  <si>
    <r>
      <rPr>
        <sz val="8"/>
        <rFont val="Arial"/>
        <family val="2"/>
      </rPr>
      <t>49 / 71</t>
    </r>
  </si>
  <si>
    <r>
      <rPr>
        <sz val="8"/>
        <rFont val="Times New Roman"/>
        <family val="1"/>
      </rPr>
      <t>INW CLG 726424</t>
    </r>
  </si>
  <si>
    <r>
      <rPr>
        <sz val="8"/>
        <rFont val="Times New Roman"/>
        <family val="1"/>
      </rPr>
      <t>INW CLG 726483</t>
    </r>
  </si>
  <si>
    <r>
      <rPr>
        <sz val="8"/>
        <rFont val="Times New Roman"/>
        <family val="1"/>
      </rPr>
      <t>INW CLG 726423</t>
    </r>
  </si>
  <si>
    <r>
      <rPr>
        <sz val="8"/>
        <rFont val="Times New Roman"/>
        <family val="1"/>
      </rPr>
      <t>INW CLG 726485</t>
    </r>
  </si>
  <si>
    <r>
      <rPr>
        <sz val="8"/>
        <rFont val="Times New Roman"/>
        <family val="1"/>
      </rPr>
      <t>INW CLG 726425</t>
    </r>
  </si>
  <si>
    <r>
      <rPr>
        <sz val="8"/>
        <rFont val="Times New Roman"/>
        <family val="1"/>
      </rPr>
      <t>INW CLG 726475</t>
    </r>
  </si>
  <si>
    <r>
      <rPr>
        <sz val="8"/>
        <rFont val="Times New Roman"/>
        <family val="1"/>
      </rPr>
      <t>INW CLG 726443</t>
    </r>
  </si>
  <si>
    <r>
      <rPr>
        <sz val="8"/>
        <rFont val="Times New Roman"/>
        <family val="1"/>
      </rPr>
      <t>INW CLG 726429</t>
    </r>
  </si>
  <si>
    <r>
      <rPr>
        <sz val="8"/>
        <rFont val="Times New Roman"/>
        <family val="1"/>
      </rPr>
      <t>INW CLG 726490</t>
    </r>
  </si>
  <si>
    <r>
      <rPr>
        <sz val="8"/>
        <rFont val="Times New Roman"/>
        <family val="1"/>
      </rPr>
      <t>INW CLG 726432</t>
    </r>
  </si>
  <si>
    <r>
      <rPr>
        <sz val="8"/>
        <rFont val="Times New Roman"/>
        <family val="1"/>
      </rPr>
      <t>INW CLG 726441</t>
    </r>
  </si>
  <si>
    <r>
      <rPr>
        <sz val="8"/>
        <rFont val="Times New Roman"/>
        <family val="1"/>
      </rPr>
      <t>INW CLG 726437</t>
    </r>
  </si>
  <si>
    <r>
      <rPr>
        <sz val="8"/>
        <rFont val="Arial"/>
        <family val="2"/>
      </rPr>
      <t>50 / 71</t>
    </r>
  </si>
  <si>
    <r>
      <rPr>
        <sz val="8"/>
        <rFont val="Times New Roman"/>
        <family val="1"/>
      </rPr>
      <t>0000726494 CASH WITHDRAWAL-JOSEPH F</t>
    </r>
  </si>
  <si>
    <r>
      <rPr>
        <sz val="8"/>
        <rFont val="Times New Roman"/>
        <family val="1"/>
      </rPr>
      <t>0000231918 CASH WITHDRAWAL-JOSEPH F</t>
    </r>
  </si>
  <si>
    <r>
      <rPr>
        <sz val="8"/>
        <rFont val="Times New Roman"/>
        <family val="1"/>
      </rPr>
      <t>INW CLG 726406</t>
    </r>
  </si>
  <si>
    <r>
      <rPr>
        <sz val="8"/>
        <rFont val="Times New Roman"/>
        <family val="1"/>
      </rPr>
      <t>INW CLG 726471</t>
    </r>
  </si>
  <si>
    <r>
      <rPr>
        <sz val="8"/>
        <rFont val="Times New Roman"/>
        <family val="1"/>
      </rPr>
      <t>INW CLG 726452</t>
    </r>
  </si>
  <si>
    <r>
      <rPr>
        <sz val="8"/>
        <rFont val="Times New Roman"/>
        <family val="1"/>
      </rPr>
      <t>INW CLG 726453</t>
    </r>
  </si>
  <si>
    <r>
      <rPr>
        <sz val="8"/>
        <rFont val="Times New Roman"/>
        <family val="1"/>
      </rPr>
      <t>INW CLG 726462</t>
    </r>
  </si>
  <si>
    <r>
      <rPr>
        <sz val="8"/>
        <rFont val="Times New Roman"/>
        <family val="1"/>
      </rPr>
      <t>INW CLG 726456</t>
    </r>
  </si>
  <si>
    <r>
      <rPr>
        <sz val="8"/>
        <rFont val="Times New Roman"/>
        <family val="1"/>
      </rPr>
      <t>INW CLG 726484</t>
    </r>
  </si>
  <si>
    <r>
      <rPr>
        <sz val="8"/>
        <rFont val="Times New Roman"/>
        <family val="1"/>
      </rPr>
      <t>INW CLG 231929</t>
    </r>
  </si>
  <si>
    <r>
      <rPr>
        <sz val="8"/>
        <rFont val="Times New Roman"/>
        <family val="1"/>
      </rPr>
      <t>INW CLG 726403</t>
    </r>
  </si>
  <si>
    <r>
      <rPr>
        <sz val="8"/>
        <rFont val="Times New Roman"/>
        <family val="1"/>
      </rPr>
      <t>INW CLG 726470</t>
    </r>
  </si>
  <si>
    <r>
      <rPr>
        <sz val="8"/>
        <rFont val="Arial"/>
        <family val="2"/>
      </rPr>
      <t>51 / 71</t>
    </r>
  </si>
  <si>
    <r>
      <rPr>
        <sz val="8"/>
        <rFont val="Times New Roman"/>
        <family val="1"/>
      </rPr>
      <t>CHQ# 726486 WRONG AMOUNT ENTERED CLG 08</t>
    </r>
  </si>
  <si>
    <r>
      <rPr>
        <sz val="8"/>
        <rFont val="Times New Roman"/>
        <family val="1"/>
      </rPr>
      <t>INW CLG 726419</t>
    </r>
  </si>
  <si>
    <r>
      <rPr>
        <sz val="8"/>
        <rFont val="Times New Roman"/>
        <family val="1"/>
      </rPr>
      <t>INW CLG 231921</t>
    </r>
  </si>
  <si>
    <r>
      <rPr>
        <sz val="8"/>
        <rFont val="Times New Roman"/>
        <family val="1"/>
      </rPr>
      <t>INW CLG 726411</t>
    </r>
  </si>
  <si>
    <r>
      <rPr>
        <sz val="8"/>
        <rFont val="Times New Roman"/>
        <family val="1"/>
      </rPr>
      <t>INW CLG 231905</t>
    </r>
  </si>
  <si>
    <r>
      <rPr>
        <sz val="8"/>
        <rFont val="Times New Roman"/>
        <family val="1"/>
      </rPr>
      <t>INW CLG 231927</t>
    </r>
  </si>
  <si>
    <r>
      <rPr>
        <sz val="8"/>
        <rFont val="Times New Roman"/>
        <family val="1"/>
      </rPr>
      <t>INW CLG 231923</t>
    </r>
  </si>
  <si>
    <r>
      <rPr>
        <sz val="8"/>
        <rFont val="Times New Roman"/>
        <family val="1"/>
      </rPr>
      <t>INW CLG 726458</t>
    </r>
  </si>
  <si>
    <r>
      <rPr>
        <sz val="8"/>
        <rFont val="Times New Roman"/>
        <family val="1"/>
      </rPr>
      <t>INW CLG 726486</t>
    </r>
  </si>
  <si>
    <r>
      <rPr>
        <sz val="8"/>
        <rFont val="Times New Roman"/>
        <family val="1"/>
      </rPr>
      <t>0000231928 H/ST CHQ NO 231928 IFO D RESOURCES</t>
    </r>
  </si>
  <si>
    <r>
      <rPr>
        <sz val="8"/>
        <rFont val="Arial"/>
        <family val="2"/>
      </rPr>
      <t>52 / 71</t>
    </r>
  </si>
  <si>
    <r>
      <rPr>
        <sz val="8"/>
        <rFont val="Times New Roman"/>
        <family val="1"/>
      </rPr>
      <t>INW CLG 726481</t>
    </r>
  </si>
  <si>
    <r>
      <rPr>
        <sz val="8"/>
        <rFont val="Times New Roman"/>
        <family val="1"/>
      </rPr>
      <t>INW CLG 726416</t>
    </r>
  </si>
  <si>
    <r>
      <rPr>
        <sz val="8"/>
        <rFont val="Times New Roman"/>
        <family val="1"/>
      </rPr>
      <t>INW CLG 726477</t>
    </r>
  </si>
  <si>
    <r>
      <rPr>
        <sz val="8"/>
        <rFont val="Times New Roman"/>
        <family val="1"/>
      </rPr>
      <t>INW CLG 231917</t>
    </r>
  </si>
  <si>
    <r>
      <rPr>
        <sz val="8"/>
        <rFont val="Times New Roman"/>
        <family val="1"/>
      </rPr>
      <t>INW CLG 231902</t>
    </r>
  </si>
  <si>
    <r>
      <rPr>
        <sz val="8"/>
        <rFont val="Times New Roman"/>
        <family val="1"/>
      </rPr>
      <t>INW CLG 231924</t>
    </r>
  </si>
  <si>
    <r>
      <rPr>
        <sz val="8"/>
        <rFont val="Times New Roman"/>
        <family val="1"/>
      </rPr>
      <t>0000726488 CASH WITHDRAWN BY JOSEPH</t>
    </r>
  </si>
  <si>
    <r>
      <rPr>
        <sz val="8"/>
        <rFont val="Times New Roman"/>
        <family val="1"/>
      </rPr>
      <t>0000231994 FUND TRANSFER TO PETRA 9970500015699</t>
    </r>
  </si>
  <si>
    <r>
      <rPr>
        <sz val="8"/>
        <rFont val="Times New Roman"/>
        <family val="1"/>
      </rPr>
      <t>INW CLG 726422</t>
    </r>
  </si>
  <si>
    <r>
      <rPr>
        <sz val="8"/>
        <rFont val="Times New Roman"/>
        <family val="1"/>
      </rPr>
      <t>INW CLG 231914</t>
    </r>
  </si>
  <si>
    <r>
      <rPr>
        <sz val="8"/>
        <rFont val="Times New Roman"/>
        <family val="1"/>
      </rPr>
      <t>INW CLG 231915</t>
    </r>
  </si>
  <si>
    <r>
      <rPr>
        <sz val="8"/>
        <rFont val="Arial"/>
        <family val="2"/>
      </rPr>
      <t>53 / 71</t>
    </r>
  </si>
  <si>
    <r>
      <rPr>
        <sz val="8"/>
        <rFont val="Times New Roman"/>
        <family val="1"/>
      </rPr>
      <t>BILL NO: 19878471 15/11/2019 GR:114</t>
    </r>
  </si>
  <si>
    <r>
      <rPr>
        <sz val="8"/>
        <rFont val="Times New Roman"/>
        <family val="1"/>
      </rPr>
      <t>INW CLG 231935</t>
    </r>
  </si>
  <si>
    <r>
      <rPr>
        <sz val="8"/>
        <rFont val="Times New Roman"/>
        <family val="1"/>
      </rPr>
      <t>INW CLG 726478</t>
    </r>
  </si>
  <si>
    <r>
      <rPr>
        <sz val="8"/>
        <rFont val="Times New Roman"/>
        <family val="1"/>
      </rPr>
      <t>INW CLG 231932</t>
    </r>
  </si>
  <si>
    <r>
      <rPr>
        <sz val="8"/>
        <rFont val="Times New Roman"/>
        <family val="1"/>
      </rPr>
      <t>INW CLG 231950</t>
    </r>
  </si>
  <si>
    <r>
      <rPr>
        <sz val="8"/>
        <rFont val="Times New Roman"/>
        <family val="1"/>
      </rPr>
      <t>INW CLG 231953</t>
    </r>
  </si>
  <si>
    <r>
      <rPr>
        <sz val="8"/>
        <rFont val="Times New Roman"/>
        <family val="1"/>
      </rPr>
      <t>INW CLG 231926</t>
    </r>
  </si>
  <si>
    <r>
      <rPr>
        <sz val="8"/>
        <rFont val="Times New Roman"/>
        <family val="1"/>
      </rPr>
      <t>INW CLG 231943</t>
    </r>
  </si>
  <si>
    <r>
      <rPr>
        <sz val="8"/>
        <rFont val="Times New Roman"/>
        <family val="1"/>
      </rPr>
      <t>INW CLG 231913</t>
    </r>
  </si>
  <si>
    <r>
      <rPr>
        <sz val="8"/>
        <rFont val="Times New Roman"/>
        <family val="1"/>
      </rPr>
      <t>INW CLG 231909</t>
    </r>
  </si>
  <si>
    <r>
      <rPr>
        <sz val="8"/>
        <rFont val="Times New Roman"/>
        <family val="1"/>
      </rPr>
      <t>INW CLG 231910</t>
    </r>
  </si>
  <si>
    <r>
      <rPr>
        <sz val="8"/>
        <rFont val="Arial"/>
        <family val="2"/>
      </rPr>
      <t>54 / 71</t>
    </r>
  </si>
  <si>
    <r>
      <rPr>
        <sz val="8"/>
        <rFont val="Times New Roman"/>
        <family val="1"/>
      </rPr>
      <t>CHQ # 726498 SECOND SIGNATURE REQU RED</t>
    </r>
  </si>
  <si>
    <r>
      <rPr>
        <sz val="8"/>
        <rFont val="Times New Roman"/>
        <family val="1"/>
      </rPr>
      <t>INW CLG 726498</t>
    </r>
  </si>
  <si>
    <r>
      <rPr>
        <sz val="8"/>
        <rFont val="Times New Roman"/>
        <family val="1"/>
      </rPr>
      <t>INW CLG 726473</t>
    </r>
  </si>
  <si>
    <r>
      <rPr>
        <sz val="8"/>
        <rFont val="Times New Roman"/>
        <family val="1"/>
      </rPr>
      <t>INW CLG 726446</t>
    </r>
  </si>
  <si>
    <r>
      <rPr>
        <sz val="8"/>
        <rFont val="Times New Roman"/>
        <family val="1"/>
      </rPr>
      <t>INW CLG 231916</t>
    </r>
  </si>
  <si>
    <r>
      <rPr>
        <sz val="8"/>
        <rFont val="Times New Roman"/>
        <family val="1"/>
      </rPr>
      <t>INW CLG 231911</t>
    </r>
  </si>
  <si>
    <r>
      <rPr>
        <sz val="8"/>
        <rFont val="Times New Roman"/>
        <family val="1"/>
      </rPr>
      <t>INW CLG 231907</t>
    </r>
  </si>
  <si>
    <r>
      <rPr>
        <sz val="8"/>
        <rFont val="Times New Roman"/>
        <family val="1"/>
      </rPr>
      <t>INW CLG 231919</t>
    </r>
  </si>
  <si>
    <r>
      <rPr>
        <sz val="8"/>
        <rFont val="Times New Roman"/>
        <family val="1"/>
      </rPr>
      <t>INW CLG 231992</t>
    </r>
  </si>
  <si>
    <r>
      <rPr>
        <sz val="8"/>
        <rFont val="Times New Roman"/>
        <family val="1"/>
      </rPr>
      <t>CHQ # 726498 SECOND SIGNATURE REQU RED CLG 10</t>
    </r>
  </si>
  <si>
    <r>
      <rPr>
        <sz val="8"/>
        <rFont val="Arial"/>
        <family val="2"/>
      </rPr>
      <t>55 / 71</t>
    </r>
  </si>
  <si>
    <r>
      <rPr>
        <sz val="8"/>
        <rFont val="Times New Roman"/>
        <family val="1"/>
      </rPr>
      <t>INW CLG 231931</t>
    </r>
  </si>
  <si>
    <r>
      <rPr>
        <sz val="8"/>
        <rFont val="Times New Roman"/>
        <family val="1"/>
      </rPr>
      <t>INW CLG 231949</t>
    </r>
  </si>
  <si>
    <r>
      <rPr>
        <sz val="8"/>
        <rFont val="Times New Roman"/>
        <family val="1"/>
      </rPr>
      <t>INW CLG 231947</t>
    </r>
  </si>
  <si>
    <r>
      <rPr>
        <sz val="8"/>
        <rFont val="Times New Roman"/>
        <family val="1"/>
      </rPr>
      <t>INW CLG 231904</t>
    </r>
  </si>
  <si>
    <r>
      <rPr>
        <sz val="8"/>
        <rFont val="Times New Roman"/>
        <family val="1"/>
      </rPr>
      <t>INW CLG 231954</t>
    </r>
  </si>
  <si>
    <r>
      <rPr>
        <sz val="8"/>
        <rFont val="Times New Roman"/>
        <family val="1"/>
      </rPr>
      <t>INW CLG 231939</t>
    </r>
  </si>
  <si>
    <r>
      <rPr>
        <sz val="8"/>
        <rFont val="Times New Roman"/>
        <family val="1"/>
      </rPr>
      <t>INW CLG 231951</t>
    </r>
  </si>
  <si>
    <r>
      <rPr>
        <sz val="8"/>
        <rFont val="Times New Roman"/>
        <family val="1"/>
      </rPr>
      <t>INW CLG 231988</t>
    </r>
  </si>
  <si>
    <r>
      <rPr>
        <sz val="8"/>
        <rFont val="Times New Roman"/>
        <family val="1"/>
      </rPr>
      <t>SWEEP TO GHS 0100106024700</t>
    </r>
  </si>
  <si>
    <r>
      <rPr>
        <sz val="8"/>
        <rFont val="Times New Roman"/>
        <family val="1"/>
      </rPr>
      <t>0000231933 CHQ 231933 IFO ASSA ABLO</t>
    </r>
  </si>
  <si>
    <r>
      <rPr>
        <sz val="8"/>
        <rFont val="Arial"/>
        <family val="2"/>
      </rPr>
      <t>56 / 71</t>
    </r>
  </si>
  <si>
    <r>
      <rPr>
        <sz val="8"/>
        <rFont val="Times New Roman"/>
        <family val="1"/>
      </rPr>
      <t>INW CLG 726472</t>
    </r>
  </si>
  <si>
    <r>
      <rPr>
        <sz val="8"/>
        <rFont val="Times New Roman"/>
        <family val="1"/>
      </rPr>
      <t>INW CLG 231940</t>
    </r>
  </si>
  <si>
    <r>
      <rPr>
        <sz val="8"/>
        <rFont val="Times New Roman"/>
        <family val="1"/>
      </rPr>
      <t>INW CLG 231966</t>
    </r>
  </si>
  <si>
    <r>
      <rPr>
        <sz val="8"/>
        <rFont val="Times New Roman"/>
        <family val="1"/>
      </rPr>
      <t>INW CLG 726461</t>
    </r>
  </si>
  <si>
    <r>
      <rPr>
        <sz val="8"/>
        <rFont val="Times New Roman"/>
        <family val="1"/>
      </rPr>
      <t>INW CLG 231941</t>
    </r>
  </si>
  <si>
    <r>
      <rPr>
        <sz val="8"/>
        <rFont val="Times New Roman"/>
        <family val="1"/>
      </rPr>
      <t>0000726493 SCB,CHQ#726493 IFO MULTI</t>
    </r>
  </si>
  <si>
    <r>
      <rPr>
        <sz val="8"/>
        <rFont val="Times New Roman"/>
        <family val="1"/>
      </rPr>
      <t>0000231963 SCB,CHQ#231963 IFO TRANS</t>
    </r>
  </si>
  <si>
    <r>
      <rPr>
        <sz val="8"/>
        <rFont val="Arial"/>
        <family val="2"/>
      </rPr>
      <t>57 / 71</t>
    </r>
  </si>
  <si>
    <r>
      <rPr>
        <sz val="8"/>
        <rFont val="Times New Roman"/>
        <family val="1"/>
      </rPr>
      <t>0000906122 CASH WITHDRAWAL-OLIVIA G</t>
    </r>
  </si>
  <si>
    <r>
      <rPr>
        <sz val="8"/>
        <rFont val="Times New Roman"/>
        <family val="1"/>
      </rPr>
      <t>0000906107 CASH WITHDRAWAL-OLIVIA G</t>
    </r>
  </si>
  <si>
    <r>
      <rPr>
        <sz val="8"/>
        <rFont val="Times New Roman"/>
        <family val="1"/>
      </rPr>
      <t>0000726496 CASH WITHDRAWAL-OLIVIA G</t>
    </r>
  </si>
  <si>
    <r>
      <rPr>
        <sz val="8"/>
        <rFont val="Times New Roman"/>
        <family val="1"/>
      </rPr>
      <t>0000906121 CASH WITHDRAWAL-OLIVIA G</t>
    </r>
  </si>
  <si>
    <r>
      <rPr>
        <sz val="8"/>
        <rFont val="Times New Roman"/>
        <family val="1"/>
      </rPr>
      <t>0000906119 CASH WITHDRAWAL-OLIVIA G</t>
    </r>
  </si>
  <si>
    <r>
      <rPr>
        <sz val="8"/>
        <rFont val="Times New Roman"/>
        <family val="1"/>
      </rPr>
      <t>0000906106 CASH WITHDRAWAL-OLIVIA G</t>
    </r>
  </si>
  <si>
    <r>
      <rPr>
        <sz val="8"/>
        <rFont val="Times New Roman"/>
        <family val="1"/>
      </rPr>
      <t>INW CLG 231962</t>
    </r>
  </si>
  <si>
    <r>
      <rPr>
        <sz val="8"/>
        <rFont val="Times New Roman"/>
        <family val="1"/>
      </rPr>
      <t>INW CLG 231946</t>
    </r>
  </si>
  <si>
    <r>
      <rPr>
        <sz val="8"/>
        <rFont val="Times New Roman"/>
        <family val="1"/>
      </rPr>
      <t>INW CLG 231955</t>
    </r>
  </si>
  <si>
    <r>
      <rPr>
        <sz val="8"/>
        <rFont val="Times New Roman"/>
        <family val="1"/>
      </rPr>
      <t>INW CLG 906104</t>
    </r>
  </si>
  <si>
    <r>
      <rPr>
        <sz val="8"/>
        <rFont val="Times New Roman"/>
        <family val="1"/>
      </rPr>
      <t>INW CLG 906102</t>
    </r>
  </si>
  <si>
    <r>
      <rPr>
        <sz val="8"/>
        <rFont val="Arial"/>
        <family val="2"/>
      </rPr>
      <t>58 / 71</t>
    </r>
  </si>
  <si>
    <r>
      <rPr>
        <sz val="8"/>
        <rFont val="Times New Roman"/>
        <family val="1"/>
      </rPr>
      <t>INW CLG 231948</t>
    </r>
  </si>
  <si>
    <r>
      <rPr>
        <sz val="8"/>
        <rFont val="Times New Roman"/>
        <family val="1"/>
      </rPr>
      <t>INW CLG 906103</t>
    </r>
  </si>
  <si>
    <r>
      <rPr>
        <sz val="8"/>
        <rFont val="Times New Roman"/>
        <family val="1"/>
      </rPr>
      <t>INW CLG 231938</t>
    </r>
  </si>
  <si>
    <r>
      <rPr>
        <sz val="8"/>
        <rFont val="Times New Roman"/>
        <family val="1"/>
      </rPr>
      <t>INW CLG 906118</t>
    </r>
  </si>
  <si>
    <r>
      <rPr>
        <sz val="8"/>
        <rFont val="Times New Roman"/>
        <family val="1"/>
      </rPr>
      <t>INW CLG 231985</t>
    </r>
  </si>
  <si>
    <r>
      <rPr>
        <sz val="8"/>
        <rFont val="Times New Roman"/>
        <family val="1"/>
      </rPr>
      <t>INW CLG 726460</t>
    </r>
  </si>
  <si>
    <r>
      <rPr>
        <sz val="8"/>
        <rFont val="Times New Roman"/>
        <family val="1"/>
      </rPr>
      <t>INW CLG 231979</t>
    </r>
  </si>
  <si>
    <r>
      <rPr>
        <sz val="8"/>
        <rFont val="Times New Roman"/>
        <family val="1"/>
      </rPr>
      <t>INW CLG 906113</t>
    </r>
  </si>
  <si>
    <r>
      <rPr>
        <sz val="8"/>
        <rFont val="Times New Roman"/>
        <family val="1"/>
      </rPr>
      <t>INW CLG 906120</t>
    </r>
  </si>
  <si>
    <r>
      <rPr>
        <sz val="8"/>
        <rFont val="Times New Roman"/>
        <family val="1"/>
      </rPr>
      <t>INW CLG 906101</t>
    </r>
  </si>
  <si>
    <r>
      <rPr>
        <sz val="8"/>
        <rFont val="Times New Roman"/>
        <family val="1"/>
      </rPr>
      <t>INW CLG 231971</t>
    </r>
  </si>
  <si>
    <r>
      <rPr>
        <sz val="8"/>
        <rFont val="Arial"/>
        <family val="2"/>
      </rPr>
      <t>59 / 71</t>
    </r>
  </si>
  <si>
    <r>
      <rPr>
        <sz val="8"/>
        <rFont val="Times New Roman"/>
        <family val="1"/>
      </rPr>
      <t xml:space="preserve">29-11-2019
</t>
    </r>
    <r>
      <rPr>
        <sz val="8"/>
        <rFont val="Times New Roman"/>
        <family val="1"/>
      </rPr>
      <t xml:space="preserve">29-11-2019
</t>
    </r>
    <r>
      <rPr>
        <sz val="8"/>
        <rFont val="Times New Roman"/>
        <family val="1"/>
      </rPr>
      <t>29-11-2019</t>
    </r>
  </si>
  <si>
    <r>
      <rPr>
        <sz val="8"/>
        <rFont val="Times New Roman"/>
        <family val="1"/>
      </rPr>
      <t xml:space="preserve">29-11-2019
</t>
    </r>
    <r>
      <rPr>
        <sz val="8"/>
        <rFont val="Times New Roman"/>
        <family val="1"/>
      </rPr>
      <t>29-11-2019</t>
    </r>
  </si>
  <si>
    <r>
      <rPr>
        <sz val="8"/>
        <rFont val="Times New Roman"/>
        <family val="1"/>
      </rPr>
      <t xml:space="preserve">BALANCE BROUGHT FORWARD SWEEP TO GHS 0100106024700
</t>
    </r>
    <r>
      <rPr>
        <sz val="8"/>
        <rFont val="Times New Roman"/>
        <family val="1"/>
      </rPr>
      <t xml:space="preserve">SWEEP TO GHS 0100106024700
</t>
    </r>
    <r>
      <rPr>
        <sz val="8"/>
        <rFont val="Times New Roman"/>
        <family val="1"/>
      </rPr>
      <t>END OF STATEMENT</t>
    </r>
  </si>
  <si>
    <r>
      <rPr>
        <sz val="8"/>
        <rFont val="Times New Roman"/>
        <family val="1"/>
      </rPr>
      <t xml:space="preserve">131.71
</t>
    </r>
    <r>
      <rPr>
        <sz val="8"/>
        <rFont val="Times New Roman"/>
        <family val="1"/>
      </rPr>
      <t>16,000.00</t>
    </r>
  </si>
  <si>
    <r>
      <rPr>
        <sz val="8"/>
        <rFont val="Times New Roman"/>
        <family val="1"/>
      </rPr>
      <t xml:space="preserve">-
</t>
    </r>
    <r>
      <rPr>
        <sz val="8"/>
        <rFont val="Times New Roman"/>
        <family val="1"/>
      </rPr>
      <t>-</t>
    </r>
  </si>
  <si>
    <r>
      <rPr>
        <sz val="8"/>
        <rFont val="Times New Roman"/>
        <family val="1"/>
      </rPr>
      <t xml:space="preserve">1,120,489.43
</t>
    </r>
    <r>
      <rPr>
        <sz val="8"/>
        <rFont val="Times New Roman"/>
        <family val="1"/>
      </rPr>
      <t xml:space="preserve">1,120,357.72
</t>
    </r>
    <r>
      <rPr>
        <sz val="8"/>
        <rFont val="Times New Roman"/>
        <family val="1"/>
      </rPr>
      <t>1,104,357.72</t>
    </r>
  </si>
  <si>
    <r>
      <rPr>
        <sz val="8"/>
        <rFont val="Arial"/>
        <family val="2"/>
      </rPr>
      <t>60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</si>
  <si>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1,104,357.72                           540,206.03
</t>
    </r>
    <r>
      <rPr>
        <b/>
        <vertAlign val="superscript"/>
        <sz val="9.5"/>
        <rFont val="Times New Roman"/>
        <family val="1"/>
      </rPr>
      <t xml:space="preserve">C/O AFRICANUS NET LTD                                                            </t>
    </r>
    <r>
      <rPr>
        <sz val="8"/>
        <rFont val="Times New Roman"/>
        <family val="1"/>
      </rPr>
      <t xml:space="preserve">CLOSING BALANCE                             540,206.03                           540,206.03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</si>
  <si>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CHQ # 726486 INWARD CLEARING CLG 05</t>
    </r>
  </si>
  <si>
    <r>
      <rPr>
        <sz val="8"/>
        <rFont val="Times New Roman"/>
        <family val="1"/>
      </rPr>
      <t>INW CLG 231972</t>
    </r>
  </si>
  <si>
    <r>
      <rPr>
        <sz val="8"/>
        <rFont val="Times New Roman"/>
        <family val="1"/>
      </rPr>
      <t>INW CLG 906112</t>
    </r>
  </si>
  <si>
    <r>
      <rPr>
        <sz val="8"/>
        <rFont val="Times New Roman"/>
        <family val="1"/>
      </rPr>
      <t>INW CLG 231956</t>
    </r>
  </si>
  <si>
    <r>
      <rPr>
        <sz val="8"/>
        <rFont val="Times New Roman"/>
        <family val="1"/>
      </rPr>
      <t>INW CLG 906115</t>
    </r>
  </si>
  <si>
    <r>
      <rPr>
        <sz val="8"/>
        <rFont val="Times New Roman"/>
        <family val="1"/>
      </rPr>
      <t>INW CLG 906114</t>
    </r>
  </si>
  <si>
    <r>
      <rPr>
        <sz val="8"/>
        <rFont val="Times New Roman"/>
        <family val="1"/>
      </rPr>
      <t>0000906129 CASH WITHDRAWN BY OLIVIA</t>
    </r>
  </si>
  <si>
    <r>
      <rPr>
        <sz val="8"/>
        <rFont val="Times New Roman"/>
        <family val="1"/>
      </rPr>
      <t>0000906128 CASH WITHDRAWN BY OLIVIA</t>
    </r>
  </si>
  <si>
    <r>
      <rPr>
        <sz val="8"/>
        <rFont val="Times New Roman"/>
        <family val="1"/>
      </rPr>
      <t>0000906130 CASH WITHDRAWN BY OLIVIA</t>
    </r>
  </si>
  <si>
    <r>
      <rPr>
        <sz val="8"/>
        <rFont val="Times New Roman"/>
        <family val="1"/>
      </rPr>
      <t>INW CLG 231987</t>
    </r>
  </si>
  <si>
    <r>
      <rPr>
        <sz val="8"/>
        <rFont val="Arial"/>
        <family val="2"/>
      </rPr>
      <t>61 / 71</t>
    </r>
  </si>
  <si>
    <r>
      <rPr>
        <sz val="8"/>
        <rFont val="Times New Roman"/>
        <family val="1"/>
      </rPr>
      <t>INW CLG 726474</t>
    </r>
  </si>
  <si>
    <r>
      <rPr>
        <sz val="8"/>
        <rFont val="Times New Roman"/>
        <family val="1"/>
      </rPr>
      <t>INW CLG 726480</t>
    </r>
  </si>
  <si>
    <r>
      <rPr>
        <sz val="8"/>
        <rFont val="Times New Roman"/>
        <family val="1"/>
      </rPr>
      <t>INW CLG 231984</t>
    </r>
  </si>
  <si>
    <r>
      <rPr>
        <sz val="8"/>
        <rFont val="Times New Roman"/>
        <family val="1"/>
      </rPr>
      <t>INW CLG 231974</t>
    </r>
  </si>
  <si>
    <r>
      <rPr>
        <sz val="8"/>
        <rFont val="Times New Roman"/>
        <family val="1"/>
      </rPr>
      <t>INW CLG 906126</t>
    </r>
  </si>
  <si>
    <r>
      <rPr>
        <sz val="8"/>
        <rFont val="Times New Roman"/>
        <family val="1"/>
      </rPr>
      <t>INW CLG 231908</t>
    </r>
  </si>
  <si>
    <r>
      <rPr>
        <sz val="8"/>
        <rFont val="Times New Roman"/>
        <family val="1"/>
      </rPr>
      <t>INW CLG 906105</t>
    </r>
  </si>
  <si>
    <r>
      <rPr>
        <sz val="8"/>
        <rFont val="Times New Roman"/>
        <family val="1"/>
      </rPr>
      <t>INW CLG 231961</t>
    </r>
  </si>
  <si>
    <r>
      <rPr>
        <sz val="8"/>
        <rFont val="Times New Roman"/>
        <family val="1"/>
      </rPr>
      <t>INW CLG 231993</t>
    </r>
  </si>
  <si>
    <r>
      <rPr>
        <sz val="8"/>
        <rFont val="Times New Roman"/>
        <family val="1"/>
      </rPr>
      <t>INW CLG 231960</t>
    </r>
  </si>
  <si>
    <r>
      <rPr>
        <sz val="8"/>
        <rFont val="Times New Roman"/>
        <family val="1"/>
      </rPr>
      <t>INW CLG 231989</t>
    </r>
  </si>
  <si>
    <r>
      <rPr>
        <sz val="8"/>
        <rFont val="Arial"/>
        <family val="2"/>
      </rPr>
      <t>62 / 71</t>
    </r>
  </si>
  <si>
    <r>
      <rPr>
        <sz val="8"/>
        <rFont val="Times New Roman"/>
        <family val="1"/>
      </rPr>
      <t>0000232000 SCB #232000 IFO MULTICHO</t>
    </r>
  </si>
  <si>
    <r>
      <rPr>
        <sz val="8"/>
        <rFont val="Times New Roman"/>
        <family val="1"/>
      </rPr>
      <t>0000231999 SCB #231999 IFO MULTICHO</t>
    </r>
  </si>
  <si>
    <r>
      <rPr>
        <sz val="8"/>
        <rFont val="Times New Roman"/>
        <family val="1"/>
      </rPr>
      <t>0000906131 CASH WITHDRAWN BY JOSEPH</t>
    </r>
  </si>
  <si>
    <r>
      <rPr>
        <sz val="8"/>
        <rFont val="Times New Roman"/>
        <family val="1"/>
      </rPr>
      <t>INW CLG 726455</t>
    </r>
  </si>
  <si>
    <r>
      <rPr>
        <sz val="8"/>
        <rFont val="Times New Roman"/>
        <family val="1"/>
      </rPr>
      <t>INW CLG 231976</t>
    </r>
  </si>
  <si>
    <r>
      <rPr>
        <sz val="8"/>
        <rFont val="Times New Roman"/>
        <family val="1"/>
      </rPr>
      <t>INW CLG 231982</t>
    </r>
  </si>
  <si>
    <r>
      <rPr>
        <sz val="8"/>
        <rFont val="Times New Roman"/>
        <family val="1"/>
      </rPr>
      <t>INW CLG 231973</t>
    </r>
  </si>
  <si>
    <r>
      <rPr>
        <sz val="8"/>
        <rFont val="Times New Roman"/>
        <family val="1"/>
      </rPr>
      <t>INW CLG 906125</t>
    </r>
  </si>
  <si>
    <r>
      <rPr>
        <sz val="8"/>
        <rFont val="Times New Roman"/>
        <family val="1"/>
      </rPr>
      <t>INW CLG 231930</t>
    </r>
  </si>
  <si>
    <r>
      <rPr>
        <sz val="8"/>
        <rFont val="Times New Roman"/>
        <family val="1"/>
      </rPr>
      <t>INW CLG 231991</t>
    </r>
  </si>
  <si>
    <r>
      <rPr>
        <sz val="8"/>
        <rFont val="Arial"/>
        <family val="2"/>
      </rPr>
      <t>63 / 71</t>
    </r>
  </si>
  <si>
    <r>
      <rPr>
        <sz val="8"/>
        <rFont val="Times New Roman"/>
        <family val="1"/>
      </rPr>
      <t>INW CLG 231990</t>
    </r>
  </si>
  <si>
    <r>
      <rPr>
        <sz val="8"/>
        <rFont val="Times New Roman"/>
        <family val="1"/>
      </rPr>
      <t>INW CLG 231968</t>
    </r>
  </si>
  <si>
    <r>
      <rPr>
        <sz val="8"/>
        <rFont val="Times New Roman"/>
        <family val="1"/>
      </rPr>
      <t>INW CLG 726445</t>
    </r>
  </si>
  <si>
    <r>
      <rPr>
        <sz val="8"/>
        <rFont val="Times New Roman"/>
        <family val="1"/>
      </rPr>
      <t>INW CLG 231978</t>
    </r>
  </si>
  <si>
    <r>
      <rPr>
        <sz val="8"/>
        <rFont val="Times New Roman"/>
        <family val="1"/>
      </rPr>
      <t>INW CLG 231965</t>
    </r>
  </si>
  <si>
    <r>
      <rPr>
        <sz val="8"/>
        <rFont val="Times New Roman"/>
        <family val="1"/>
      </rPr>
      <t>INW CLG 906117</t>
    </r>
  </si>
  <si>
    <r>
      <rPr>
        <sz val="8"/>
        <rFont val="Times New Roman"/>
        <family val="1"/>
      </rPr>
      <t>INW CLG 231983</t>
    </r>
  </si>
  <si>
    <r>
      <rPr>
        <sz val="8"/>
        <rFont val="Times New Roman"/>
        <family val="1"/>
      </rPr>
      <t>INW CLG 231980</t>
    </r>
  </si>
  <si>
    <r>
      <rPr>
        <sz val="8"/>
        <rFont val="Arial"/>
        <family val="2"/>
      </rPr>
      <t>64 / 71</t>
    </r>
  </si>
  <si>
    <r>
      <rPr>
        <sz val="8"/>
        <rFont val="Times New Roman"/>
        <family val="1"/>
      </rPr>
      <t>0000906133 CASH WITHDRAWN BY JOSEPH</t>
    </r>
  </si>
  <si>
    <r>
      <rPr>
        <sz val="8"/>
        <rFont val="Times New Roman"/>
        <family val="1"/>
      </rPr>
      <t>INW CLG 906111</t>
    </r>
  </si>
  <si>
    <r>
      <rPr>
        <sz val="8"/>
        <rFont val="Times New Roman"/>
        <family val="1"/>
      </rPr>
      <t>INW CLG 231942</t>
    </r>
  </si>
  <si>
    <r>
      <rPr>
        <sz val="8"/>
        <rFont val="Times New Roman"/>
        <family val="1"/>
      </rPr>
      <t>INW CLG 906150</t>
    </r>
  </si>
  <si>
    <r>
      <rPr>
        <sz val="8"/>
        <rFont val="Times New Roman"/>
        <family val="1"/>
      </rPr>
      <t>INW CLG 906147</t>
    </r>
  </si>
  <si>
    <r>
      <rPr>
        <sz val="8"/>
        <rFont val="Times New Roman"/>
        <family val="1"/>
      </rPr>
      <t>INW CLG 906152</t>
    </r>
  </si>
  <si>
    <r>
      <rPr>
        <sz val="8"/>
        <rFont val="Times New Roman"/>
        <family val="1"/>
      </rPr>
      <t>INW CLG 906144</t>
    </r>
  </si>
  <si>
    <r>
      <rPr>
        <sz val="8"/>
        <rFont val="Times New Roman"/>
        <family val="1"/>
      </rPr>
      <t>INW CLG 906146</t>
    </r>
  </si>
  <si>
    <r>
      <rPr>
        <sz val="8"/>
        <rFont val="Times New Roman"/>
        <family val="1"/>
      </rPr>
      <t>INW CLG 906135</t>
    </r>
  </si>
  <si>
    <r>
      <rPr>
        <sz val="8"/>
        <rFont val="Arial"/>
        <family val="2"/>
      </rPr>
      <t>65 / 71</t>
    </r>
  </si>
  <si>
    <r>
      <rPr>
        <sz val="8"/>
        <rFont val="Times New Roman"/>
        <family val="1"/>
      </rPr>
      <t>INW CLG 906189</t>
    </r>
  </si>
  <si>
    <r>
      <rPr>
        <sz val="8"/>
        <rFont val="Times New Roman"/>
        <family val="1"/>
      </rPr>
      <t>INW CLG 906158</t>
    </r>
  </si>
  <si>
    <r>
      <rPr>
        <sz val="8"/>
        <rFont val="Times New Roman"/>
        <family val="1"/>
      </rPr>
      <t>INW CLG 231977</t>
    </r>
  </si>
  <si>
    <r>
      <rPr>
        <sz val="8"/>
        <rFont val="Times New Roman"/>
        <family val="1"/>
      </rPr>
      <t>INW CLG 231964</t>
    </r>
  </si>
  <si>
    <r>
      <rPr>
        <sz val="8"/>
        <rFont val="Times New Roman"/>
        <family val="1"/>
      </rPr>
      <t>INW CLG 231959</t>
    </r>
  </si>
  <si>
    <r>
      <rPr>
        <sz val="8"/>
        <rFont val="Times New Roman"/>
        <family val="1"/>
      </rPr>
      <t>INW CLG 906137</t>
    </r>
  </si>
  <si>
    <r>
      <rPr>
        <sz val="8"/>
        <rFont val="Times New Roman"/>
        <family val="1"/>
      </rPr>
      <t>INW CLG 231957</t>
    </r>
  </si>
  <si>
    <r>
      <rPr>
        <sz val="8"/>
        <rFont val="Times New Roman"/>
        <family val="1"/>
      </rPr>
      <t>INW CLG 906132</t>
    </r>
  </si>
  <si>
    <r>
      <rPr>
        <sz val="8"/>
        <rFont val="Times New Roman"/>
        <family val="1"/>
      </rPr>
      <t>INW CLG 906148</t>
    </r>
  </si>
  <si>
    <r>
      <rPr>
        <sz val="8"/>
        <rFont val="Times New Roman"/>
        <family val="1"/>
      </rPr>
      <t>INW CLG 906145</t>
    </r>
  </si>
  <si>
    <r>
      <rPr>
        <sz val="8"/>
        <rFont val="Times New Roman"/>
        <family val="1"/>
      </rPr>
      <t>INW CLG 231967</t>
    </r>
  </si>
  <si>
    <r>
      <rPr>
        <sz val="8"/>
        <rFont val="Arial"/>
        <family val="2"/>
      </rPr>
      <t>66 / 71</t>
    </r>
  </si>
  <si>
    <r>
      <rPr>
        <sz val="8"/>
        <rFont val="Times New Roman"/>
        <family val="1"/>
      </rPr>
      <t>INW CLG 906141</t>
    </r>
  </si>
  <si>
    <r>
      <rPr>
        <sz val="8"/>
        <rFont val="Times New Roman"/>
        <family val="1"/>
      </rPr>
      <t>INW CLG 906157</t>
    </r>
  </si>
  <si>
    <r>
      <rPr>
        <sz val="8"/>
        <rFont val="Times New Roman"/>
        <family val="1"/>
      </rPr>
      <t>INW CLG 906196</t>
    </r>
  </si>
  <si>
    <r>
      <rPr>
        <sz val="8"/>
        <rFont val="Times New Roman"/>
        <family val="1"/>
      </rPr>
      <t>INW CLG 906155</t>
    </r>
  </si>
  <si>
    <r>
      <rPr>
        <sz val="8"/>
        <rFont val="Times New Roman"/>
        <family val="1"/>
      </rPr>
      <t>INW CLG 906195</t>
    </r>
  </si>
  <si>
    <r>
      <rPr>
        <sz val="8"/>
        <rFont val="Times New Roman"/>
        <family val="1"/>
      </rPr>
      <t>INW CLG 906163</t>
    </r>
  </si>
  <si>
    <r>
      <rPr>
        <sz val="8"/>
        <rFont val="Times New Roman"/>
        <family val="1"/>
      </rPr>
      <t>INW CLG 906159</t>
    </r>
  </si>
  <si>
    <r>
      <rPr>
        <sz val="8"/>
        <rFont val="Times New Roman"/>
        <family val="1"/>
      </rPr>
      <t>INW CLG 702810</t>
    </r>
  </si>
  <si>
    <r>
      <rPr>
        <sz val="8"/>
        <rFont val="Arial"/>
        <family val="2"/>
      </rPr>
      <t>67 / 71</t>
    </r>
  </si>
  <si>
    <r>
      <rPr>
        <sz val="8"/>
        <rFont val="Times New Roman"/>
        <family val="1"/>
      </rPr>
      <t>INW CLG 906181</t>
    </r>
  </si>
  <si>
    <r>
      <rPr>
        <sz val="8"/>
        <rFont val="Times New Roman"/>
        <family val="1"/>
      </rPr>
      <t>INW CLG 906194</t>
    </r>
  </si>
  <si>
    <r>
      <rPr>
        <sz val="8"/>
        <rFont val="Times New Roman"/>
        <family val="1"/>
      </rPr>
      <t>INW CLG 906143</t>
    </r>
  </si>
  <si>
    <r>
      <rPr>
        <sz val="8"/>
        <rFont val="Times New Roman"/>
        <family val="1"/>
      </rPr>
      <t>0000702818 CASH WITHDRAWN BY STEPHE</t>
    </r>
  </si>
  <si>
    <r>
      <rPr>
        <sz val="8"/>
        <rFont val="Times New Roman"/>
        <family val="1"/>
      </rPr>
      <t>INW CLG 906123</t>
    </r>
  </si>
  <si>
    <r>
      <rPr>
        <sz val="8"/>
        <rFont val="Times New Roman"/>
        <family val="1"/>
      </rPr>
      <t>INW CLG 702811</t>
    </r>
  </si>
  <si>
    <r>
      <rPr>
        <sz val="8"/>
        <rFont val="Times New Roman"/>
        <family val="1"/>
      </rPr>
      <t>INW CLG 702806</t>
    </r>
  </si>
  <si>
    <r>
      <rPr>
        <sz val="8"/>
        <rFont val="Times New Roman"/>
        <family val="1"/>
      </rPr>
      <t>INW CLG 906190</t>
    </r>
  </si>
  <si>
    <r>
      <rPr>
        <sz val="8"/>
        <rFont val="Times New Roman"/>
        <family val="1"/>
      </rPr>
      <t>INW CLG 702827</t>
    </r>
  </si>
  <si>
    <r>
      <rPr>
        <sz val="8"/>
        <rFont val="Times New Roman"/>
        <family val="1"/>
      </rPr>
      <t>INW CLG 906162</t>
    </r>
  </si>
  <si>
    <r>
      <rPr>
        <sz val="8"/>
        <rFont val="Arial"/>
        <family val="2"/>
      </rPr>
      <t>68 / 71</t>
    </r>
  </si>
  <si>
    <r>
      <rPr>
        <sz val="8"/>
        <rFont val="Times New Roman"/>
        <family val="1"/>
      </rPr>
      <t>INW CLG 702812</t>
    </r>
  </si>
  <si>
    <r>
      <rPr>
        <sz val="8"/>
        <rFont val="Times New Roman"/>
        <family val="1"/>
      </rPr>
      <t>INW CLG 906200</t>
    </r>
  </si>
  <si>
    <r>
      <rPr>
        <sz val="8"/>
        <rFont val="Times New Roman"/>
        <family val="1"/>
      </rPr>
      <t>INW CLG 702815</t>
    </r>
  </si>
  <si>
    <r>
      <rPr>
        <sz val="8"/>
        <rFont val="Times New Roman"/>
        <family val="1"/>
      </rPr>
      <t>INW CLG 702805</t>
    </r>
  </si>
  <si>
    <r>
      <rPr>
        <sz val="8"/>
        <rFont val="Times New Roman"/>
        <family val="1"/>
      </rPr>
      <t>INW CLG 906199</t>
    </r>
  </si>
  <si>
    <r>
      <rPr>
        <sz val="8"/>
        <rFont val="Times New Roman"/>
        <family val="1"/>
      </rPr>
      <t>0000702808 CHQDEP;SCB;HIGHST;CHQNO; IFO TOTAL</t>
    </r>
  </si>
  <si>
    <r>
      <rPr>
        <sz val="8"/>
        <rFont val="Times New Roman"/>
        <family val="1"/>
      </rPr>
      <t>PETROLEUM GH</t>
    </r>
  </si>
  <si>
    <r>
      <rPr>
        <sz val="8"/>
        <rFont val="Times New Roman"/>
        <family val="1"/>
      </rPr>
      <t>CHQ# 906184 WRONG AMOUNT ENTERED CLG 03</t>
    </r>
  </si>
  <si>
    <r>
      <rPr>
        <sz val="8"/>
        <rFont val="Times New Roman"/>
        <family val="1"/>
      </rPr>
      <t>INW CLG 702802</t>
    </r>
  </si>
  <si>
    <r>
      <rPr>
        <sz val="8"/>
        <rFont val="Times New Roman"/>
        <family val="1"/>
      </rPr>
      <t>INW CLG 702813</t>
    </r>
  </si>
  <si>
    <r>
      <rPr>
        <sz val="8"/>
        <rFont val="Times New Roman"/>
        <family val="1"/>
      </rPr>
      <t>INW CLG 906169</t>
    </r>
  </si>
  <si>
    <r>
      <rPr>
        <sz val="8"/>
        <rFont val="Times New Roman"/>
        <family val="1"/>
      </rPr>
      <t>INW CLG 906116</t>
    </r>
  </si>
  <si>
    <r>
      <rPr>
        <sz val="8"/>
        <rFont val="Arial"/>
        <family val="2"/>
      </rPr>
      <t>69 / 71</t>
    </r>
  </si>
  <si>
    <r>
      <rPr>
        <sz val="8"/>
        <rFont val="Times New Roman"/>
        <family val="1"/>
      </rPr>
      <t>INW CLG 906161</t>
    </r>
  </si>
  <si>
    <r>
      <rPr>
        <sz val="8"/>
        <rFont val="Times New Roman"/>
        <family val="1"/>
      </rPr>
      <t>INW CLG 906179</t>
    </r>
  </si>
  <si>
    <r>
      <rPr>
        <sz val="8"/>
        <rFont val="Times New Roman"/>
        <family val="1"/>
      </rPr>
      <t>INW CLG 702820</t>
    </r>
  </si>
  <si>
    <r>
      <rPr>
        <sz val="8"/>
        <rFont val="Times New Roman"/>
        <family val="1"/>
      </rPr>
      <t>INW CLG 906197</t>
    </r>
  </si>
  <si>
    <r>
      <rPr>
        <sz val="8"/>
        <rFont val="Times New Roman"/>
        <family val="1"/>
      </rPr>
      <t>INW CLG 906149</t>
    </r>
  </si>
  <si>
    <r>
      <rPr>
        <sz val="8"/>
        <rFont val="Times New Roman"/>
        <family val="1"/>
      </rPr>
      <t>INW CLG 906184</t>
    </r>
  </si>
  <si>
    <r>
      <rPr>
        <sz val="8"/>
        <rFont val="Times New Roman"/>
        <family val="1"/>
      </rPr>
      <t>INW CLG 702814</t>
    </r>
  </si>
  <si>
    <r>
      <rPr>
        <sz val="8"/>
        <rFont val="Times New Roman"/>
        <family val="1"/>
      </rPr>
      <t>INW CLG 702807</t>
    </r>
  </si>
  <si>
    <r>
      <rPr>
        <sz val="8"/>
        <rFont val="Times New Roman"/>
        <family val="1"/>
      </rPr>
      <t>INW CLG 906153</t>
    </r>
  </si>
  <si>
    <r>
      <rPr>
        <sz val="8"/>
        <rFont val="Times New Roman"/>
        <family val="1"/>
      </rPr>
      <t>INW CLG 702803</t>
    </r>
  </si>
  <si>
    <r>
      <rPr>
        <sz val="8"/>
        <rFont val="Times New Roman"/>
        <family val="1"/>
      </rPr>
      <t>INW CLG 906178</t>
    </r>
  </si>
  <si>
    <r>
      <rPr>
        <sz val="8"/>
        <rFont val="Arial"/>
        <family val="2"/>
      </rPr>
      <t>70 / 71</t>
    </r>
  </si>
  <si>
    <r>
      <rPr>
        <sz val="8"/>
        <rFont val="Times New Roman"/>
        <family val="1"/>
      </rPr>
      <t xml:space="preserve">27-12-2019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</si>
  <si>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</si>
  <si>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BALANCE BROUGHT FORWARD SWEEP FROM GHS 0100106024701
</t>
    </r>
    <r>
      <rPr>
        <sz val="8"/>
        <rFont val="Times New Roman"/>
        <family val="1"/>
      </rPr>
      <t xml:space="preserve">CHQ # 906184 INWARD CLEARING INW 01
</t>
    </r>
    <r>
      <rPr>
        <sz val="8"/>
        <rFont val="Times New Roman"/>
        <family val="1"/>
      </rPr>
      <t xml:space="preserve">INW CLG 231952
</t>
    </r>
    <r>
      <rPr>
        <sz val="8"/>
        <rFont val="Times New Roman"/>
        <family val="1"/>
      </rPr>
      <t xml:space="preserve">INW CLG 906175
</t>
    </r>
    <r>
      <rPr>
        <sz val="8"/>
        <rFont val="Times New Roman"/>
        <family val="1"/>
      </rPr>
      <t xml:space="preserve">INW CLG 906176
</t>
    </r>
    <r>
      <rPr>
        <sz val="8"/>
        <rFont val="Times New Roman"/>
        <family val="1"/>
      </rPr>
      <t xml:space="preserve">INW CLG 231969
</t>
    </r>
    <r>
      <rPr>
        <sz val="8"/>
        <rFont val="Times New Roman"/>
        <family val="1"/>
      </rPr>
      <t xml:space="preserve">INW CLG 702823
</t>
    </r>
    <r>
      <rPr>
        <sz val="8"/>
        <rFont val="Times New Roman"/>
        <family val="1"/>
      </rPr>
      <t>END OF STATEMENT</t>
    </r>
  </si>
  <si>
    <r>
      <rPr>
        <sz val="8"/>
        <rFont val="Times New Roman"/>
        <family val="1"/>
      </rPr>
      <t xml:space="preserve">-
</t>
    </r>
    <r>
      <rPr>
        <sz val="8"/>
        <rFont val="Times New Roman"/>
        <family val="1"/>
      </rPr>
      <t xml:space="preserve">9,420.46
</t>
    </r>
    <r>
      <rPr>
        <sz val="8"/>
        <rFont val="Times New Roman"/>
        <family val="1"/>
      </rPr>
      <t xml:space="preserve">1,382.25
</t>
    </r>
    <r>
      <rPr>
        <sz val="8"/>
        <rFont val="Times New Roman"/>
        <family val="1"/>
      </rPr>
      <t xml:space="preserve">1,522.90
</t>
    </r>
    <r>
      <rPr>
        <sz val="8"/>
        <rFont val="Times New Roman"/>
        <family val="1"/>
      </rPr>
      <t xml:space="preserve">1,941.10
</t>
    </r>
    <r>
      <rPr>
        <sz val="8"/>
        <rFont val="Times New Roman"/>
        <family val="1"/>
      </rPr>
      <t xml:space="preserve">17,262.16
</t>
    </r>
    <r>
      <rPr>
        <sz val="8"/>
        <rFont val="Times New Roman"/>
        <family val="1"/>
      </rPr>
      <t>207,362.42</t>
    </r>
  </si>
  <si>
    <r>
      <rPr>
        <sz val="8"/>
        <rFont val="Times New Roman"/>
        <family val="1"/>
      </rPr>
      <t xml:space="preserve">3,630.26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</si>
  <si>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775,467.06
</t>
    </r>
    <r>
      <rPr>
        <sz val="8"/>
        <rFont val="Times New Roman"/>
        <family val="1"/>
      </rPr>
      <t xml:space="preserve">779,097.32
</t>
    </r>
    <r>
      <rPr>
        <sz val="8"/>
        <rFont val="Times New Roman"/>
        <family val="1"/>
      </rPr>
      <t xml:space="preserve">769,676.86
</t>
    </r>
    <r>
      <rPr>
        <sz val="8"/>
        <rFont val="Times New Roman"/>
        <family val="1"/>
      </rPr>
      <t xml:space="preserve">768,294.61
</t>
    </r>
    <r>
      <rPr>
        <sz val="8"/>
        <rFont val="Times New Roman"/>
        <family val="1"/>
      </rPr>
      <t xml:space="preserve">766,771.71
</t>
    </r>
    <r>
      <rPr>
        <sz val="8"/>
        <rFont val="Times New Roman"/>
        <family val="1"/>
      </rPr>
      <t xml:space="preserve">764,830.61
</t>
    </r>
    <r>
      <rPr>
        <sz val="8"/>
        <rFont val="Times New Roman"/>
        <family val="1"/>
      </rPr>
      <t xml:space="preserve">747,568.45
</t>
    </r>
    <r>
      <rPr>
        <sz val="8"/>
        <rFont val="Times New Roman"/>
        <family val="1"/>
      </rPr>
      <t>540,206.03</t>
    </r>
  </si>
  <si>
    <r>
      <rPr>
        <sz val="8"/>
        <rFont val="Arial"/>
        <family val="2"/>
      </rPr>
      <t>71 / 71</t>
    </r>
  </si>
  <si>
    <t>ENTRY DATE</t>
  </si>
  <si>
    <t>VALUE DATE</t>
  </si>
  <si>
    <t>DESCRIPTION</t>
  </si>
  <si>
    <t>DEBITS</t>
  </si>
  <si>
    <t>CREDITS</t>
  </si>
  <si>
    <t>BALANCE</t>
  </si>
  <si>
    <t>Running Total</t>
  </si>
  <si>
    <t>Difference</t>
  </si>
  <si>
    <t>30-12-2019</t>
  </si>
  <si>
    <t>25-02-2019</t>
  </si>
  <si>
    <t>FAB CHQ# 484623 DRAWERS CONF NOT RECEIVED RTNS 02</t>
  </si>
  <si>
    <t>-</t>
  </si>
  <si>
    <t>FAB CHQ# 484625 DRAWERS CONF NOT RECEIVED RTNS 02</t>
  </si>
  <si>
    <t>INW CLG 484623</t>
  </si>
  <si>
    <t>INW CLG 484625</t>
  </si>
  <si>
    <t>26-02-2019</t>
  </si>
  <si>
    <t>INW CLG 484624</t>
  </si>
  <si>
    <t>27-02-2019</t>
  </si>
  <si>
    <t>FUNDS TRANSFER FROM 0100106024701 CMO 006</t>
  </si>
  <si>
    <t>0000484622 DRAWERS CONFIRMATION REQUIRED</t>
  </si>
  <si>
    <t>INW CLG 484622</t>
  </si>
  <si>
    <t>28-02-2019</t>
  </si>
  <si>
    <t>0000484661 CASH WITHDRAWAL=IFO OLIV</t>
  </si>
  <si>
    <t>DEBIT INTEREST</t>
  </si>
  <si>
    <t>CHQ # 484623 INWARD CLEARING INW 0 .</t>
  </si>
  <si>
    <t>CHQ # 484625 INWARD CLEARING INW 0 .</t>
  </si>
  <si>
    <t>INW CLG 484664</t>
  </si>
  <si>
    <t>0000484636 SCB,CHQ#484636,IFO MULTI</t>
  </si>
  <si>
    <t>0000484697 CASH WITHDRAWAL-IBRAHIM</t>
  </si>
  <si>
    <t>INW CLG 484647</t>
  </si>
  <si>
    <t>SWEEP FROM GHS 0100106024701</t>
  </si>
  <si>
    <t>13/03/2019</t>
  </si>
  <si>
    <t>INW CLG 484687</t>
  </si>
  <si>
    <t>INW CLG 484685</t>
  </si>
  <si>
    <t>INW CLG 484689</t>
  </si>
  <si>
    <t>14/03/2019</t>
  </si>
  <si>
    <t>0000484683 CASH WITHDRAWN BY ADDO F</t>
  </si>
  <si>
    <t>INW CLG 484646</t>
  </si>
  <si>
    <t>GTBTRPTRF5020 IT00101903150258 TGL PROPERTIES LTD</t>
  </si>
  <si>
    <t>15/03/2019</t>
  </si>
  <si>
    <t>INW CLG 484688</t>
  </si>
  <si>
    <t>INW CLG 484686</t>
  </si>
  <si>
    <t>INW CLG 484642</t>
  </si>
  <si>
    <t>18/03/2019</t>
  </si>
  <si>
    <t>INW CLG 484645</t>
  </si>
  <si>
    <t>19/03/2019</t>
  </si>
  <si>
    <t>INW CLG 484635</t>
  </si>
  <si>
    <t>INW CLG 484620</t>
  </si>
  <si>
    <t>INW CLG 484675</t>
  </si>
  <si>
    <t>INW CLG 484629</t>
  </si>
  <si>
    <t>INW CLG 484619</t>
  </si>
  <si>
    <t>INW CLG 484628</t>
  </si>
  <si>
    <t>INW CLG 484638</t>
  </si>
  <si>
    <t>20/03/2019</t>
  </si>
  <si>
    <t>INW CLG 484673</t>
  </si>
  <si>
    <t>INW CLG 484643</t>
  </si>
  <si>
    <t>INW CLG 484649</t>
  </si>
  <si>
    <t>INW CLG 484611</t>
  </si>
  <si>
    <t>INW CLG 484659</t>
  </si>
  <si>
    <t>INW CLG 484637</t>
  </si>
  <si>
    <t>21/03/2019</t>
  </si>
  <si>
    <t>INW CLG 484677</t>
  </si>
  <si>
    <t>INW CLG 484662</t>
  </si>
  <si>
    <t>INW CLG 484617</t>
  </si>
  <si>
    <t>INW CLG 484657</t>
  </si>
  <si>
    <t>22/03/2019</t>
  </si>
  <si>
    <t>INW CLG 484648</t>
  </si>
  <si>
    <t>25/03/2019</t>
  </si>
  <si>
    <t>INW CLG 484633</t>
  </si>
  <si>
    <t>INW CLG 484667</t>
  </si>
  <si>
    <t>INW CLG 484663</t>
  </si>
  <si>
    <t>INW CLG 484684</t>
  </si>
  <si>
    <t>INW CLG 484654</t>
  </si>
  <si>
    <t>INW CLG 484655</t>
  </si>
  <si>
    <t>INW CLG 210656</t>
  </si>
  <si>
    <t>INW CLG 484606</t>
  </si>
  <si>
    <t>INW CLG 484603</t>
  </si>
  <si>
    <t>INW CLG 484601</t>
  </si>
  <si>
    <t>0000484666 SCB HIGH STRT. CHQ#48466 TRANSMED GHANA</t>
  </si>
  <si>
    <t>26/03/2019</t>
  </si>
  <si>
    <t>INW CLG 484660</t>
  </si>
  <si>
    <t>INW CLG 210655</t>
  </si>
  <si>
    <t>INW CLG 484640</t>
  </si>
  <si>
    <t>27/03/2019</t>
  </si>
  <si>
    <t>0000484650 CASH WITHDRAWN BY OLIVIA</t>
  </si>
  <si>
    <t>BILL NO: 18687578 26/03/2019 GR:126</t>
  </si>
  <si>
    <t>BALANCE BROUGHT FORWARD</t>
  </si>
  <si>
    <t>27-03-2019</t>
  </si>
  <si>
    <t>MARCH 2019 SALARY SAL 010 SCW204GH0100270319512376</t>
  </si>
  <si>
    <t>28-03-2019</t>
  </si>
  <si>
    <t>CHARGES ON SALARY TO OTHER BANKS SAL 024</t>
  </si>
  <si>
    <t>29-03-2019</t>
  </si>
  <si>
    <t>INW CLG 210630</t>
  </si>
  <si>
    <t>0000210698 CASH WITHDRAWAL-BASSIROU</t>
  </si>
  <si>
    <t>0000210673 CASH WITHDRAWN BY OLIVIA</t>
  </si>
  <si>
    <t>INW CLG 484626</t>
  </si>
  <si>
    <t>INW CLG 484639</t>
  </si>
  <si>
    <t>INW CLG 210674</t>
  </si>
  <si>
    <t>INW CLG 210633</t>
  </si>
  <si>
    <t>INW CLG 210658</t>
  </si>
  <si>
    <t>0000210696 SCB #210696 IFO MULTICHO</t>
  </si>
  <si>
    <t>SCB CHQ# 484604 TRF IFO PETRA ADVA PENSION SCHEME</t>
  </si>
  <si>
    <t>INW CLG 484652</t>
  </si>
  <si>
    <t>BILL NO: 18757983 04/04/2019 GR:99</t>
  </si>
  <si>
    <t>INW CLG 210672</t>
  </si>
  <si>
    <t>INW CLG 210683</t>
  </si>
  <si>
    <t>0000259028 CASH WITHDRAWAL-AMADOU B THIQUINE</t>
  </si>
  <si>
    <t>INW CLG 210669</t>
  </si>
  <si>
    <t>INW CLG 210641</t>
  </si>
  <si>
    <t>15/04/2019</t>
  </si>
  <si>
    <t>INW CLG 484669</t>
  </si>
  <si>
    <t>INW CLG 484671</t>
  </si>
  <si>
    <t>INW CLG 484672</t>
  </si>
  <si>
    <t>0000484630 SCB #484630 IFO GGBL</t>
  </si>
  <si>
    <t>16/04/2019</t>
  </si>
  <si>
    <t>INW CLG 259049</t>
  </si>
  <si>
    <t>INW CLG 484700</t>
  </si>
  <si>
    <t>CHQ# 210662 DRAWERS SIGNATURE NOT PER MANDATE CLG</t>
  </si>
  <si>
    <t>17/04/2019</t>
  </si>
  <si>
    <t>CHQ# 259029 DRAWERS SIGNATURE NOT AS PER MANDATE</t>
  </si>
  <si>
    <t>CHQ# 259058 DRAWERS SIGNATURE NOT AS PER MANDATE</t>
  </si>
  <si>
    <t>INW CLG 210662</t>
  </si>
  <si>
    <t>INW CLG 259029</t>
  </si>
  <si>
    <t>INW CLG 259058</t>
  </si>
  <si>
    <t>18/04/2019</t>
  </si>
  <si>
    <t>INW CLG 210684</t>
  </si>
  <si>
    <t>23/04/2019</t>
  </si>
  <si>
    <t>INW CLG 259009</t>
  </si>
  <si>
    <t>INW CLG 259063</t>
  </si>
  <si>
    <t>INW CLG 210677</t>
  </si>
  <si>
    <t>INW CLG 210700</t>
  </si>
  <si>
    <t>CHQ# 259059 DRAWERS SIGNATURE NOT AS PER MANDATE</t>
  </si>
  <si>
    <t>24/04/2019</t>
  </si>
  <si>
    <t>CHQ# 259096 DRAWERS SIGNATURE NOT AS PER MANDATE</t>
  </si>
  <si>
    <t>CHQ# 259086 DRAWER'S SIGNATURE NOT AS PER MANDATE</t>
  </si>
  <si>
    <t>CHQ# 259029 DRAWER'S SIGNATURE NOT AS PER MANDATE</t>
  </si>
  <si>
    <t>CHQ# 259029 EXPRESS INWARD CLEARIN EXP 01</t>
  </si>
  <si>
    <t>INW CLG 259090</t>
  </si>
  <si>
    <t>INW CLG 484651</t>
  </si>
  <si>
    <t>INW CLG 259059</t>
  </si>
  <si>
    <t>INW CLG 259096</t>
  </si>
  <si>
    <t>INW CLG 259086</t>
  </si>
  <si>
    <t>CHQ # 259096 DRAWER'S SIGNATURE NO AS PER MANDATE</t>
  </si>
  <si>
    <t>CHQ # 259059 DRAWER'S SIGNATURE NO AS PER MANDATE</t>
  </si>
  <si>
    <t>CHQ # 259086 DRAWER'S SIGNATURE NO AS PER MANDATE</t>
  </si>
  <si>
    <t>CHQ # 259029 DRAWER'S SIGNATURE NO AS PER MANDATE</t>
  </si>
  <si>
    <t>GTBTRPTRF12885 IT00101904250837 TGL PROPERTIES LIMITED</t>
  </si>
  <si>
    <t>25/04/2019</t>
  </si>
  <si>
    <t>CHQ # 210662 EXPRESS INWARD CLEARI G EXP 01</t>
  </si>
  <si>
    <t>CHQ # 259086 EXPRESS INWARD CLEARI G EXP 01</t>
  </si>
  <si>
    <t>CHQ # 259029 EXPRESS INWARD CLEARI G EXP 01</t>
  </si>
  <si>
    <t>CHQ # 259058 EXPRESS INWARD CLEARI G EXP 01</t>
  </si>
  <si>
    <t>INW CLG 259083</t>
  </si>
  <si>
    <t>INW CLG 210651</t>
  </si>
  <si>
    <t>INW CLG 259084</t>
  </si>
  <si>
    <t>INW CLG 259082</t>
  </si>
  <si>
    <t>INW CLG 484692</t>
  </si>
  <si>
    <t>INW CLG 210660</t>
  </si>
  <si>
    <t>INW CLG 484694</t>
  </si>
  <si>
    <t>INW CLG 484693</t>
  </si>
  <si>
    <t>INW CLG 484607</t>
  </si>
  <si>
    <t>INW CLG 484690</t>
  </si>
  <si>
    <t>INW CLG 259085</t>
  </si>
  <si>
    <t>26/04/2019</t>
  </si>
  <si>
    <t>INW CLG 210653</t>
  </si>
  <si>
    <t>INW CLG 259074</t>
  </si>
  <si>
    <t>INW CLG 259094</t>
  </si>
  <si>
    <t>INW CLG 210675</t>
  </si>
  <si>
    <t>26-04-2019</t>
  </si>
  <si>
    <t>INW CLG 680326</t>
  </si>
  <si>
    <t>INW CLG 210663</t>
  </si>
  <si>
    <t>INW CLG 210647</t>
  </si>
  <si>
    <t>29-04-2019</t>
  </si>
  <si>
    <t>INW CLG 210657</t>
  </si>
  <si>
    <t>0000210618 CHQ DEP SCB H/S CHQ NO,2 IFO-IPMC</t>
  </si>
  <si>
    <t>30-04-2019</t>
  </si>
  <si>
    <t>INW CLG 484670</t>
  </si>
  <si>
    <t>INW CLG 210676</t>
  </si>
  <si>
    <t>END OF STATEMENT</t>
  </si>
  <si>
    <t>INW CLG 259092</t>
  </si>
  <si>
    <t>INW CLG 210650</t>
  </si>
  <si>
    <t>INW CLG 680352</t>
  </si>
  <si>
    <t>INW CLG 259064</t>
  </si>
  <si>
    <t>INW CLG 680348</t>
  </si>
  <si>
    <t>INW CLG 259030</t>
  </si>
  <si>
    <t>INW CLG 680345</t>
  </si>
  <si>
    <t>CHQ # 259087 INWARD CLEARING INW 01</t>
  </si>
  <si>
    <t>INW CLG 680325</t>
  </si>
  <si>
    <t>INW CLG 259089</t>
  </si>
  <si>
    <t>INW CLG 680364</t>
  </si>
  <si>
    <t>INW CLG 210687</t>
  </si>
  <si>
    <t>INW CLG 259057</t>
  </si>
  <si>
    <t>INW CLG 259051</t>
  </si>
  <si>
    <t>INW CLG 680312</t>
  </si>
  <si>
    <t>INW CLG 680350</t>
  </si>
  <si>
    <t>INW CLG 680313</t>
  </si>
  <si>
    <t>INW CLG 259007</t>
  </si>
  <si>
    <t>INW CLG 259040</t>
  </si>
  <si>
    <t>0000210627 CASH WITHDRAWN BY OLIVIA</t>
  </si>
  <si>
    <t>0000210621 CASH WITHDRAWN BY OLIVIA</t>
  </si>
  <si>
    <t>0000210622 CASH WITHDRAWN BY OLIVIA</t>
  </si>
  <si>
    <t>0000484682 CASH WITHDRAWN BY OLIVIA</t>
  </si>
  <si>
    <t>0000210624 CASH WITHDRAWN BY OLIVIA</t>
  </si>
  <si>
    <t>0000210619 CASH WITHDRAWN BY OLIVIA</t>
  </si>
  <si>
    <t>0000484668 CASH WITHDRAWN BY OLIVIA</t>
  </si>
  <si>
    <t>0000210626 CASH WITHDRAWN BY OLIVIA</t>
  </si>
  <si>
    <t>0000210699 CASH WITHDRAWN BY OLIVIA</t>
  </si>
  <si>
    <t>INW CLG 210680</t>
  </si>
  <si>
    <t>INW CLG 210682</t>
  </si>
  <si>
    <t>INW CLG 259055</t>
  </si>
  <si>
    <t>INW CLG 259016</t>
  </si>
  <si>
    <t>INW CLG 484698</t>
  </si>
  <si>
    <t>INW CLG 259091</t>
  </si>
  <si>
    <t>13/05/2019</t>
  </si>
  <si>
    <t>INW CLG 680363</t>
  </si>
  <si>
    <t>INW CLG 680362</t>
  </si>
  <si>
    <t>INW CLG 210643</t>
  </si>
  <si>
    <t>INW CLG 210688</t>
  </si>
  <si>
    <t>INW CLG 210646</t>
  </si>
  <si>
    <t>INW CLG 680329</t>
  </si>
  <si>
    <t>0000259001 SCB #259001 IFO TRANSMED</t>
  </si>
  <si>
    <t>0000680301 TRF IFO OYA TRADING</t>
  </si>
  <si>
    <t>0000259098 TRF IFO OYA TRADING</t>
  </si>
  <si>
    <t>0000259056 SCB #259056 IFO TRANSMED</t>
  </si>
  <si>
    <t>0000259099 SCB #259099 IFO MULTICHO</t>
  </si>
  <si>
    <t>14/05/2019</t>
  </si>
  <si>
    <t>INW CLG 484665</t>
  </si>
  <si>
    <t>INW CLG 259034</t>
  </si>
  <si>
    <t>INW CLG 210685</t>
  </si>
  <si>
    <t>INW CLG 680303</t>
  </si>
  <si>
    <t>INW CLG 259100</t>
  </si>
  <si>
    <t>INW CLG 210642</t>
  </si>
  <si>
    <t>15/05/2019</t>
  </si>
  <si>
    <t>INW CLG 680360</t>
  </si>
  <si>
    <t>INW CLG 210652</t>
  </si>
  <si>
    <t>INW CLG 259024</t>
  </si>
  <si>
    <t>0000484608 IFO TGL PROPERTIES LTD SCB H/S ACCRA 484608</t>
  </si>
  <si>
    <t>0000680365 IFO TGL PROPERTIES LTD SCB H/S ACCRA 680365</t>
  </si>
  <si>
    <t>0000210625 IFO TGL PROPERTIES LTD SCB H/S ACCRA 210625</t>
  </si>
  <si>
    <t>0000484680 IFO TGL PROPERTIES LTD SCB H/S ACCRA 484680</t>
  </si>
  <si>
    <t>0000210620 IFO TGL PROPERTIES LTD SCB H/S ACCRA 210620</t>
  </si>
  <si>
    <t>0000484676 IFO TGL PROPERTIES LTD SCB H/S ACCRA 484676</t>
  </si>
  <si>
    <t>0000484634 IFO TGL PROPERTIES LTD SCB H/S ACCRA 484634</t>
  </si>
  <si>
    <t>0000210617 IFO TGL PROPERTIES LTD SCB H/S ACCRA 210617</t>
  </si>
  <si>
    <t>0000484610 IFO TGL PROPERTIES LTD SCB H/S ACCRA 484610</t>
  </si>
  <si>
    <t>0000484609 IFO TGL PROPERTIES LTD SCB H/S ACCRA 484609</t>
  </si>
  <si>
    <t>0000484612 IFO TGL PROPERTIES LTD SCB H/S ACCRA 484612</t>
  </si>
  <si>
    <t>0000484615 IFO TGL PROPERTIES LTD SCB H/S ACCRA 484615</t>
  </si>
  <si>
    <t>0000484613 IFO TGL PROPERTIES LTD SCB H/S ACCRA 484613</t>
  </si>
  <si>
    <t>0000484678 IFO TGL PROPERTIES LTD SCB H/S ACCRA 484678</t>
  </si>
  <si>
    <t>16/05/2019</t>
  </si>
  <si>
    <t>INW CLG 680330</t>
  </si>
  <si>
    <t>INW CLG 680338</t>
  </si>
  <si>
    <t>INW CLG 210645</t>
  </si>
  <si>
    <t>INW CLG 259022</t>
  </si>
  <si>
    <t>17/05/2019</t>
  </si>
  <si>
    <t>INW CLG 259071</t>
  </si>
  <si>
    <t>INW CLG 680314</t>
  </si>
  <si>
    <t>INW CLG 680306</t>
  </si>
  <si>
    <t>INW CLG 259003</t>
  </si>
  <si>
    <t>INW CLG 259041</t>
  </si>
  <si>
    <t>20/05/2019</t>
  </si>
  <si>
    <t>INW CLG 210654</t>
  </si>
  <si>
    <t>INW CLG 680335</t>
  </si>
  <si>
    <t>INW CLG 259077</t>
  </si>
  <si>
    <t>INW CLG 680316</t>
  </si>
  <si>
    <t>INW CLG 680308</t>
  </si>
  <si>
    <t>INW CLG 259072</t>
  </si>
  <si>
    <t>21/05/2019</t>
  </si>
  <si>
    <t>INW CLG 259078</t>
  </si>
  <si>
    <t>INW CLG 680346</t>
  </si>
  <si>
    <t>INW CLG 259097</t>
  </si>
  <si>
    <t>INW CLG 680331</t>
  </si>
  <si>
    <t>INW CLG 259075</t>
  </si>
  <si>
    <t>INW CLG 680333</t>
  </si>
  <si>
    <t>INW CLG 680320</t>
  </si>
  <si>
    <t>INW CLG 259073</t>
  </si>
  <si>
    <t>INW CLG 680309</t>
  </si>
  <si>
    <t>INW CLG 210686</t>
  </si>
  <si>
    <t>INW CLG 210681</t>
  </si>
  <si>
    <t>INW CLG 210661</t>
  </si>
  <si>
    <t>INW CLG 210694</t>
  </si>
  <si>
    <t>INW CLG 259065</t>
  </si>
  <si>
    <t>22/05/2019</t>
  </si>
  <si>
    <t>INW CLG 680358</t>
  </si>
  <si>
    <t>INW CLG 259048</t>
  </si>
  <si>
    <t>INW CLG 680321</t>
  </si>
  <si>
    <t>INW CLG 484621</t>
  </si>
  <si>
    <t>INW CLG 259068</t>
  </si>
  <si>
    <t>0000259061 CHQ 259061-IFO EOXA RESO</t>
  </si>
  <si>
    <t>23/05/2019</t>
  </si>
  <si>
    <t>INW CLG 680334</t>
  </si>
  <si>
    <t>INW CLG 259031</t>
  </si>
  <si>
    <t>INW CLG 680349</t>
  </si>
  <si>
    <t>INW CLG 680336</t>
  </si>
  <si>
    <t>INW CLG 259039</t>
  </si>
  <si>
    <t>INW CLG 259002</t>
  </si>
  <si>
    <t>INW CLG 680317</t>
  </si>
  <si>
    <t>INW CLG 210692</t>
  </si>
  <si>
    <t>24/05/2019</t>
  </si>
  <si>
    <t>0000484696 FUND TRANSFER TO PETRA A 9970500015699 SCB</t>
  </si>
  <si>
    <t>0000210693 FUND TRANSFER TO PETRA A 9970500015699 SCB</t>
  </si>
  <si>
    <t>INW CLG 210665</t>
  </si>
  <si>
    <t>INW CLG 259062</t>
  </si>
  <si>
    <t>INW CLG 210689</t>
  </si>
  <si>
    <t>INW CLG 484641</t>
  </si>
  <si>
    <t>28/05/2019</t>
  </si>
  <si>
    <t>BILL NO: 18958743 24/05/2019 GR:123</t>
  </si>
  <si>
    <t>INW CLG 259066</t>
  </si>
  <si>
    <t>INW CLG 680328</t>
  </si>
  <si>
    <t>INW CLG 484614</t>
  </si>
  <si>
    <t>INW CLG 259070</t>
  </si>
  <si>
    <t>INW CLG 680323</t>
  </si>
  <si>
    <t>29/05/2019</t>
  </si>
  <si>
    <t>INW CLG 259079</t>
  </si>
  <si>
    <t>INW CLG 484656</t>
  </si>
  <si>
    <t>INW CLG 680332</t>
  </si>
  <si>
    <t>INW CLG 259069</t>
  </si>
  <si>
    <t>29-05-2019</t>
  </si>
  <si>
    <t>30-05-2019</t>
  </si>
  <si>
    <t>INW CLG 259047</t>
  </si>
  <si>
    <t>31-05-2019</t>
  </si>
  <si>
    <t>INW CLG 680304</t>
  </si>
  <si>
    <t>INW CLG 680347</t>
  </si>
  <si>
    <t>INW CLG 680322</t>
  </si>
  <si>
    <t>INW CLG 680366</t>
  </si>
  <si>
    <t>INW CLG 259053</t>
  </si>
  <si>
    <t>INW CLG 680337</t>
  </si>
  <si>
    <t>INW CLG 680319</t>
  </si>
  <si>
    <t>0000484618 IFO TGL PROPERTIES LTD SCB H/S 484618</t>
  </si>
  <si>
    <t>0000210623 IFO TGL PROPERTIES LTD SCB H/S ACCRA 210623</t>
  </si>
  <si>
    <t>0000484616 IFO TGL PROPERTIES LTD SCB H/S ACCRA 484616</t>
  </si>
  <si>
    <t>INW CLG 259067</t>
  </si>
  <si>
    <t>13/06/2019</t>
  </si>
  <si>
    <t>14/06/2019</t>
  </si>
  <si>
    <t>INW CLG 210666</t>
  </si>
  <si>
    <t>INW CLG 210629</t>
  </si>
  <si>
    <t>17/06/2019</t>
  </si>
  <si>
    <t>INW CLG 210635</t>
  </si>
  <si>
    <t>INW CLG 210628</t>
  </si>
  <si>
    <t>INW CLG 680310</t>
  </si>
  <si>
    <t>INW CLG 210639</t>
  </si>
  <si>
    <t>INW CLG 210634</t>
  </si>
  <si>
    <t>INW CLG 259018</t>
  </si>
  <si>
    <t>0000259044 TARKWA STORE ID 111003 SCB CHQ # 259044 IFO</t>
  </si>
  <si>
    <t>0000210640 CHQ 210640 IFO DOXA RESO</t>
  </si>
  <si>
    <t>INW CLG 210638</t>
  </si>
  <si>
    <t>18/06/2019</t>
  </si>
  <si>
    <t>INW CLG 259052</t>
  </si>
  <si>
    <t>INW CLG 210632</t>
  </si>
  <si>
    <t>INW CLG 210631</t>
  </si>
  <si>
    <t>0000484679 TARKWA STORE ID 111003 SCB CHQ # 484679 IFO</t>
  </si>
  <si>
    <t>INW CLG 259060</t>
  </si>
  <si>
    <t>19/06/2019</t>
  </si>
  <si>
    <t>INW CLG 210616</t>
  </si>
  <si>
    <t>20/06/2019</t>
  </si>
  <si>
    <t>0000259043 CASH WITHDRAWAL-GBEDZO O</t>
  </si>
  <si>
    <t>INW CLG 210636</t>
  </si>
  <si>
    <t>21/06/2019</t>
  </si>
  <si>
    <t>INW CLG 259014</t>
  </si>
  <si>
    <t>INW CLG 210612</t>
  </si>
  <si>
    <t>INW CLG 210608</t>
  </si>
  <si>
    <t>0000259035 SCB,CHQ#259035 IFO TOYOT</t>
  </si>
  <si>
    <t>24/06/2019</t>
  </si>
  <si>
    <t>INW CLG 210615</t>
  </si>
  <si>
    <t>INW CLG 259032</t>
  </si>
  <si>
    <t>25/06/2019</t>
  </si>
  <si>
    <t>INW CLG 259004</t>
  </si>
  <si>
    <t>INW CLG 680318</t>
  </si>
  <si>
    <t>INW CLG 210664</t>
  </si>
  <si>
    <t>26/06/2019</t>
  </si>
  <si>
    <t>INW CLG 259026</t>
  </si>
  <si>
    <t>26-06-2019</t>
  </si>
  <si>
    <t>0000680354 CASH WITHDRAWN BY WENDY AFRIYIE ADDO</t>
  </si>
  <si>
    <t>27-06-2019</t>
  </si>
  <si>
    <t>INW CLG 210602</t>
  </si>
  <si>
    <t>28-06-2019</t>
  </si>
  <si>
    <t>INW CLG 680307</t>
  </si>
  <si>
    <t>INW CLG 210637</t>
  </si>
  <si>
    <t>INW CLG 680341</t>
  </si>
  <si>
    <t>INW CLG 210690</t>
  </si>
  <si>
    <t>16/07/2019</t>
  </si>
  <si>
    <t>INW CLG 680344</t>
  </si>
  <si>
    <t>17/07/2019</t>
  </si>
  <si>
    <t>INW CLG 259020</t>
  </si>
  <si>
    <t>18/07/2019</t>
  </si>
  <si>
    <t>INW CLG 210671</t>
  </si>
  <si>
    <t>INW CLG 210679</t>
  </si>
  <si>
    <t>19/07/2019</t>
  </si>
  <si>
    <t>INW CLG 484605</t>
  </si>
  <si>
    <t>INW CLG 484691</t>
  </si>
  <si>
    <t>INW CLG 259088</t>
  </si>
  <si>
    <t>23/07/2019</t>
  </si>
  <si>
    <t>24/07/2019</t>
  </si>
  <si>
    <t>25/07/2019</t>
  </si>
  <si>
    <t>26/07/2019</t>
  </si>
  <si>
    <t>26-07-2019</t>
  </si>
  <si>
    <t>INW CLG 259036</t>
  </si>
  <si>
    <t>INW CLG 680340</t>
  </si>
  <si>
    <t>INW CLG 210695</t>
  </si>
  <si>
    <t>29-07-2019</t>
  </si>
  <si>
    <t>30-07-2019</t>
  </si>
  <si>
    <t>31-07-2019</t>
  </si>
  <si>
    <t>INW CLG 259027</t>
  </si>
  <si>
    <t>INW CLG 680343</t>
  </si>
  <si>
    <t>INW CLG 210670</t>
  </si>
  <si>
    <t>OT REF OT00201908090041 TGL PROPERTIES LTD</t>
  </si>
  <si>
    <t>OT00201908090041 TT CHARGES OUTWARD TELEGRAPHIC</t>
  </si>
  <si>
    <t>13/08/2019</t>
  </si>
  <si>
    <t>16/08/2019</t>
  </si>
  <si>
    <t>20/08/2019</t>
  </si>
  <si>
    <t>22/08/2019</t>
  </si>
  <si>
    <t>22-08-2019</t>
  </si>
  <si>
    <t>28-08-2019</t>
  </si>
  <si>
    <t>29-08-2019</t>
  </si>
  <si>
    <t>INW CLG 259046</t>
  </si>
  <si>
    <t>13/09/2019</t>
  </si>
  <si>
    <t>INW CLG 680367</t>
  </si>
  <si>
    <t>16/09/2019</t>
  </si>
  <si>
    <t>17/09/2019</t>
  </si>
  <si>
    <t>18/09/2019</t>
  </si>
  <si>
    <t>19/09/2019</t>
  </si>
  <si>
    <t>20/09/2019</t>
  </si>
  <si>
    <t>0000680370 CASH WITHDRAWAL-BONSU OB</t>
  </si>
  <si>
    <t>INW CLG 680369</t>
  </si>
  <si>
    <t>24/09/2019</t>
  </si>
  <si>
    <t>25/09/2019</t>
  </si>
  <si>
    <t>26/09/2019</t>
  </si>
  <si>
    <t>27/09/2019</t>
  </si>
  <si>
    <t>0000680376 CASH WITHDRAWAL;BY COLLI</t>
  </si>
  <si>
    <t>0000680375 CASH WITHDRAWN BY OLIVIA</t>
  </si>
  <si>
    <t>0000680380 CASH WITHDRAWN BY OLIVIA</t>
  </si>
  <si>
    <t>INW CLG 680371</t>
  </si>
  <si>
    <t>27-09-2019</t>
  </si>
  <si>
    <t>30/09/2019</t>
  </si>
  <si>
    <t>30-09-2019</t>
  </si>
  <si>
    <t>INW CLG 680378</t>
  </si>
  <si>
    <t>INW CLG 680374</t>
  </si>
  <si>
    <t>0000680373 WITHDRAWAL-B/O DZOGBEDOZ</t>
  </si>
  <si>
    <t>INW CLG 680389</t>
  </si>
  <si>
    <t>INW CLG 680387</t>
  </si>
  <si>
    <t>INW CLG 680381</t>
  </si>
  <si>
    <t>0000680386 CASH WITHDRAWAL-OLIVIA G</t>
  </si>
  <si>
    <t>INW CLG 680372</t>
  </si>
  <si>
    <t>0000726418 CASH WITHDRAWAL-FRANCIS</t>
  </si>
  <si>
    <t>14/10/2019</t>
  </si>
  <si>
    <t>INW CLG 680383</t>
  </si>
  <si>
    <t>15/10/2019</t>
  </si>
  <si>
    <t>16/10/2019</t>
  </si>
  <si>
    <t>17/10/2019</t>
  </si>
  <si>
    <t>INW CLG 680393</t>
  </si>
  <si>
    <t>18/10/2019</t>
  </si>
  <si>
    <t>0000726491 CASH WITHDRAWAL-B/O OLIV</t>
  </si>
  <si>
    <t>INW CLG 726434</t>
  </si>
  <si>
    <t>INW CLG 680396</t>
  </si>
  <si>
    <t>INW CLG 726417</t>
  </si>
  <si>
    <t>21/10/2019</t>
  </si>
  <si>
    <t>INW CLG 726433</t>
  </si>
  <si>
    <t>INW CLG 726413</t>
  </si>
  <si>
    <t>22/10/2019</t>
  </si>
  <si>
    <t>INW CLG 680397</t>
  </si>
  <si>
    <t>INW CLG 680398</t>
  </si>
  <si>
    <t>INW CLG 680400</t>
  </si>
  <si>
    <t>INW CLG 680394</t>
  </si>
  <si>
    <t>23/10/2019</t>
  </si>
  <si>
    <t>0000726401 SCB CHQ # 726401 IFO TRA</t>
  </si>
  <si>
    <t>24/10/2019</t>
  </si>
  <si>
    <t>0000726431 726431 SCB H/ST IFO PETR 9970500015699</t>
  </si>
  <si>
    <t>25/10/2019</t>
  </si>
  <si>
    <t>INW CLG 726438</t>
  </si>
  <si>
    <t>BILL NO: 19715270 25/10/2019 GR:111</t>
  </si>
  <si>
    <t>28/10/2019</t>
  </si>
  <si>
    <t>INW CLG 726405</t>
  </si>
  <si>
    <t>INW CLG 726409</t>
  </si>
  <si>
    <t>INW CLG 726442</t>
  </si>
  <si>
    <t>SWEEP TO GHS 0100106024701</t>
  </si>
  <si>
    <t>29/10/2019</t>
  </si>
  <si>
    <t>INW CLG 680395</t>
  </si>
  <si>
    <t>INW CLG 726457</t>
  </si>
  <si>
    <t>INW CLG 726402</t>
  </si>
  <si>
    <t>INW CLG 726465</t>
  </si>
  <si>
    <t>30/10/2019</t>
  </si>
  <si>
    <t>INW CLG 726487</t>
  </si>
  <si>
    <t>INW CLG 726421</t>
  </si>
  <si>
    <t>INW CLG 726489</t>
  </si>
  <si>
    <t>INW CLG 726420</t>
  </si>
  <si>
    <t>INW CLG 726414</t>
  </si>
  <si>
    <t>INW CLG 231901</t>
  </si>
  <si>
    <t>INW CLG 726469</t>
  </si>
  <si>
    <t>31/10/2019</t>
  </si>
  <si>
    <t>31-10-2019</t>
  </si>
  <si>
    <t>0000726495 CASH WITHDRAWN BY OLIVIA</t>
  </si>
  <si>
    <t>FUNDS TRANSFER TO TGL PROPERTIES LIMITED CMO 005 SCW204GH0100311019624601</t>
  </si>
  <si>
    <t>INW CLG 726449</t>
  </si>
  <si>
    <t>INW CLG 726440</t>
  </si>
  <si>
    <t>INW CLG 726415</t>
  </si>
  <si>
    <t>INW CLG 726447</t>
  </si>
  <si>
    <t>INW CLG 726454</t>
  </si>
  <si>
    <t>INW CLG 680399</t>
  </si>
  <si>
    <t>INW CLG 726450</t>
  </si>
  <si>
    <t>INW CLG 726500</t>
  </si>
  <si>
    <t>INW CLG 680384</t>
  </si>
  <si>
    <t>INW CLG 726476</t>
  </si>
  <si>
    <t>INW CLG 726407</t>
  </si>
  <si>
    <t>FUNDS TRANSFER TO ACCT 01-001-060247-00 CMO 006</t>
  </si>
  <si>
    <t>INW CLG 726497</t>
  </si>
  <si>
    <t>INW CLG 726463</t>
  </si>
  <si>
    <t>INW CLG 726412</t>
  </si>
  <si>
    <t>INW CLG 726408</t>
  </si>
  <si>
    <t>0000726492 SCB,CHQ#726492 IFO MULTI</t>
  </si>
  <si>
    <t>SWEEP FROM GHS 0100106024700</t>
  </si>
  <si>
    <t>0000231920 CASH WITHDRAWAL-MILLICEN</t>
  </si>
  <si>
    <t>INW CLG 726426</t>
  </si>
  <si>
    <t>INW CLG 726459</t>
  </si>
  <si>
    <t>INW CLG 726410</t>
  </si>
  <si>
    <t>INW CLG 726424</t>
  </si>
  <si>
    <t>INW CLG 726483</t>
  </si>
  <si>
    <t>INW CLG 726423</t>
  </si>
  <si>
    <t>INW CLG 726485</t>
  </si>
  <si>
    <t>INW CLG 726425</t>
  </si>
  <si>
    <t>INW CLG 726475</t>
  </si>
  <si>
    <t>INW CLG 726443</t>
  </si>
  <si>
    <t>INW CLG 726429</t>
  </si>
  <si>
    <t>INW CLG 726490</t>
  </si>
  <si>
    <t>INW CLG 726432</t>
  </si>
  <si>
    <t>INW CLG 726441</t>
  </si>
  <si>
    <t>INW CLG 726437</t>
  </si>
  <si>
    <t>0000726494 CASH WITHDRAWAL-JOSEPH F</t>
  </si>
  <si>
    <t>0000231918 CASH WITHDRAWAL-JOSEPH F</t>
  </si>
  <si>
    <t>INW CLG 726406</t>
  </si>
  <si>
    <t>INW CLG 726471</t>
  </si>
  <si>
    <t>INW CLG 726452</t>
  </si>
  <si>
    <t>INW CLG 726453</t>
  </si>
  <si>
    <t>INW CLG 726462</t>
  </si>
  <si>
    <t>INW CLG 726456</t>
  </si>
  <si>
    <t>INW CLG 726484</t>
  </si>
  <si>
    <t>INW CLG 231929</t>
  </si>
  <si>
    <t>INW CLG 726403</t>
  </si>
  <si>
    <t>INW CLG 726470</t>
  </si>
  <si>
    <t>CHQ# 726486 WRONG AMOUNT ENTERED CLG 08</t>
  </si>
  <si>
    <t>INW CLG 726419</t>
  </si>
  <si>
    <t>INW CLG 231921</t>
  </si>
  <si>
    <t>INW CLG 726411</t>
  </si>
  <si>
    <t>INW CLG 231905</t>
  </si>
  <si>
    <t>INW CLG 231927</t>
  </si>
  <si>
    <t>INW CLG 231923</t>
  </si>
  <si>
    <t>INW CLG 726458</t>
  </si>
  <si>
    <t>INW CLG 726486</t>
  </si>
  <si>
    <t>0000231928 H/ST CHQ NO 231928 IFO D RESOURCES</t>
  </si>
  <si>
    <t>13/11/2019</t>
  </si>
  <si>
    <t>INW CLG 726481</t>
  </si>
  <si>
    <t>INW CLG 726416</t>
  </si>
  <si>
    <t>INW CLG 726477</t>
  </si>
  <si>
    <t>14/11/2019</t>
  </si>
  <si>
    <t>INW CLG 231917</t>
  </si>
  <si>
    <t>INW CLG 231902</t>
  </si>
  <si>
    <t>INW CLG 231924</t>
  </si>
  <si>
    <t>15/11/2019</t>
  </si>
  <si>
    <t>0000726488 CASH WITHDRAWN BY JOSEPH</t>
  </si>
  <si>
    <t>0000231994 FUND TRANSFER TO PETRA 9970500015699</t>
  </si>
  <si>
    <t>INW CLG 726422</t>
  </si>
  <si>
    <t>INW CLG 231914</t>
  </si>
  <si>
    <t>INW CLG 231915</t>
  </si>
  <si>
    <t>18/11/2019</t>
  </si>
  <si>
    <t>BILL NO: 19878471 15/11/2019 GR:114</t>
  </si>
  <si>
    <t>INW CLG 231935</t>
  </si>
  <si>
    <t>INW CLG 726478</t>
  </si>
  <si>
    <t>INW CLG 231932</t>
  </si>
  <si>
    <t>INW CLG 231950</t>
  </si>
  <si>
    <t>INW CLG 231953</t>
  </si>
  <si>
    <t>INW CLG 231926</t>
  </si>
  <si>
    <t>INW CLG 231943</t>
  </si>
  <si>
    <t>INW CLG 231913</t>
  </si>
  <si>
    <t>INW CLG 231909</t>
  </si>
  <si>
    <t>INW CLG 231910</t>
  </si>
  <si>
    <t>CHQ # 726498 SECOND SIGNATURE REQU RED</t>
  </si>
  <si>
    <t>19/11/2019</t>
  </si>
  <si>
    <t>INW CLG 726498</t>
  </si>
  <si>
    <t>INW CLG 726473</t>
  </si>
  <si>
    <t>INW CLG 726446</t>
  </si>
  <si>
    <t>INW CLG 231916</t>
  </si>
  <si>
    <t>INW CLG 231911</t>
  </si>
  <si>
    <t>INW CLG 231907</t>
  </si>
  <si>
    <t>INW CLG 231919</t>
  </si>
  <si>
    <t>INW CLG 231992</t>
  </si>
  <si>
    <t>CHQ # 726498 SECOND SIGNATURE REQU RED CLG 10</t>
  </si>
  <si>
    <t>20/11/2019</t>
  </si>
  <si>
    <t>INW CLG 231931</t>
  </si>
  <si>
    <t>INW CLG 231949</t>
  </si>
  <si>
    <t>INW CLG 231947</t>
  </si>
  <si>
    <t>INW CLG 231904</t>
  </si>
  <si>
    <t>21/11/2019</t>
  </si>
  <si>
    <t>INW CLG 231954</t>
  </si>
  <si>
    <t>INW CLG 231939</t>
  </si>
  <si>
    <t>INW CLG 231951</t>
  </si>
  <si>
    <t>INW CLG 231988</t>
  </si>
  <si>
    <t>SWEEP TO GHS 0100106024700</t>
  </si>
  <si>
    <t>0000231933 CHQ 231933 IFO ASSA ABLO</t>
  </si>
  <si>
    <t>INW CLG 726472</t>
  </si>
  <si>
    <t>22/11/2019</t>
  </si>
  <si>
    <t>25/11/2019</t>
  </si>
  <si>
    <t>INW CLG 231940</t>
  </si>
  <si>
    <t>26/11/2019</t>
  </si>
  <si>
    <t>INW CLG 231966</t>
  </si>
  <si>
    <t>INW CLG 726461</t>
  </si>
  <si>
    <t>INW CLG 231941</t>
  </si>
  <si>
    <t>0000726493 SCB,CHQ#726493 IFO MULTI</t>
  </si>
  <si>
    <t>0000231963 SCB,CHQ#231963 IFO TRANS</t>
  </si>
  <si>
    <t>27/11/2019</t>
  </si>
  <si>
    <t>0000906122 CASH WITHDRAWAL-OLIVIA G</t>
  </si>
  <si>
    <t>0000906107 CASH WITHDRAWAL-OLIVIA G</t>
  </si>
  <si>
    <t>0000726496 CASH WITHDRAWAL-OLIVIA G</t>
  </si>
  <si>
    <t>0000906121 CASH WITHDRAWAL-OLIVIA G</t>
  </si>
  <si>
    <t>0000906119 CASH WITHDRAWAL-OLIVIA G</t>
  </si>
  <si>
    <t>0000906106 CASH WITHDRAWAL-OLIVIA G</t>
  </si>
  <si>
    <t>INW CLG 231962</t>
  </si>
  <si>
    <t>INW CLG 231946</t>
  </si>
  <si>
    <t>INW CLG 231955</t>
  </si>
  <si>
    <t>28/11/2019</t>
  </si>
  <si>
    <t>INW CLG 906104</t>
  </si>
  <si>
    <t>INW CLG 906102</t>
  </si>
  <si>
    <t>INW CLG 231948</t>
  </si>
  <si>
    <t>29/11/2019</t>
  </si>
  <si>
    <t>INW CLG 906103</t>
  </si>
  <si>
    <t>INW CLG 231938</t>
  </si>
  <si>
    <t>INW CLG 906118</t>
  </si>
  <si>
    <t>INW CLG 231985</t>
  </si>
  <si>
    <t>INW CLG 726460</t>
  </si>
  <si>
    <t>INW CLG 231979</t>
  </si>
  <si>
    <t>INW CLG 906113</t>
  </si>
  <si>
    <t>INW CLG 906120</t>
  </si>
  <si>
    <t>INW CLG 906101</t>
  </si>
  <si>
    <t>INW CLG 231971</t>
  </si>
  <si>
    <t>29-11-2019</t>
  </si>
  <si>
    <t>CHQ # 726486 INWARD CLEARING CLG 05</t>
  </si>
  <si>
    <t>INW CLG 231972</t>
  </si>
  <si>
    <t>INW CLG 906112</t>
  </si>
  <si>
    <t>INW CLG 231956</t>
  </si>
  <si>
    <t>INW CLG 906115</t>
  </si>
  <si>
    <t>INW CLG 906114</t>
  </si>
  <si>
    <t>0000906129 CASH WITHDRAWN BY OLIVIA</t>
  </si>
  <si>
    <t>0000906128 CASH WITHDRAWN BY OLIVIA</t>
  </si>
  <si>
    <t>0000906130 CASH WITHDRAWN BY OLIVIA</t>
  </si>
  <si>
    <t>INW CLG 231987</t>
  </si>
  <si>
    <t>INW CLG 726474</t>
  </si>
  <si>
    <t>INW CLG 726480</t>
  </si>
  <si>
    <t>INW CLG 231984</t>
  </si>
  <si>
    <t>INW CLG 231974</t>
  </si>
  <si>
    <t>INW CLG 906126</t>
  </si>
  <si>
    <t>INW CLG 231908</t>
  </si>
  <si>
    <t>INW CLG 906105</t>
  </si>
  <si>
    <t>INW CLG 231961</t>
  </si>
  <si>
    <t>INW CLG 231993</t>
  </si>
  <si>
    <t>INW CLG 231960</t>
  </si>
  <si>
    <t>INW CLG 231989</t>
  </si>
  <si>
    <t>0000232000 SCB #232000 IFO MULTICHO</t>
  </si>
  <si>
    <t>0000231999 SCB #231999 IFO MULTICHO</t>
  </si>
  <si>
    <t>0000906131 CASH WITHDRAWN BY JOSEPH</t>
  </si>
  <si>
    <t>INW CLG 726455</t>
  </si>
  <si>
    <t>INW CLG 231976</t>
  </si>
  <si>
    <t>INW CLG 231982</t>
  </si>
  <si>
    <t>INW CLG 231973</t>
  </si>
  <si>
    <t>INW CLG 906125</t>
  </si>
  <si>
    <t>INW CLG 231930</t>
  </si>
  <si>
    <t>INW CLG 231991</t>
  </si>
  <si>
    <t>INW CLG 231990</t>
  </si>
  <si>
    <t>INW CLG 231968</t>
  </si>
  <si>
    <t>INW CLG 726445</t>
  </si>
  <si>
    <t>INW CLG 231978</t>
  </si>
  <si>
    <t>INW CLG 231965</t>
  </si>
  <si>
    <t>INW CLG 906117</t>
  </si>
  <si>
    <t>INW CLG 231983</t>
  </si>
  <si>
    <t>INW CLG 231980</t>
  </si>
  <si>
    <t>0000906133 CASH WITHDRAWN BY JOSEPH</t>
  </si>
  <si>
    <t>13/12/2019</t>
  </si>
  <si>
    <t>INW CLG 906111</t>
  </si>
  <si>
    <t>INW CLG 231942</t>
  </si>
  <si>
    <t>16/12/2019</t>
  </si>
  <si>
    <t>INW CLG 906150</t>
  </si>
  <si>
    <t>INW CLG 906147</t>
  </si>
  <si>
    <t>INW CLG 906152</t>
  </si>
  <si>
    <t>INW CLG 906144</t>
  </si>
  <si>
    <t>INW CLG 906146</t>
  </si>
  <si>
    <t>INW CLG 906135</t>
  </si>
  <si>
    <t>17/12/2019</t>
  </si>
  <si>
    <t>INW CLG 906189</t>
  </si>
  <si>
    <t>INW CLG 906158</t>
  </si>
  <si>
    <t>INW CLG 231977</t>
  </si>
  <si>
    <t>INW CLG 231964</t>
  </si>
  <si>
    <t>INW CLG 231959</t>
  </si>
  <si>
    <t>INW CLG 906137</t>
  </si>
  <si>
    <t>INW CLG 231957</t>
  </si>
  <si>
    <t>INW CLG 906132</t>
  </si>
  <si>
    <t>INW CLG 906148</t>
  </si>
  <si>
    <t>18/12/2019</t>
  </si>
  <si>
    <t>INW CLG 906145</t>
  </si>
  <si>
    <t>INW CLG 231967</t>
  </si>
  <si>
    <t>INW CLG 906141</t>
  </si>
  <si>
    <t>19/12/2019</t>
  </si>
  <si>
    <t>INW CLG 906157</t>
  </si>
  <si>
    <t>INW CLG 906196</t>
  </si>
  <si>
    <t>INW CLG 906155</t>
  </si>
  <si>
    <t>INW CLG 906195</t>
  </si>
  <si>
    <t>20/12/2019</t>
  </si>
  <si>
    <t>INW CLG 906163</t>
  </si>
  <si>
    <t>INW CLG 906159</t>
  </si>
  <si>
    <t>INW CLG 702810</t>
  </si>
  <si>
    <t>INW CLG 906181</t>
  </si>
  <si>
    <t>INW CLG 906194</t>
  </si>
  <si>
    <t>INW CLG 906143</t>
  </si>
  <si>
    <t>23/12/2019</t>
  </si>
  <si>
    <t>0000702818 CASH WITHDRAWN BY STEPHE</t>
  </si>
  <si>
    <t>INW CLG 906123</t>
  </si>
  <si>
    <t>INW CLG 702811</t>
  </si>
  <si>
    <t>INW CLG 702806</t>
  </si>
  <si>
    <t>INW CLG 906190</t>
  </si>
  <si>
    <t>INW CLG 702827</t>
  </si>
  <si>
    <t>INW CLG 906162</t>
  </si>
  <si>
    <t>INW CLG 702812</t>
  </si>
  <si>
    <t>INW CLG 906200</t>
  </si>
  <si>
    <t>INW CLG 702815</t>
  </si>
  <si>
    <t>INW CLG 702805</t>
  </si>
  <si>
    <t>INW CLG 906199</t>
  </si>
  <si>
    <t>0000702808 CHQDEP;SCB;HIGHST;CHQNO; IFO TOTAL</t>
  </si>
  <si>
    <t>CHQ# 906184 WRONG AMOUNT ENTERED CLG 03</t>
  </si>
  <si>
    <t>24/12/2019</t>
  </si>
  <si>
    <t>INW CLG 702802</t>
  </si>
  <si>
    <t>INW CLG 702813</t>
  </si>
  <si>
    <t>INW CLG 906169</t>
  </si>
  <si>
    <t>INW CLG 906116</t>
  </si>
  <si>
    <t>INW CLG 906161</t>
  </si>
  <si>
    <t>INW CLG 906179</t>
  </si>
  <si>
    <t>INW CLG 702820</t>
  </si>
  <si>
    <t>INW CLG 906197</t>
  </si>
  <si>
    <t>INW CLG 906149</t>
  </si>
  <si>
    <t>INW CLG 906184</t>
  </si>
  <si>
    <t>27/12/2019</t>
  </si>
  <si>
    <t>INW CLG 702814</t>
  </si>
  <si>
    <t>INW CLG 702807</t>
  </si>
  <si>
    <t>INW CLG 906153</t>
  </si>
  <si>
    <t>INW CLG 702803</t>
  </si>
  <si>
    <t>INW CLG 906178</t>
  </si>
  <si>
    <t>27-12-2019</t>
  </si>
  <si>
    <t>CHQ # 906184 INWARD CLEARING INW 01</t>
  </si>
  <si>
    <t>INW CLG 231952</t>
  </si>
  <si>
    <t>INW CLG 906175</t>
  </si>
  <si>
    <t>INW CLG 906176</t>
  </si>
  <si>
    <t>INW CLG 231969</t>
  </si>
  <si>
    <t>INW CLG 702823</t>
  </si>
  <si>
    <t>0000231903 CASH WITHDRAWN BY OLIVIA</t>
  </si>
  <si>
    <t>INW CLG 210691</t>
  </si>
  <si>
    <t>INW CLG 680361</t>
  </si>
  <si>
    <t>INW CLG 210613</t>
  </si>
  <si>
    <t>INW CLG 210697</t>
  </si>
  <si>
    <t>***sheet 2 is the most up to date copy of the bank statement completed on 9/7/2026</t>
  </si>
  <si>
    <t>l have corrected some rows which were not properly aligned between the values column and the details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</si>
</sst>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m/yyyy"/>
  </numFmts>
  <fonts count="16" x14ac:knownFonts="1">
    <font>
      <sz val="11"/>
      <color theme="1"/>
      <name val="Calibri"/>
      <family val="2"/>
      <scheme val="minor"/>
    </font>
    <font>
      <b/>
      <sz val="12"/>
      <name val="Arial"/>
      <family val="2"/>
    </font>
    <font>
      <sz val="6"/>
      <name val="Arial"/>
      <family val="2"/>
    </font>
    <font>
      <b/>
      <sz val="6"/>
      <name val="Arial"/>
      <family val="2"/>
    </font>
    <font>
      <sz val="8"/>
      <name val="Times New Roman"/>
      <family val="1"/>
    </font>
    <font>
      <b/>
      <vertAlign val="superscript"/>
      <sz val="9.5"/>
      <name val="Times New Roman"/>
      <family val="1"/>
    </font>
    <font>
      <b/>
      <sz val="9.5"/>
      <name val="Times New Roman"/>
      <family val="1"/>
    </font>
    <font>
      <vertAlign val="subscript"/>
      <sz val="8"/>
      <name val="Times New Roman"/>
      <family val="1"/>
    </font>
    <font>
      <sz val="8"/>
      <name val="Times New Roman"/>
    </font>
    <font>
      <sz val="8"/>
      <color rgb="FF000000"/>
      <name val="Times New Roman"/>
      <family val="2"/>
    </font>
    <font>
      <sz val="6.5"/>
      <name val="Times New Roman"/>
      <family val="1"/>
    </font>
    <font>
      <sz val="5.5"/>
      <name val="Times New Roman"/>
      <family val="1"/>
    </font>
    <font>
      <sz val="8"/>
      <name val="Arial"/>
    </font>
    <font>
      <sz val="8"/>
      <name val="Arial"/>
      <family val="2"/>
    </font>
    <font>
      <sz val="5.5"/>
      <name val="Times New Roman"/>
    </font>
    <font>
      <b/>
      <sz val="11"/>
      <color theme="1"/>
      <name val="Calibri"/>
      <family val="2"/>
      <scheme val="minor"/>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FFFFFF"/>
      </right>
      <top/>
      <bottom style="thin">
        <color rgb="FF000000"/>
      </bottom>
      <diagonal/>
    </border>
    <border>
      <left style="thin">
        <color rgb="FFFFFFFF"/>
      </left>
      <right style="thin">
        <color rgb="FF000000"/>
      </right>
      <top/>
      <bottom style="thin">
        <color rgb="FF000000"/>
      </bottom>
      <diagonal/>
    </border>
    <border>
      <left/>
      <right/>
      <top style="thin">
        <color rgb="FF000000"/>
      </top>
      <bottom/>
      <diagonal/>
    </border>
  </borders>
  <cellStyleXfs count="1">
    <xf numFmtId="0" fontId="0" fillId="0" borderId="0"/>
  </cellStyleXfs>
  <cellXfs count="82">
    <xf numFmtId="0" fontId="0" fillId="0" borderId="0" xfId="0"/>
    <xf numFmtId="0" fontId="0" fillId="0" borderId="0" xfId="0" applyAlignment="1">
      <alignment horizontal="left" vertical="top"/>
    </xf>
    <xf numFmtId="0" fontId="8" fillId="0" borderId="4" xfId="0" applyFont="1" applyBorder="1" applyAlignment="1">
      <alignment horizontal="left" vertical="center" wrapText="1" indent="1"/>
    </xf>
    <xf numFmtId="0" fontId="8" fillId="0" borderId="5" xfId="0" applyFont="1" applyBorder="1" applyAlignment="1">
      <alignment horizontal="left" vertical="center" wrapText="1" indent="2"/>
    </xf>
    <xf numFmtId="0" fontId="0" fillId="0" borderId="5" xfId="0" applyBorder="1" applyAlignment="1">
      <alignment horizontal="left" vertical="top" wrapText="1"/>
    </xf>
    <xf numFmtId="0" fontId="8" fillId="0" borderId="5" xfId="0" applyFont="1" applyBorder="1" applyAlignment="1">
      <alignment horizontal="center" vertical="center" wrapText="1"/>
    </xf>
    <xf numFmtId="0" fontId="8" fillId="0" borderId="6" xfId="0" applyFont="1" applyBorder="1" applyAlignment="1">
      <alignment horizontal="left" vertical="center" wrapText="1" indent="2"/>
    </xf>
    <xf numFmtId="0" fontId="0" fillId="0" borderId="10" xfId="0" applyBorder="1" applyAlignment="1">
      <alignment horizontal="right" vertical="top" wrapText="1"/>
    </xf>
    <xf numFmtId="0" fontId="0" fillId="0" borderId="15" xfId="0" applyBorder="1" applyAlignment="1">
      <alignment horizontal="left" wrapText="1"/>
    </xf>
    <xf numFmtId="0" fontId="0" fillId="0" borderId="16" xfId="0" applyBorder="1" applyAlignment="1">
      <alignment horizontal="left" wrapText="1"/>
    </xf>
    <xf numFmtId="164" fontId="9" fillId="0" borderId="7" xfId="0" applyNumberFormat="1" applyFont="1" applyBorder="1" applyAlignment="1">
      <alignment horizontal="left" vertical="top" shrinkToFit="1"/>
    </xf>
    <xf numFmtId="0" fontId="0" fillId="0" borderId="7" xfId="0" applyBorder="1" applyAlignment="1">
      <alignment horizontal="left" vertical="center" wrapText="1"/>
    </xf>
    <xf numFmtId="4" fontId="9" fillId="0" borderId="7" xfId="0" applyNumberFormat="1" applyFont="1" applyBorder="1" applyAlignment="1">
      <alignment horizontal="right" vertical="top" shrinkToFit="1"/>
    </xf>
    <xf numFmtId="164" fontId="9" fillId="0" borderId="11" xfId="0" applyNumberFormat="1" applyFont="1" applyBorder="1" applyAlignment="1">
      <alignment horizontal="left" vertical="top" shrinkToFit="1"/>
    </xf>
    <xf numFmtId="4" fontId="9" fillId="0" borderId="11" xfId="0" applyNumberFormat="1" applyFont="1" applyBorder="1" applyAlignment="1">
      <alignment horizontal="right" vertical="top" shrinkToFit="1"/>
    </xf>
    <xf numFmtId="0" fontId="8" fillId="0" borderId="11" xfId="0" applyFont="1" applyBorder="1" applyAlignment="1">
      <alignment horizontal="right" vertical="top" wrapText="1"/>
    </xf>
    <xf numFmtId="164" fontId="9" fillId="0" borderId="11" xfId="0" applyNumberFormat="1" applyFont="1" applyBorder="1" applyAlignment="1">
      <alignment horizontal="left" vertical="center" shrinkToFit="1"/>
    </xf>
    <xf numFmtId="4" fontId="9" fillId="0" borderId="11" xfId="0" applyNumberFormat="1" applyFont="1" applyBorder="1" applyAlignment="1">
      <alignment horizontal="right" vertical="center" shrinkToFit="1"/>
    </xf>
    <xf numFmtId="0" fontId="8" fillId="0" borderId="11" xfId="0" applyFont="1" applyBorder="1" applyAlignment="1">
      <alignment horizontal="right" vertical="center" wrapText="1"/>
    </xf>
    <xf numFmtId="2" fontId="9" fillId="0" borderId="11" xfId="0" applyNumberFormat="1" applyFont="1" applyBorder="1" applyAlignment="1">
      <alignment horizontal="right" vertical="center" shrinkToFit="1"/>
    </xf>
    <xf numFmtId="0" fontId="0" fillId="0" borderId="14" xfId="0" applyBorder="1" applyAlignment="1">
      <alignment horizontal="left" wrapText="1"/>
    </xf>
    <xf numFmtId="0" fontId="14" fillId="0" borderId="1" xfId="0" applyFont="1" applyBorder="1" applyAlignment="1">
      <alignment horizontal="left" vertical="top" wrapText="1"/>
    </xf>
    <xf numFmtId="0" fontId="0" fillId="0" borderId="2" xfId="0" applyBorder="1" applyAlignment="1">
      <alignment horizontal="left" vertical="center" wrapText="1"/>
    </xf>
    <xf numFmtId="0" fontId="14" fillId="0" borderId="2" xfId="0" applyFont="1" applyBorder="1" applyAlignment="1">
      <alignment horizontal="left" wrapText="1" indent="8"/>
    </xf>
    <xf numFmtId="0" fontId="0" fillId="0" borderId="3" xfId="0" applyBorder="1" applyAlignment="1">
      <alignment horizontal="left" vertical="center" wrapText="1"/>
    </xf>
    <xf numFmtId="2" fontId="9" fillId="0" borderId="11" xfId="0" applyNumberFormat="1" applyFont="1" applyBorder="1" applyAlignment="1">
      <alignment horizontal="right" vertical="top" shrinkToFit="1"/>
    </xf>
    <xf numFmtId="0" fontId="0" fillId="0" borderId="11" xfId="0" applyBorder="1" applyAlignment="1">
      <alignment horizontal="left" vertical="center" wrapText="1"/>
    </xf>
    <xf numFmtId="0" fontId="8" fillId="0" borderId="10" xfId="0" applyFont="1" applyBorder="1" applyAlignment="1">
      <alignment horizontal="right" vertical="center" wrapText="1"/>
    </xf>
    <xf numFmtId="4" fontId="9" fillId="0" borderId="10" xfId="0" applyNumberFormat="1" applyFont="1" applyBorder="1" applyAlignment="1">
      <alignment horizontal="left" vertical="center" indent="3" shrinkToFit="1"/>
    </xf>
    <xf numFmtId="0" fontId="0" fillId="0" borderId="10" xfId="0" applyBorder="1" applyAlignment="1">
      <alignment horizontal="left" vertical="top" wrapText="1" indent="3"/>
    </xf>
    <xf numFmtId="4" fontId="0" fillId="0" borderId="0" xfId="0" applyNumberFormat="1" applyAlignment="1">
      <alignment horizontal="left" vertical="top"/>
    </xf>
    <xf numFmtId="14" fontId="0" fillId="0" borderId="0" xfId="0" applyNumberFormat="1" applyAlignment="1">
      <alignment horizontal="left" vertical="top"/>
    </xf>
    <xf numFmtId="165" fontId="15" fillId="0" borderId="0" xfId="0" applyNumberFormat="1" applyFont="1" applyAlignment="1">
      <alignment horizontal="left" vertical="top"/>
    </xf>
    <xf numFmtId="0" fontId="15" fillId="0" borderId="0" xfId="0" applyFont="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2" fillId="0" borderId="17" xfId="0" applyFont="1" applyBorder="1" applyAlignment="1">
      <alignment horizontal="right" vertical="top" wrapText="1" indent="6"/>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7" xfId="0" applyBorder="1" applyAlignment="1">
      <alignment horizontal="left" vertical="top" wrapText="1" indent="4"/>
    </xf>
    <xf numFmtId="0" fontId="0" fillId="0" borderId="11" xfId="0" applyBorder="1" applyAlignment="1">
      <alignment horizontal="left" vertical="top" wrapText="1" indent="4"/>
    </xf>
    <xf numFmtId="0" fontId="0" fillId="0" borderId="14" xfId="0" applyBorder="1" applyAlignment="1">
      <alignment horizontal="left" vertical="top" wrapText="1" indent="4"/>
    </xf>
    <xf numFmtId="4" fontId="9" fillId="0" borderId="7" xfId="0" applyNumberFormat="1" applyFont="1" applyBorder="1" applyAlignment="1">
      <alignment horizontal="left" vertical="top" indent="2" shrinkToFit="1"/>
    </xf>
    <xf numFmtId="4" fontId="9" fillId="0" borderId="14" xfId="0" applyNumberFormat="1" applyFont="1" applyBorder="1" applyAlignment="1">
      <alignment horizontal="left" vertical="top" indent="2" shrinkToFit="1"/>
    </xf>
    <xf numFmtId="0" fontId="8" fillId="0" borderId="12" xfId="0" applyFont="1" applyBorder="1" applyAlignment="1">
      <alignment horizontal="left" vertical="center" wrapText="1" indent="1"/>
    </xf>
    <xf numFmtId="0" fontId="8" fillId="0" borderId="13" xfId="0" applyFont="1" applyBorder="1" applyAlignment="1">
      <alignment horizontal="left" vertical="center" wrapText="1" indent="1"/>
    </xf>
    <xf numFmtId="0" fontId="0" fillId="0" borderId="0" xfId="0" applyAlignment="1">
      <alignment horizontal="center" vertical="top" wrapTex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3" xfId="0" applyFont="1" applyBorder="1" applyAlignment="1">
      <alignment horizontal="left" vertical="top" wrapText="1" indent="1"/>
    </xf>
    <xf numFmtId="0" fontId="0" fillId="0" borderId="7" xfId="0" applyBorder="1" applyAlignment="1">
      <alignment horizontal="left" vertical="top" wrapText="1" indent="3"/>
    </xf>
    <xf numFmtId="0" fontId="0" fillId="0" borderId="11" xfId="0" applyBorder="1" applyAlignment="1">
      <alignment horizontal="left" vertical="top" wrapText="1" indent="3"/>
    </xf>
    <xf numFmtId="0" fontId="0" fillId="0" borderId="14" xfId="0" applyBorder="1" applyAlignment="1">
      <alignment horizontal="left" vertical="top" wrapText="1" indent="3"/>
    </xf>
    <xf numFmtId="4" fontId="9" fillId="0" borderId="7" xfId="0" applyNumberFormat="1" applyFont="1" applyBorder="1" applyAlignment="1">
      <alignment horizontal="left" vertical="top" indent="3" shrinkToFit="1"/>
    </xf>
    <xf numFmtId="4" fontId="9" fillId="0" borderId="14" xfId="0" applyNumberFormat="1" applyFont="1" applyBorder="1" applyAlignment="1">
      <alignment horizontal="left" vertical="top" indent="3" shrinkToFit="1"/>
    </xf>
    <xf numFmtId="164" fontId="9" fillId="0" borderId="7" xfId="0" applyNumberFormat="1" applyFont="1" applyBorder="1" applyAlignment="1">
      <alignment horizontal="left" vertical="top" shrinkToFit="1"/>
    </xf>
    <xf numFmtId="164" fontId="9" fillId="0" borderId="11" xfId="0" applyNumberFormat="1" applyFont="1" applyBorder="1" applyAlignment="1">
      <alignment horizontal="left" vertical="top" shrinkToFit="1"/>
    </xf>
    <xf numFmtId="164" fontId="9" fillId="0" borderId="14" xfId="0" applyNumberFormat="1" applyFont="1" applyBorder="1" applyAlignment="1">
      <alignment horizontal="left" vertical="top" shrinkToFit="1"/>
    </xf>
    <xf numFmtId="0" fontId="0" fillId="0" borderId="8" xfId="0" applyBorder="1" applyAlignment="1">
      <alignment horizontal="right" vertical="top" wrapText="1" indent="14"/>
    </xf>
    <xf numFmtId="0" fontId="0" fillId="0" borderId="9" xfId="0" applyBorder="1" applyAlignment="1">
      <alignment horizontal="right" vertical="top" wrapText="1" indent="14"/>
    </xf>
    <xf numFmtId="0" fontId="0" fillId="0" borderId="12" xfId="0" applyBorder="1" applyAlignment="1">
      <alignment horizontal="right" vertical="top" wrapText="1" indent="14"/>
    </xf>
    <xf numFmtId="0" fontId="0" fillId="0" borderId="13" xfId="0" applyBorder="1" applyAlignment="1">
      <alignment horizontal="right" vertical="top" wrapText="1" indent="14"/>
    </xf>
    <xf numFmtId="0" fontId="0" fillId="0" borderId="7" xfId="0" applyBorder="1" applyAlignment="1">
      <alignment horizontal="left" vertical="top" wrapText="1" indent="5"/>
    </xf>
    <xf numFmtId="0" fontId="0" fillId="0" borderId="11" xfId="0" applyBorder="1" applyAlignment="1">
      <alignment horizontal="left" vertical="top" wrapText="1" indent="5"/>
    </xf>
    <xf numFmtId="0" fontId="0" fillId="0" borderId="14" xfId="0" applyBorder="1" applyAlignment="1">
      <alignment horizontal="left" vertical="top" wrapText="1" indent="5"/>
    </xf>
    <xf numFmtId="1" fontId="9" fillId="0" borderId="12" xfId="0" applyNumberFormat="1" applyFont="1" applyBorder="1" applyAlignment="1">
      <alignment horizontal="left" vertical="top" indent="1" shrinkToFit="1"/>
    </xf>
    <xf numFmtId="1" fontId="9" fillId="0" borderId="13" xfId="0" applyNumberFormat="1" applyFont="1" applyBorder="1" applyAlignment="1">
      <alignment horizontal="left" vertical="top" indent="1" shrinkToFit="1"/>
    </xf>
    <xf numFmtId="0" fontId="0" fillId="0" borderId="7" xfId="0" applyBorder="1" applyAlignment="1">
      <alignment horizontal="right" vertical="top" wrapText="1"/>
    </xf>
    <xf numFmtId="0" fontId="0" fillId="0" borderId="11" xfId="0" applyBorder="1" applyAlignment="1">
      <alignment horizontal="right" vertical="top" wrapText="1"/>
    </xf>
    <xf numFmtId="0" fontId="0" fillId="0" borderId="14" xfId="0" applyBorder="1" applyAlignment="1">
      <alignment horizontal="right" vertical="top" wrapText="1"/>
    </xf>
    <xf numFmtId="4" fontId="9" fillId="0" borderId="7" xfId="0" applyNumberFormat="1" applyFont="1" applyBorder="1" applyAlignment="1">
      <alignment horizontal="left" vertical="center" indent="3" shrinkToFit="1"/>
    </xf>
    <xf numFmtId="4" fontId="9" fillId="0" borderId="14" xfId="0" applyNumberFormat="1" applyFont="1" applyBorder="1" applyAlignment="1">
      <alignment horizontal="left" vertical="center" indent="3"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123594</xdr:rowOff>
    </xdr:from>
    <xdr:to>
      <xdr:col>3</xdr:col>
      <xdr:colOff>466499</xdr:colOff>
      <xdr:row>26</xdr:row>
      <xdr:rowOff>89400</xdr:rowOff>
    </xdr:to>
    <xdr:pic>
      <xdr:nvPicPr>
        <xdr:cNvPr id="2" name="image1.jpeg">
          <a:extLst>
            <a:ext uri="{FF2B5EF4-FFF2-40B4-BE49-F238E27FC236}">
              <a16:creationId xmlns:a16="http://schemas.microsoft.com/office/drawing/2014/main" id="{49AF7D04-34DA-4C50-85D2-A59E79F896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953269"/>
          <a:ext cx="2000024" cy="3150331"/>
        </a:xfrm>
        <a:prstGeom prst="rect">
          <a:avLst/>
        </a:prstGeom>
      </xdr:spPr>
    </xdr:pic>
    <xdr:clientData/>
  </xdr:twoCellAnchor>
  <xdr:twoCellAnchor editAs="oneCell">
    <xdr:from>
      <xdr:col>2</xdr:col>
      <xdr:colOff>106680</xdr:colOff>
      <xdr:row>4</xdr:row>
      <xdr:rowOff>4957064</xdr:rowOff>
    </xdr:from>
    <xdr:to>
      <xdr:col>3</xdr:col>
      <xdr:colOff>554990</xdr:colOff>
      <xdr:row>5</xdr:row>
      <xdr:rowOff>35814</xdr:rowOff>
    </xdr:to>
    <xdr:sp macro="" textlink="">
      <xdr:nvSpPr>
        <xdr:cNvPr id="3" name="Shape 3">
          <a:extLst>
            <a:ext uri="{FF2B5EF4-FFF2-40B4-BE49-F238E27FC236}">
              <a16:creationId xmlns:a16="http://schemas.microsoft.com/office/drawing/2014/main" id="{FCDBB2C1-8EB1-47F8-B97B-25B985E6C0C6}"/>
            </a:ext>
          </a:extLst>
        </xdr:cNvPr>
        <xdr:cNvSpPr/>
      </xdr:nvSpPr>
      <xdr:spPr>
        <a:xfrm>
          <a:off x="1503680" y="6941439"/>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4</xdr:row>
      <xdr:rowOff>4957064</xdr:rowOff>
    </xdr:from>
    <xdr:to>
      <xdr:col>3</xdr:col>
      <xdr:colOff>2072739</xdr:colOff>
      <xdr:row>5</xdr:row>
      <xdr:rowOff>35814</xdr:rowOff>
    </xdr:to>
    <xdr:sp macro="" textlink="">
      <xdr:nvSpPr>
        <xdr:cNvPr id="4" name="Shape 4">
          <a:extLst>
            <a:ext uri="{FF2B5EF4-FFF2-40B4-BE49-F238E27FC236}">
              <a16:creationId xmlns:a16="http://schemas.microsoft.com/office/drawing/2014/main" id="{3D76021E-B9D2-430D-BF87-C8E04BE8ECDA}"/>
            </a:ext>
          </a:extLst>
        </xdr:cNvPr>
        <xdr:cNvSpPr/>
      </xdr:nvSpPr>
      <xdr:spPr>
        <a:xfrm>
          <a:off x="3132554" y="6941439"/>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0</xdr:col>
      <xdr:colOff>0</xdr:colOff>
      <xdr:row>11</xdr:row>
      <xdr:rowOff>5397</xdr:rowOff>
    </xdr:from>
    <xdr:to>
      <xdr:col>6</xdr:col>
      <xdr:colOff>638175</xdr:colOff>
      <xdr:row>11</xdr:row>
      <xdr:rowOff>5397</xdr:rowOff>
    </xdr:to>
    <xdr:sp macro="" textlink="">
      <xdr:nvSpPr>
        <xdr:cNvPr id="5" name="Shape 5">
          <a:extLst>
            <a:ext uri="{FF2B5EF4-FFF2-40B4-BE49-F238E27FC236}">
              <a16:creationId xmlns:a16="http://schemas.microsoft.com/office/drawing/2014/main" id="{2991C0EE-E16F-457D-92A4-298CB3CD4038}"/>
            </a:ext>
          </a:extLst>
        </xdr:cNvPr>
        <xdr:cNvSpPr/>
      </xdr:nvSpPr>
      <xdr:spPr>
        <a:xfrm>
          <a:off x="0" y="10070147"/>
          <a:ext cx="7419975" cy="0"/>
        </a:xfrm>
        <a:custGeom>
          <a:avLst/>
          <a:gdLst/>
          <a:ahLst/>
          <a:cxnLst/>
          <a:rect l="0" t="0" r="0" b="0"/>
          <a:pathLst>
            <a:path w="6480175">
              <a:moveTo>
                <a:pt x="0" y="0"/>
              </a:moveTo>
              <a:lnTo>
                <a:pt x="6480005" y="0"/>
              </a:lnTo>
            </a:path>
          </a:pathLst>
        </a:custGeom>
        <a:ln w="10795">
          <a:solidFill>
            <a:srgbClr val="000000"/>
          </a:solidFill>
        </a:ln>
      </xdr:spPr>
    </xdr:sp>
    <xdr:clientData/>
  </xdr:twoCellAnchor>
  <xdr:twoCellAnchor editAs="oneCell">
    <xdr:from>
      <xdr:col>2</xdr:col>
      <xdr:colOff>106680</xdr:colOff>
      <xdr:row>123</xdr:row>
      <xdr:rowOff>2671062</xdr:rowOff>
    </xdr:from>
    <xdr:to>
      <xdr:col>3</xdr:col>
      <xdr:colOff>554990</xdr:colOff>
      <xdr:row>124</xdr:row>
      <xdr:rowOff>35812</xdr:rowOff>
    </xdr:to>
    <xdr:sp macro="" textlink="">
      <xdr:nvSpPr>
        <xdr:cNvPr id="6" name="Shape 6">
          <a:extLst>
            <a:ext uri="{FF2B5EF4-FFF2-40B4-BE49-F238E27FC236}">
              <a16:creationId xmlns:a16="http://schemas.microsoft.com/office/drawing/2014/main" id="{C3CAB85E-31C4-462B-BBAB-C66288BD11C0}"/>
            </a:ext>
          </a:extLst>
        </xdr:cNvPr>
        <xdr:cNvSpPr/>
      </xdr:nvSpPr>
      <xdr:spPr>
        <a:xfrm>
          <a:off x="1503680" y="5965913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123</xdr:row>
      <xdr:rowOff>2671062</xdr:rowOff>
    </xdr:from>
    <xdr:to>
      <xdr:col>3</xdr:col>
      <xdr:colOff>2072739</xdr:colOff>
      <xdr:row>124</xdr:row>
      <xdr:rowOff>35812</xdr:rowOff>
    </xdr:to>
    <xdr:sp macro="" textlink="">
      <xdr:nvSpPr>
        <xdr:cNvPr id="7" name="Shape 7">
          <a:extLst>
            <a:ext uri="{FF2B5EF4-FFF2-40B4-BE49-F238E27FC236}">
              <a16:creationId xmlns:a16="http://schemas.microsoft.com/office/drawing/2014/main" id="{E8F224EB-A521-4929-9205-14C0432BE0A2}"/>
            </a:ext>
          </a:extLst>
        </xdr:cNvPr>
        <xdr:cNvSpPr/>
      </xdr:nvSpPr>
      <xdr:spPr>
        <a:xfrm>
          <a:off x="3132554" y="5965913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293</xdr:row>
      <xdr:rowOff>4499858</xdr:rowOff>
    </xdr:from>
    <xdr:to>
      <xdr:col>3</xdr:col>
      <xdr:colOff>554990</xdr:colOff>
      <xdr:row>294</xdr:row>
      <xdr:rowOff>35808</xdr:rowOff>
    </xdr:to>
    <xdr:sp macro="" textlink="">
      <xdr:nvSpPr>
        <xdr:cNvPr id="8" name="Shape 8">
          <a:extLst>
            <a:ext uri="{FF2B5EF4-FFF2-40B4-BE49-F238E27FC236}">
              <a16:creationId xmlns:a16="http://schemas.microsoft.com/office/drawing/2014/main" id="{FED4024B-B0C1-4187-9934-604BE5E24669}"/>
            </a:ext>
          </a:extLst>
        </xdr:cNvPr>
        <xdr:cNvSpPr/>
      </xdr:nvSpPr>
      <xdr:spPr>
        <a:xfrm>
          <a:off x="1503680" y="133576308"/>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293</xdr:row>
      <xdr:rowOff>4499858</xdr:rowOff>
    </xdr:from>
    <xdr:to>
      <xdr:col>3</xdr:col>
      <xdr:colOff>2072739</xdr:colOff>
      <xdr:row>294</xdr:row>
      <xdr:rowOff>35808</xdr:rowOff>
    </xdr:to>
    <xdr:sp macro="" textlink="">
      <xdr:nvSpPr>
        <xdr:cNvPr id="9" name="Shape 9">
          <a:extLst>
            <a:ext uri="{FF2B5EF4-FFF2-40B4-BE49-F238E27FC236}">
              <a16:creationId xmlns:a16="http://schemas.microsoft.com/office/drawing/2014/main" id="{EEAB4C4A-0B37-4042-B550-2C508C2F40A1}"/>
            </a:ext>
          </a:extLst>
        </xdr:cNvPr>
        <xdr:cNvSpPr/>
      </xdr:nvSpPr>
      <xdr:spPr>
        <a:xfrm>
          <a:off x="3132554" y="133576308"/>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557</xdr:row>
      <xdr:rowOff>2213855</xdr:rowOff>
    </xdr:from>
    <xdr:to>
      <xdr:col>3</xdr:col>
      <xdr:colOff>554990</xdr:colOff>
      <xdr:row>558</xdr:row>
      <xdr:rowOff>35805</xdr:rowOff>
    </xdr:to>
    <xdr:sp macro="" textlink="">
      <xdr:nvSpPr>
        <xdr:cNvPr id="10" name="Shape 10">
          <a:extLst>
            <a:ext uri="{FF2B5EF4-FFF2-40B4-BE49-F238E27FC236}">
              <a16:creationId xmlns:a16="http://schemas.microsoft.com/office/drawing/2014/main" id="{57E10F1D-D9CB-4609-9C11-8F0BFE26BC16}"/>
            </a:ext>
          </a:extLst>
        </xdr:cNvPr>
        <xdr:cNvSpPr/>
      </xdr:nvSpPr>
      <xdr:spPr>
        <a:xfrm>
          <a:off x="1503680" y="247904880"/>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557</xdr:row>
      <xdr:rowOff>2213855</xdr:rowOff>
    </xdr:from>
    <xdr:to>
      <xdr:col>3</xdr:col>
      <xdr:colOff>2072739</xdr:colOff>
      <xdr:row>558</xdr:row>
      <xdr:rowOff>35805</xdr:rowOff>
    </xdr:to>
    <xdr:sp macro="" textlink="">
      <xdr:nvSpPr>
        <xdr:cNvPr id="11" name="Shape 11">
          <a:extLst>
            <a:ext uri="{FF2B5EF4-FFF2-40B4-BE49-F238E27FC236}">
              <a16:creationId xmlns:a16="http://schemas.microsoft.com/office/drawing/2014/main" id="{352EC222-5842-4CFB-8003-A96CB7C1F049}"/>
            </a:ext>
          </a:extLst>
        </xdr:cNvPr>
        <xdr:cNvSpPr/>
      </xdr:nvSpPr>
      <xdr:spPr>
        <a:xfrm>
          <a:off x="3132554" y="247904880"/>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653</xdr:row>
      <xdr:rowOff>2213861</xdr:rowOff>
    </xdr:from>
    <xdr:to>
      <xdr:col>3</xdr:col>
      <xdr:colOff>554990</xdr:colOff>
      <xdr:row>654</xdr:row>
      <xdr:rowOff>35811</xdr:rowOff>
    </xdr:to>
    <xdr:sp macro="" textlink="">
      <xdr:nvSpPr>
        <xdr:cNvPr id="12" name="Shape 12">
          <a:extLst>
            <a:ext uri="{FF2B5EF4-FFF2-40B4-BE49-F238E27FC236}">
              <a16:creationId xmlns:a16="http://schemas.microsoft.com/office/drawing/2014/main" id="{F9ADC1DD-7E98-4C74-8380-25A02B34AE67}"/>
            </a:ext>
          </a:extLst>
        </xdr:cNvPr>
        <xdr:cNvSpPr/>
      </xdr:nvSpPr>
      <xdr:spPr>
        <a:xfrm>
          <a:off x="1503680" y="29284383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653</xdr:row>
      <xdr:rowOff>2213861</xdr:rowOff>
    </xdr:from>
    <xdr:to>
      <xdr:col>3</xdr:col>
      <xdr:colOff>2072739</xdr:colOff>
      <xdr:row>654</xdr:row>
      <xdr:rowOff>35811</xdr:rowOff>
    </xdr:to>
    <xdr:sp macro="" textlink="">
      <xdr:nvSpPr>
        <xdr:cNvPr id="13" name="Shape 13">
          <a:extLst>
            <a:ext uri="{FF2B5EF4-FFF2-40B4-BE49-F238E27FC236}">
              <a16:creationId xmlns:a16="http://schemas.microsoft.com/office/drawing/2014/main" id="{77850DD8-3690-4EB0-8E9F-11C9E5C8CE3E}"/>
            </a:ext>
          </a:extLst>
        </xdr:cNvPr>
        <xdr:cNvSpPr/>
      </xdr:nvSpPr>
      <xdr:spPr>
        <a:xfrm>
          <a:off x="3132554" y="29284383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705</xdr:row>
      <xdr:rowOff>4042670</xdr:rowOff>
    </xdr:from>
    <xdr:to>
      <xdr:col>3</xdr:col>
      <xdr:colOff>554990</xdr:colOff>
      <xdr:row>706</xdr:row>
      <xdr:rowOff>35820</xdr:rowOff>
    </xdr:to>
    <xdr:sp macro="" textlink="">
      <xdr:nvSpPr>
        <xdr:cNvPr id="14" name="Shape 14">
          <a:extLst>
            <a:ext uri="{FF2B5EF4-FFF2-40B4-BE49-F238E27FC236}">
              <a16:creationId xmlns:a16="http://schemas.microsoft.com/office/drawing/2014/main" id="{56C31904-40B9-4265-B5F7-67FB65E7C44F}"/>
            </a:ext>
          </a:extLst>
        </xdr:cNvPr>
        <xdr:cNvSpPr/>
      </xdr:nvSpPr>
      <xdr:spPr>
        <a:xfrm>
          <a:off x="1503680" y="32157124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705</xdr:row>
      <xdr:rowOff>4042670</xdr:rowOff>
    </xdr:from>
    <xdr:to>
      <xdr:col>3</xdr:col>
      <xdr:colOff>2072739</xdr:colOff>
      <xdr:row>706</xdr:row>
      <xdr:rowOff>35820</xdr:rowOff>
    </xdr:to>
    <xdr:sp macro="" textlink="">
      <xdr:nvSpPr>
        <xdr:cNvPr id="15" name="Shape 15">
          <a:extLst>
            <a:ext uri="{FF2B5EF4-FFF2-40B4-BE49-F238E27FC236}">
              <a16:creationId xmlns:a16="http://schemas.microsoft.com/office/drawing/2014/main" id="{12E15AAB-6D1B-4CEF-947B-8EE847D4DD95}"/>
            </a:ext>
          </a:extLst>
        </xdr:cNvPr>
        <xdr:cNvSpPr/>
      </xdr:nvSpPr>
      <xdr:spPr>
        <a:xfrm>
          <a:off x="3132554" y="32157124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737</xdr:row>
      <xdr:rowOff>1756667</xdr:rowOff>
    </xdr:from>
    <xdr:to>
      <xdr:col>3</xdr:col>
      <xdr:colOff>554990</xdr:colOff>
      <xdr:row>738</xdr:row>
      <xdr:rowOff>35817</xdr:rowOff>
    </xdr:to>
    <xdr:sp macro="" textlink="">
      <xdr:nvSpPr>
        <xdr:cNvPr id="16" name="Shape 16">
          <a:extLst>
            <a:ext uri="{FF2B5EF4-FFF2-40B4-BE49-F238E27FC236}">
              <a16:creationId xmlns:a16="http://schemas.microsoft.com/office/drawing/2014/main" id="{8EEE5258-6FC9-407B-8CA4-EC2A2E2076DB}"/>
            </a:ext>
          </a:extLst>
        </xdr:cNvPr>
        <xdr:cNvSpPr/>
      </xdr:nvSpPr>
      <xdr:spPr>
        <a:xfrm>
          <a:off x="1503680" y="33727796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737</xdr:row>
      <xdr:rowOff>1756667</xdr:rowOff>
    </xdr:from>
    <xdr:to>
      <xdr:col>3</xdr:col>
      <xdr:colOff>2072739</xdr:colOff>
      <xdr:row>738</xdr:row>
      <xdr:rowOff>35817</xdr:rowOff>
    </xdr:to>
    <xdr:sp macro="" textlink="">
      <xdr:nvSpPr>
        <xdr:cNvPr id="17" name="Shape 17">
          <a:extLst>
            <a:ext uri="{FF2B5EF4-FFF2-40B4-BE49-F238E27FC236}">
              <a16:creationId xmlns:a16="http://schemas.microsoft.com/office/drawing/2014/main" id="{623CDD77-1C51-4ED4-9D75-884AFCFB7E3C}"/>
            </a:ext>
          </a:extLst>
        </xdr:cNvPr>
        <xdr:cNvSpPr/>
      </xdr:nvSpPr>
      <xdr:spPr>
        <a:xfrm>
          <a:off x="3132554" y="33727796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789</xdr:row>
      <xdr:rowOff>842276</xdr:rowOff>
    </xdr:from>
    <xdr:to>
      <xdr:col>3</xdr:col>
      <xdr:colOff>554990</xdr:colOff>
      <xdr:row>790</xdr:row>
      <xdr:rowOff>35826</xdr:rowOff>
    </xdr:to>
    <xdr:sp macro="" textlink="">
      <xdr:nvSpPr>
        <xdr:cNvPr id="18" name="Shape 18">
          <a:extLst>
            <a:ext uri="{FF2B5EF4-FFF2-40B4-BE49-F238E27FC236}">
              <a16:creationId xmlns:a16="http://schemas.microsoft.com/office/drawing/2014/main" id="{7E71B432-8BFF-4320-A0BD-D53121258FD9}"/>
            </a:ext>
          </a:extLst>
        </xdr:cNvPr>
        <xdr:cNvSpPr/>
      </xdr:nvSpPr>
      <xdr:spPr>
        <a:xfrm>
          <a:off x="1503680" y="36326217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789</xdr:row>
      <xdr:rowOff>842276</xdr:rowOff>
    </xdr:from>
    <xdr:to>
      <xdr:col>3</xdr:col>
      <xdr:colOff>2072739</xdr:colOff>
      <xdr:row>790</xdr:row>
      <xdr:rowOff>35826</xdr:rowOff>
    </xdr:to>
    <xdr:sp macro="" textlink="">
      <xdr:nvSpPr>
        <xdr:cNvPr id="19" name="Shape 19">
          <a:extLst>
            <a:ext uri="{FF2B5EF4-FFF2-40B4-BE49-F238E27FC236}">
              <a16:creationId xmlns:a16="http://schemas.microsoft.com/office/drawing/2014/main" id="{7BEFB099-790D-4C99-BC6B-116C2739150C}"/>
            </a:ext>
          </a:extLst>
        </xdr:cNvPr>
        <xdr:cNvSpPr/>
      </xdr:nvSpPr>
      <xdr:spPr>
        <a:xfrm>
          <a:off x="3132554" y="36326217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904</xdr:row>
      <xdr:rowOff>3128268</xdr:rowOff>
    </xdr:from>
    <xdr:to>
      <xdr:col>3</xdr:col>
      <xdr:colOff>554990</xdr:colOff>
      <xdr:row>905</xdr:row>
      <xdr:rowOff>35818</xdr:rowOff>
    </xdr:to>
    <xdr:sp macro="" textlink="">
      <xdr:nvSpPr>
        <xdr:cNvPr id="20" name="Shape 20">
          <a:extLst>
            <a:ext uri="{FF2B5EF4-FFF2-40B4-BE49-F238E27FC236}">
              <a16:creationId xmlns:a16="http://schemas.microsoft.com/office/drawing/2014/main" id="{17EAB132-2175-435F-83FC-CDDD03CDCC0D}"/>
            </a:ext>
          </a:extLst>
        </xdr:cNvPr>
        <xdr:cNvSpPr/>
      </xdr:nvSpPr>
      <xdr:spPr>
        <a:xfrm>
          <a:off x="1503680" y="419335843"/>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904</xdr:row>
      <xdr:rowOff>3128268</xdr:rowOff>
    </xdr:from>
    <xdr:to>
      <xdr:col>3</xdr:col>
      <xdr:colOff>2072739</xdr:colOff>
      <xdr:row>905</xdr:row>
      <xdr:rowOff>35818</xdr:rowOff>
    </xdr:to>
    <xdr:sp macro="" textlink="">
      <xdr:nvSpPr>
        <xdr:cNvPr id="21" name="Shape 21">
          <a:extLst>
            <a:ext uri="{FF2B5EF4-FFF2-40B4-BE49-F238E27FC236}">
              <a16:creationId xmlns:a16="http://schemas.microsoft.com/office/drawing/2014/main" id="{0C6B3545-FBBC-487F-860A-709C925985DE}"/>
            </a:ext>
          </a:extLst>
        </xdr:cNvPr>
        <xdr:cNvSpPr/>
      </xdr:nvSpPr>
      <xdr:spPr>
        <a:xfrm>
          <a:off x="3132554" y="419335843"/>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1166</xdr:row>
      <xdr:rowOff>1299440</xdr:rowOff>
    </xdr:from>
    <xdr:to>
      <xdr:col>3</xdr:col>
      <xdr:colOff>554990</xdr:colOff>
      <xdr:row>1167</xdr:row>
      <xdr:rowOff>35790</xdr:rowOff>
    </xdr:to>
    <xdr:sp macro="" textlink="">
      <xdr:nvSpPr>
        <xdr:cNvPr id="22" name="Shape 22">
          <a:extLst>
            <a:ext uri="{FF2B5EF4-FFF2-40B4-BE49-F238E27FC236}">
              <a16:creationId xmlns:a16="http://schemas.microsoft.com/office/drawing/2014/main" id="{06D3D85C-B222-4C18-B8A5-2C1CA9704569}"/>
            </a:ext>
          </a:extLst>
        </xdr:cNvPr>
        <xdr:cNvSpPr/>
      </xdr:nvSpPr>
      <xdr:spPr>
        <a:xfrm>
          <a:off x="1503680" y="53403586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1166</xdr:row>
      <xdr:rowOff>1299440</xdr:rowOff>
    </xdr:from>
    <xdr:to>
      <xdr:col>3</xdr:col>
      <xdr:colOff>2072739</xdr:colOff>
      <xdr:row>1167</xdr:row>
      <xdr:rowOff>35790</xdr:rowOff>
    </xdr:to>
    <xdr:sp macro="" textlink="">
      <xdr:nvSpPr>
        <xdr:cNvPr id="23" name="Shape 23">
          <a:extLst>
            <a:ext uri="{FF2B5EF4-FFF2-40B4-BE49-F238E27FC236}">
              <a16:creationId xmlns:a16="http://schemas.microsoft.com/office/drawing/2014/main" id="{AE368AB7-E499-4B73-AA5E-739C104266EA}"/>
            </a:ext>
          </a:extLst>
        </xdr:cNvPr>
        <xdr:cNvSpPr/>
      </xdr:nvSpPr>
      <xdr:spPr>
        <a:xfrm>
          <a:off x="3132554" y="53403586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1387</xdr:row>
      <xdr:rowOff>3585439</xdr:rowOff>
    </xdr:from>
    <xdr:to>
      <xdr:col>3</xdr:col>
      <xdr:colOff>554990</xdr:colOff>
      <xdr:row>1388</xdr:row>
      <xdr:rowOff>35789</xdr:rowOff>
    </xdr:to>
    <xdr:sp macro="" textlink="">
      <xdr:nvSpPr>
        <xdr:cNvPr id="24" name="Shape 24">
          <a:extLst>
            <a:ext uri="{FF2B5EF4-FFF2-40B4-BE49-F238E27FC236}">
              <a16:creationId xmlns:a16="http://schemas.microsoft.com/office/drawing/2014/main" id="{AEC322CC-C2B3-4AA3-8F90-421049A553F6}"/>
            </a:ext>
          </a:extLst>
        </xdr:cNvPr>
        <xdr:cNvSpPr/>
      </xdr:nvSpPr>
      <xdr:spPr>
        <a:xfrm>
          <a:off x="1503680" y="634981814"/>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1387</xdr:row>
      <xdr:rowOff>3585439</xdr:rowOff>
    </xdr:from>
    <xdr:to>
      <xdr:col>3</xdr:col>
      <xdr:colOff>2072739</xdr:colOff>
      <xdr:row>1388</xdr:row>
      <xdr:rowOff>35789</xdr:rowOff>
    </xdr:to>
    <xdr:sp macro="" textlink="">
      <xdr:nvSpPr>
        <xdr:cNvPr id="25" name="Shape 25">
          <a:extLst>
            <a:ext uri="{FF2B5EF4-FFF2-40B4-BE49-F238E27FC236}">
              <a16:creationId xmlns:a16="http://schemas.microsoft.com/office/drawing/2014/main" id="{83141CAF-DAA8-49CB-BBCE-F96CA7D23052}"/>
            </a:ext>
          </a:extLst>
        </xdr:cNvPr>
        <xdr:cNvSpPr/>
      </xdr:nvSpPr>
      <xdr:spPr>
        <a:xfrm>
          <a:off x="3132554" y="634981814"/>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106680</xdr:colOff>
      <xdr:row>3</xdr:row>
      <xdr:rowOff>0</xdr:rowOff>
    </xdr:from>
    <xdr:to>
      <xdr:col>2</xdr:col>
      <xdr:colOff>558165</xdr:colOff>
      <xdr:row>3</xdr:row>
      <xdr:rowOff>34925</xdr:rowOff>
    </xdr:to>
    <xdr:sp macro="" textlink="">
      <xdr:nvSpPr>
        <xdr:cNvPr id="2" name="Shape 8">
          <a:extLst>
            <a:ext uri="{FF2B5EF4-FFF2-40B4-BE49-F238E27FC236}">
              <a16:creationId xmlns:a16="http://schemas.microsoft.com/office/drawing/2014/main" id="{1E6BD0CF-9ABF-4A20-8EEB-E7901EFD6B5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 name="Shape 9">
          <a:extLst>
            <a:ext uri="{FF2B5EF4-FFF2-40B4-BE49-F238E27FC236}">
              <a16:creationId xmlns:a16="http://schemas.microsoft.com/office/drawing/2014/main" id="{91291361-F46A-4835-9E26-6AB3703BFA4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4" name="Shape 10">
          <a:extLst>
            <a:ext uri="{FF2B5EF4-FFF2-40B4-BE49-F238E27FC236}">
              <a16:creationId xmlns:a16="http://schemas.microsoft.com/office/drawing/2014/main" id="{75B4F18D-B7A9-4CE9-9957-F9206B69F02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5" name="Shape 11">
          <a:extLst>
            <a:ext uri="{FF2B5EF4-FFF2-40B4-BE49-F238E27FC236}">
              <a16:creationId xmlns:a16="http://schemas.microsoft.com/office/drawing/2014/main" id="{6BED20DF-4BBB-4D9E-9930-EC9CC100B1F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 name="Shape 12">
          <a:extLst>
            <a:ext uri="{FF2B5EF4-FFF2-40B4-BE49-F238E27FC236}">
              <a16:creationId xmlns:a16="http://schemas.microsoft.com/office/drawing/2014/main" id="{F5B68661-F645-4F8F-9BF4-188E64CC06F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 name="Shape 13">
          <a:extLst>
            <a:ext uri="{FF2B5EF4-FFF2-40B4-BE49-F238E27FC236}">
              <a16:creationId xmlns:a16="http://schemas.microsoft.com/office/drawing/2014/main" id="{46C48F7D-45E5-44E8-B6C9-ACC2AB2882B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 name="Shape 14">
          <a:extLst>
            <a:ext uri="{FF2B5EF4-FFF2-40B4-BE49-F238E27FC236}">
              <a16:creationId xmlns:a16="http://schemas.microsoft.com/office/drawing/2014/main" id="{7D7E2C46-E615-4C0E-BD43-6C76602CF6F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 name="Shape 15">
          <a:extLst>
            <a:ext uri="{FF2B5EF4-FFF2-40B4-BE49-F238E27FC236}">
              <a16:creationId xmlns:a16="http://schemas.microsoft.com/office/drawing/2014/main" id="{049CACD9-750D-4449-9D57-FB3342724A6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 name="Shape 16">
          <a:extLst>
            <a:ext uri="{FF2B5EF4-FFF2-40B4-BE49-F238E27FC236}">
              <a16:creationId xmlns:a16="http://schemas.microsoft.com/office/drawing/2014/main" id="{CE0045E8-E993-478E-A47D-4ECAC3935AC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 name="Shape 17">
          <a:extLst>
            <a:ext uri="{FF2B5EF4-FFF2-40B4-BE49-F238E27FC236}">
              <a16:creationId xmlns:a16="http://schemas.microsoft.com/office/drawing/2014/main" id="{90C3C6B1-4791-4011-8EEF-6B11A6A8AC1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 name="Shape 18">
          <a:extLst>
            <a:ext uri="{FF2B5EF4-FFF2-40B4-BE49-F238E27FC236}">
              <a16:creationId xmlns:a16="http://schemas.microsoft.com/office/drawing/2014/main" id="{D65A67F1-F3B8-48E7-9D65-27C8C1749EA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 name="Shape 19">
          <a:extLst>
            <a:ext uri="{FF2B5EF4-FFF2-40B4-BE49-F238E27FC236}">
              <a16:creationId xmlns:a16="http://schemas.microsoft.com/office/drawing/2014/main" id="{94E19C6A-2C58-44C8-B915-C21E5898381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 name="Shape 20">
          <a:extLst>
            <a:ext uri="{FF2B5EF4-FFF2-40B4-BE49-F238E27FC236}">
              <a16:creationId xmlns:a16="http://schemas.microsoft.com/office/drawing/2014/main" id="{B25B73B2-26F1-42B6-AB36-F4481154C79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 name="Shape 21">
          <a:extLst>
            <a:ext uri="{FF2B5EF4-FFF2-40B4-BE49-F238E27FC236}">
              <a16:creationId xmlns:a16="http://schemas.microsoft.com/office/drawing/2014/main" id="{86425DAB-6A38-4620-8851-AF0859BF47B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6" name="Shape 22">
          <a:extLst>
            <a:ext uri="{FF2B5EF4-FFF2-40B4-BE49-F238E27FC236}">
              <a16:creationId xmlns:a16="http://schemas.microsoft.com/office/drawing/2014/main" id="{C5F9803E-5935-4648-B4C8-8653B74D722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7" name="Shape 23">
          <a:extLst>
            <a:ext uri="{FF2B5EF4-FFF2-40B4-BE49-F238E27FC236}">
              <a16:creationId xmlns:a16="http://schemas.microsoft.com/office/drawing/2014/main" id="{03B54A00-B188-45BC-A9D9-21980D8853D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 name="Shape 8">
          <a:extLst>
            <a:ext uri="{FF2B5EF4-FFF2-40B4-BE49-F238E27FC236}">
              <a16:creationId xmlns:a16="http://schemas.microsoft.com/office/drawing/2014/main" id="{41CDAA06-F16C-4934-A460-8C3C7F8281D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 name="Shape 9">
          <a:extLst>
            <a:ext uri="{FF2B5EF4-FFF2-40B4-BE49-F238E27FC236}">
              <a16:creationId xmlns:a16="http://schemas.microsoft.com/office/drawing/2014/main" id="{1F34C4EB-3199-43CE-9696-62B7F808486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0" name="Shape 10">
          <a:extLst>
            <a:ext uri="{FF2B5EF4-FFF2-40B4-BE49-F238E27FC236}">
              <a16:creationId xmlns:a16="http://schemas.microsoft.com/office/drawing/2014/main" id="{66167A56-5995-452F-A5DC-2E8DF3F8AFF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 name="Shape 11">
          <a:extLst>
            <a:ext uri="{FF2B5EF4-FFF2-40B4-BE49-F238E27FC236}">
              <a16:creationId xmlns:a16="http://schemas.microsoft.com/office/drawing/2014/main" id="{F8BC0B01-D035-4F32-A754-1C418BF340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 name="Shape 12">
          <a:extLst>
            <a:ext uri="{FF2B5EF4-FFF2-40B4-BE49-F238E27FC236}">
              <a16:creationId xmlns:a16="http://schemas.microsoft.com/office/drawing/2014/main" id="{93AEBE0B-55A8-4709-B060-D3A802AAE2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 name="Shape 13">
          <a:extLst>
            <a:ext uri="{FF2B5EF4-FFF2-40B4-BE49-F238E27FC236}">
              <a16:creationId xmlns:a16="http://schemas.microsoft.com/office/drawing/2014/main" id="{A590D679-0B38-4D78-ACE7-FE2E3D3FD45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 name="Shape 14">
          <a:extLst>
            <a:ext uri="{FF2B5EF4-FFF2-40B4-BE49-F238E27FC236}">
              <a16:creationId xmlns:a16="http://schemas.microsoft.com/office/drawing/2014/main" id="{642BD53E-30EA-4758-B594-DE04739F049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5" name="Shape 15">
          <a:extLst>
            <a:ext uri="{FF2B5EF4-FFF2-40B4-BE49-F238E27FC236}">
              <a16:creationId xmlns:a16="http://schemas.microsoft.com/office/drawing/2014/main" id="{4DC4FF59-2786-4230-9932-2AF642B9983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6" name="Shape 16">
          <a:extLst>
            <a:ext uri="{FF2B5EF4-FFF2-40B4-BE49-F238E27FC236}">
              <a16:creationId xmlns:a16="http://schemas.microsoft.com/office/drawing/2014/main" id="{71339D7F-4C10-4CD8-9468-ED852DB8BDB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7" name="Shape 17">
          <a:extLst>
            <a:ext uri="{FF2B5EF4-FFF2-40B4-BE49-F238E27FC236}">
              <a16:creationId xmlns:a16="http://schemas.microsoft.com/office/drawing/2014/main" id="{8C61BBEE-F42F-4A21-8719-A0A42EEBB24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8" name="Shape 18">
          <a:extLst>
            <a:ext uri="{FF2B5EF4-FFF2-40B4-BE49-F238E27FC236}">
              <a16:creationId xmlns:a16="http://schemas.microsoft.com/office/drawing/2014/main" id="{78D72A07-2685-4728-9155-7FA294FA390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9" name="Shape 19">
          <a:extLst>
            <a:ext uri="{FF2B5EF4-FFF2-40B4-BE49-F238E27FC236}">
              <a16:creationId xmlns:a16="http://schemas.microsoft.com/office/drawing/2014/main" id="{E60443BA-C6AA-4437-8A52-78EB0A0C702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0" name="Shape 20">
          <a:extLst>
            <a:ext uri="{FF2B5EF4-FFF2-40B4-BE49-F238E27FC236}">
              <a16:creationId xmlns:a16="http://schemas.microsoft.com/office/drawing/2014/main" id="{ECFC054A-42BF-4204-B411-A29B574A5E3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1" name="Shape 21">
          <a:extLst>
            <a:ext uri="{FF2B5EF4-FFF2-40B4-BE49-F238E27FC236}">
              <a16:creationId xmlns:a16="http://schemas.microsoft.com/office/drawing/2014/main" id="{7D347A26-D4B7-4631-AEB8-2C3462D1D73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 name="Shape 22">
          <a:extLst>
            <a:ext uri="{FF2B5EF4-FFF2-40B4-BE49-F238E27FC236}">
              <a16:creationId xmlns:a16="http://schemas.microsoft.com/office/drawing/2014/main" id="{59D05371-0522-46C3-B246-D0D1B5BB30E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 name="Shape 23">
          <a:extLst>
            <a:ext uri="{FF2B5EF4-FFF2-40B4-BE49-F238E27FC236}">
              <a16:creationId xmlns:a16="http://schemas.microsoft.com/office/drawing/2014/main" id="{BF8A9838-2598-45CD-B541-52439DCB5FD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 name="Shape 8">
          <a:extLst>
            <a:ext uri="{FF2B5EF4-FFF2-40B4-BE49-F238E27FC236}">
              <a16:creationId xmlns:a16="http://schemas.microsoft.com/office/drawing/2014/main" id="{9C2E4603-474A-4FDD-8511-2EAF722EDE9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 name="Shape 9">
          <a:extLst>
            <a:ext uri="{FF2B5EF4-FFF2-40B4-BE49-F238E27FC236}">
              <a16:creationId xmlns:a16="http://schemas.microsoft.com/office/drawing/2014/main" id="{7FF1CCDF-844D-44C4-92D6-2452632B902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6" name="Shape 10">
          <a:extLst>
            <a:ext uri="{FF2B5EF4-FFF2-40B4-BE49-F238E27FC236}">
              <a16:creationId xmlns:a16="http://schemas.microsoft.com/office/drawing/2014/main" id="{F24013FF-1100-40B7-A83D-9B5B61EC202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7" name="Shape 11">
          <a:extLst>
            <a:ext uri="{FF2B5EF4-FFF2-40B4-BE49-F238E27FC236}">
              <a16:creationId xmlns:a16="http://schemas.microsoft.com/office/drawing/2014/main" id="{DF57067D-8DB1-4EBF-B1DE-464D468F697C}"/>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8" name="Shape 12">
          <a:extLst>
            <a:ext uri="{FF2B5EF4-FFF2-40B4-BE49-F238E27FC236}">
              <a16:creationId xmlns:a16="http://schemas.microsoft.com/office/drawing/2014/main" id="{B29CC85F-76EF-424F-B75D-31AE05FD17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9" name="Shape 13">
          <a:extLst>
            <a:ext uri="{FF2B5EF4-FFF2-40B4-BE49-F238E27FC236}">
              <a16:creationId xmlns:a16="http://schemas.microsoft.com/office/drawing/2014/main" id="{60291D1A-08D3-4726-9322-2722F595BD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0" name="Shape 14">
          <a:extLst>
            <a:ext uri="{FF2B5EF4-FFF2-40B4-BE49-F238E27FC236}">
              <a16:creationId xmlns:a16="http://schemas.microsoft.com/office/drawing/2014/main" id="{99463C86-5DD0-4227-8CEB-07DD6D23A9F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1" name="Shape 15">
          <a:extLst>
            <a:ext uri="{FF2B5EF4-FFF2-40B4-BE49-F238E27FC236}">
              <a16:creationId xmlns:a16="http://schemas.microsoft.com/office/drawing/2014/main" id="{6BF87657-1DDF-4D93-86AA-53156D5E723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2" name="Shape 16">
          <a:extLst>
            <a:ext uri="{FF2B5EF4-FFF2-40B4-BE49-F238E27FC236}">
              <a16:creationId xmlns:a16="http://schemas.microsoft.com/office/drawing/2014/main" id="{92569921-A7A8-4DF7-865A-7612CF7D087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3" name="Shape 17">
          <a:extLst>
            <a:ext uri="{FF2B5EF4-FFF2-40B4-BE49-F238E27FC236}">
              <a16:creationId xmlns:a16="http://schemas.microsoft.com/office/drawing/2014/main" id="{AB710DE9-4BA6-4F15-B94E-18262F9E43B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4" name="Shape 18">
          <a:extLst>
            <a:ext uri="{FF2B5EF4-FFF2-40B4-BE49-F238E27FC236}">
              <a16:creationId xmlns:a16="http://schemas.microsoft.com/office/drawing/2014/main" id="{077A6F51-77CF-49AB-A607-362CCFF9316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5" name="Shape 19">
          <a:extLst>
            <a:ext uri="{FF2B5EF4-FFF2-40B4-BE49-F238E27FC236}">
              <a16:creationId xmlns:a16="http://schemas.microsoft.com/office/drawing/2014/main" id="{28522C95-EA52-417C-B156-AA923A800CB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6" name="Shape 20">
          <a:extLst>
            <a:ext uri="{FF2B5EF4-FFF2-40B4-BE49-F238E27FC236}">
              <a16:creationId xmlns:a16="http://schemas.microsoft.com/office/drawing/2014/main" id="{EBAA729D-7E85-42E7-BCC1-9E9F6DA20C8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7" name="Shape 21">
          <a:extLst>
            <a:ext uri="{FF2B5EF4-FFF2-40B4-BE49-F238E27FC236}">
              <a16:creationId xmlns:a16="http://schemas.microsoft.com/office/drawing/2014/main" id="{5FAE424D-16F8-401F-B886-92D45A97E71B}"/>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8" name="Shape 22">
          <a:extLst>
            <a:ext uri="{FF2B5EF4-FFF2-40B4-BE49-F238E27FC236}">
              <a16:creationId xmlns:a16="http://schemas.microsoft.com/office/drawing/2014/main" id="{34CBE1DC-D041-424A-A8A4-C823DDF7B43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9" name="Shape 23">
          <a:extLst>
            <a:ext uri="{FF2B5EF4-FFF2-40B4-BE49-F238E27FC236}">
              <a16:creationId xmlns:a16="http://schemas.microsoft.com/office/drawing/2014/main" id="{27D37980-79D5-4871-852D-5E9248BCD4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0" name="Shape 8">
          <a:extLst>
            <a:ext uri="{FF2B5EF4-FFF2-40B4-BE49-F238E27FC236}">
              <a16:creationId xmlns:a16="http://schemas.microsoft.com/office/drawing/2014/main" id="{57587483-9884-44AB-AA65-D628F3CA230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1" name="Shape 9">
          <a:extLst>
            <a:ext uri="{FF2B5EF4-FFF2-40B4-BE49-F238E27FC236}">
              <a16:creationId xmlns:a16="http://schemas.microsoft.com/office/drawing/2014/main" id="{39D9608A-88FD-4F3E-AC48-BFF6EF479D9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2" name="Shape 10">
          <a:extLst>
            <a:ext uri="{FF2B5EF4-FFF2-40B4-BE49-F238E27FC236}">
              <a16:creationId xmlns:a16="http://schemas.microsoft.com/office/drawing/2014/main" id="{DDA59A7C-A3FA-482A-B618-4C3D46756ED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3" name="Shape 11">
          <a:extLst>
            <a:ext uri="{FF2B5EF4-FFF2-40B4-BE49-F238E27FC236}">
              <a16:creationId xmlns:a16="http://schemas.microsoft.com/office/drawing/2014/main" id="{36C4D2A5-28E4-4752-B970-100F4226599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4" name="Shape 12">
          <a:extLst>
            <a:ext uri="{FF2B5EF4-FFF2-40B4-BE49-F238E27FC236}">
              <a16:creationId xmlns:a16="http://schemas.microsoft.com/office/drawing/2014/main" id="{93D341FE-2B27-48E0-BD46-79E55A038BD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5" name="Shape 13">
          <a:extLst>
            <a:ext uri="{FF2B5EF4-FFF2-40B4-BE49-F238E27FC236}">
              <a16:creationId xmlns:a16="http://schemas.microsoft.com/office/drawing/2014/main" id="{0CBE7963-AF20-4B63-B6EA-D31ABA18C6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6" name="Shape 14">
          <a:extLst>
            <a:ext uri="{FF2B5EF4-FFF2-40B4-BE49-F238E27FC236}">
              <a16:creationId xmlns:a16="http://schemas.microsoft.com/office/drawing/2014/main" id="{9E0649B1-7AC2-4B67-8226-90DED9C7ACC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7" name="Shape 15">
          <a:extLst>
            <a:ext uri="{FF2B5EF4-FFF2-40B4-BE49-F238E27FC236}">
              <a16:creationId xmlns:a16="http://schemas.microsoft.com/office/drawing/2014/main" id="{DE4FA244-3078-4EE5-8E38-2728B933DE7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8" name="Shape 16">
          <a:extLst>
            <a:ext uri="{FF2B5EF4-FFF2-40B4-BE49-F238E27FC236}">
              <a16:creationId xmlns:a16="http://schemas.microsoft.com/office/drawing/2014/main" id="{8FCEC67A-21C2-4D67-BC9D-9A6C5350C13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9" name="Shape 17">
          <a:extLst>
            <a:ext uri="{FF2B5EF4-FFF2-40B4-BE49-F238E27FC236}">
              <a16:creationId xmlns:a16="http://schemas.microsoft.com/office/drawing/2014/main" id="{78839247-617D-45D1-A499-D588C7FDBD4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0" name="Shape 18">
          <a:extLst>
            <a:ext uri="{FF2B5EF4-FFF2-40B4-BE49-F238E27FC236}">
              <a16:creationId xmlns:a16="http://schemas.microsoft.com/office/drawing/2014/main" id="{37ECEF2B-42CB-4DFD-9900-6CC6FBEAAEE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1" name="Shape 19">
          <a:extLst>
            <a:ext uri="{FF2B5EF4-FFF2-40B4-BE49-F238E27FC236}">
              <a16:creationId xmlns:a16="http://schemas.microsoft.com/office/drawing/2014/main" id="{BC0076A3-5986-45D1-8023-F7E8F29AF12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2" name="Shape 20">
          <a:extLst>
            <a:ext uri="{FF2B5EF4-FFF2-40B4-BE49-F238E27FC236}">
              <a16:creationId xmlns:a16="http://schemas.microsoft.com/office/drawing/2014/main" id="{3D6E88AF-3AE7-495A-9A48-F2708341B83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3" name="Shape 21">
          <a:extLst>
            <a:ext uri="{FF2B5EF4-FFF2-40B4-BE49-F238E27FC236}">
              <a16:creationId xmlns:a16="http://schemas.microsoft.com/office/drawing/2014/main" id="{191E2DD3-6E51-4621-86EE-63FC0ACD42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4" name="Shape 22">
          <a:extLst>
            <a:ext uri="{FF2B5EF4-FFF2-40B4-BE49-F238E27FC236}">
              <a16:creationId xmlns:a16="http://schemas.microsoft.com/office/drawing/2014/main" id="{F65C8299-143D-4353-8CCE-8AD29AEBCA6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5" name="Shape 23">
          <a:extLst>
            <a:ext uri="{FF2B5EF4-FFF2-40B4-BE49-F238E27FC236}">
              <a16:creationId xmlns:a16="http://schemas.microsoft.com/office/drawing/2014/main" id="{0FA714D1-87F2-4DFB-B431-36F0F5868C8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6" name="Shape 8">
          <a:extLst>
            <a:ext uri="{FF2B5EF4-FFF2-40B4-BE49-F238E27FC236}">
              <a16:creationId xmlns:a16="http://schemas.microsoft.com/office/drawing/2014/main" id="{69920EBC-7ED5-4FAA-AC71-11C83E6F887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67" name="Shape 9">
          <a:extLst>
            <a:ext uri="{FF2B5EF4-FFF2-40B4-BE49-F238E27FC236}">
              <a16:creationId xmlns:a16="http://schemas.microsoft.com/office/drawing/2014/main" id="{2C4A1AA9-38DB-4523-90FF-B8E7E24263F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8" name="Shape 10">
          <a:extLst>
            <a:ext uri="{FF2B5EF4-FFF2-40B4-BE49-F238E27FC236}">
              <a16:creationId xmlns:a16="http://schemas.microsoft.com/office/drawing/2014/main" id="{D02AAABF-3107-4965-B538-B1C87D766D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69" name="Shape 11">
          <a:extLst>
            <a:ext uri="{FF2B5EF4-FFF2-40B4-BE49-F238E27FC236}">
              <a16:creationId xmlns:a16="http://schemas.microsoft.com/office/drawing/2014/main" id="{106DD997-1AE6-4353-B753-8C5C526A901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0" name="Shape 12">
          <a:extLst>
            <a:ext uri="{FF2B5EF4-FFF2-40B4-BE49-F238E27FC236}">
              <a16:creationId xmlns:a16="http://schemas.microsoft.com/office/drawing/2014/main" id="{D8C9F1D9-9B13-4D76-91D9-DB9FA334123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1" name="Shape 13">
          <a:extLst>
            <a:ext uri="{FF2B5EF4-FFF2-40B4-BE49-F238E27FC236}">
              <a16:creationId xmlns:a16="http://schemas.microsoft.com/office/drawing/2014/main" id="{9B5E2729-12AA-4437-84DA-1E65731F58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2" name="Shape 14">
          <a:extLst>
            <a:ext uri="{FF2B5EF4-FFF2-40B4-BE49-F238E27FC236}">
              <a16:creationId xmlns:a16="http://schemas.microsoft.com/office/drawing/2014/main" id="{35166850-46B3-46D2-8010-CBEAFD76174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3" name="Shape 15">
          <a:extLst>
            <a:ext uri="{FF2B5EF4-FFF2-40B4-BE49-F238E27FC236}">
              <a16:creationId xmlns:a16="http://schemas.microsoft.com/office/drawing/2014/main" id="{A65301F7-4601-46D7-969D-99E8E2DE981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4" name="Shape 16">
          <a:extLst>
            <a:ext uri="{FF2B5EF4-FFF2-40B4-BE49-F238E27FC236}">
              <a16:creationId xmlns:a16="http://schemas.microsoft.com/office/drawing/2014/main" id="{9D11DF12-C2FA-48BD-8A16-B3ECDC2C197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5" name="Shape 17">
          <a:extLst>
            <a:ext uri="{FF2B5EF4-FFF2-40B4-BE49-F238E27FC236}">
              <a16:creationId xmlns:a16="http://schemas.microsoft.com/office/drawing/2014/main" id="{5F2401C4-951E-48E8-8F9A-6273907F6A2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6" name="Shape 18">
          <a:extLst>
            <a:ext uri="{FF2B5EF4-FFF2-40B4-BE49-F238E27FC236}">
              <a16:creationId xmlns:a16="http://schemas.microsoft.com/office/drawing/2014/main" id="{AB3D4D43-4BB2-474C-B748-9503902C9DC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7" name="Shape 19">
          <a:extLst>
            <a:ext uri="{FF2B5EF4-FFF2-40B4-BE49-F238E27FC236}">
              <a16:creationId xmlns:a16="http://schemas.microsoft.com/office/drawing/2014/main" id="{0CA8FD04-645A-44F4-AA1D-1D2C680C064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8" name="Shape 20">
          <a:extLst>
            <a:ext uri="{FF2B5EF4-FFF2-40B4-BE49-F238E27FC236}">
              <a16:creationId xmlns:a16="http://schemas.microsoft.com/office/drawing/2014/main" id="{DFC671EE-744A-4B95-B0F3-1FA39F06A74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9" name="Shape 21">
          <a:extLst>
            <a:ext uri="{FF2B5EF4-FFF2-40B4-BE49-F238E27FC236}">
              <a16:creationId xmlns:a16="http://schemas.microsoft.com/office/drawing/2014/main" id="{F99F1B50-EE68-4F68-8BAB-DA8F7A0C8AE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0" name="Shape 22">
          <a:extLst>
            <a:ext uri="{FF2B5EF4-FFF2-40B4-BE49-F238E27FC236}">
              <a16:creationId xmlns:a16="http://schemas.microsoft.com/office/drawing/2014/main" id="{9289D53D-CF56-4377-A941-83677EB4248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1" name="Shape 23">
          <a:extLst>
            <a:ext uri="{FF2B5EF4-FFF2-40B4-BE49-F238E27FC236}">
              <a16:creationId xmlns:a16="http://schemas.microsoft.com/office/drawing/2014/main" id="{16CA4B83-528A-4316-A907-0F68A5E4CAA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2" name="Shape 8">
          <a:extLst>
            <a:ext uri="{FF2B5EF4-FFF2-40B4-BE49-F238E27FC236}">
              <a16:creationId xmlns:a16="http://schemas.microsoft.com/office/drawing/2014/main" id="{1F0ECBCA-2EC4-43E3-9AB0-BAE438D4329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3" name="Shape 9">
          <a:extLst>
            <a:ext uri="{FF2B5EF4-FFF2-40B4-BE49-F238E27FC236}">
              <a16:creationId xmlns:a16="http://schemas.microsoft.com/office/drawing/2014/main" id="{22ED77CA-EDB2-4F2C-A909-5DC03FE62F6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4" name="Shape 10">
          <a:extLst>
            <a:ext uri="{FF2B5EF4-FFF2-40B4-BE49-F238E27FC236}">
              <a16:creationId xmlns:a16="http://schemas.microsoft.com/office/drawing/2014/main" id="{178A4F3D-D01E-4C39-8128-7D297E36C54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5" name="Shape 11">
          <a:extLst>
            <a:ext uri="{FF2B5EF4-FFF2-40B4-BE49-F238E27FC236}">
              <a16:creationId xmlns:a16="http://schemas.microsoft.com/office/drawing/2014/main" id="{C96118F6-7D5F-4808-AD0E-D08AADB8174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6" name="Shape 12">
          <a:extLst>
            <a:ext uri="{FF2B5EF4-FFF2-40B4-BE49-F238E27FC236}">
              <a16:creationId xmlns:a16="http://schemas.microsoft.com/office/drawing/2014/main" id="{37B3D1CE-8A6A-47E7-8D36-00C24DE5FC2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7" name="Shape 13">
          <a:extLst>
            <a:ext uri="{FF2B5EF4-FFF2-40B4-BE49-F238E27FC236}">
              <a16:creationId xmlns:a16="http://schemas.microsoft.com/office/drawing/2014/main" id="{51BDE789-F762-47F1-B19B-A412894BAF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8" name="Shape 14">
          <a:extLst>
            <a:ext uri="{FF2B5EF4-FFF2-40B4-BE49-F238E27FC236}">
              <a16:creationId xmlns:a16="http://schemas.microsoft.com/office/drawing/2014/main" id="{221BDD8F-066B-4E10-A57B-5ECE48921A5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9" name="Shape 15">
          <a:extLst>
            <a:ext uri="{FF2B5EF4-FFF2-40B4-BE49-F238E27FC236}">
              <a16:creationId xmlns:a16="http://schemas.microsoft.com/office/drawing/2014/main" id="{4C1B85AD-F625-4A63-8176-BDE8F8B55B5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0" name="Shape 16">
          <a:extLst>
            <a:ext uri="{FF2B5EF4-FFF2-40B4-BE49-F238E27FC236}">
              <a16:creationId xmlns:a16="http://schemas.microsoft.com/office/drawing/2014/main" id="{9710F9F8-B68D-45D2-A8CF-576686B52B1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1" name="Shape 17">
          <a:extLst>
            <a:ext uri="{FF2B5EF4-FFF2-40B4-BE49-F238E27FC236}">
              <a16:creationId xmlns:a16="http://schemas.microsoft.com/office/drawing/2014/main" id="{50EDEFD7-B7B4-4C27-A24F-4154299CDB6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2" name="Shape 18">
          <a:extLst>
            <a:ext uri="{FF2B5EF4-FFF2-40B4-BE49-F238E27FC236}">
              <a16:creationId xmlns:a16="http://schemas.microsoft.com/office/drawing/2014/main" id="{DE559719-3DBD-4CB3-9CE3-BA4827E3B7B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3" name="Shape 19">
          <a:extLst>
            <a:ext uri="{FF2B5EF4-FFF2-40B4-BE49-F238E27FC236}">
              <a16:creationId xmlns:a16="http://schemas.microsoft.com/office/drawing/2014/main" id="{02024CB0-6264-4A79-84E6-48B8C648B73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4" name="Shape 20">
          <a:extLst>
            <a:ext uri="{FF2B5EF4-FFF2-40B4-BE49-F238E27FC236}">
              <a16:creationId xmlns:a16="http://schemas.microsoft.com/office/drawing/2014/main" id="{1CE776CC-60A2-4B51-9ECF-79B6B37D872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5" name="Shape 21">
          <a:extLst>
            <a:ext uri="{FF2B5EF4-FFF2-40B4-BE49-F238E27FC236}">
              <a16:creationId xmlns:a16="http://schemas.microsoft.com/office/drawing/2014/main" id="{96D07636-5939-4CA8-9F3E-16F669A2FDF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6" name="Shape 22">
          <a:extLst>
            <a:ext uri="{FF2B5EF4-FFF2-40B4-BE49-F238E27FC236}">
              <a16:creationId xmlns:a16="http://schemas.microsoft.com/office/drawing/2014/main" id="{726D28DB-24C8-48F9-AE00-E01617076AB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7" name="Shape 23">
          <a:extLst>
            <a:ext uri="{FF2B5EF4-FFF2-40B4-BE49-F238E27FC236}">
              <a16:creationId xmlns:a16="http://schemas.microsoft.com/office/drawing/2014/main" id="{C5241830-283E-42B1-AF4C-4AAF06A95C1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8" name="Shape 8">
          <a:extLst>
            <a:ext uri="{FF2B5EF4-FFF2-40B4-BE49-F238E27FC236}">
              <a16:creationId xmlns:a16="http://schemas.microsoft.com/office/drawing/2014/main" id="{72FF7B5A-ADE4-44C6-816D-20A27C8276F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9" name="Shape 9">
          <a:extLst>
            <a:ext uri="{FF2B5EF4-FFF2-40B4-BE49-F238E27FC236}">
              <a16:creationId xmlns:a16="http://schemas.microsoft.com/office/drawing/2014/main" id="{9B1C20F4-014A-47EE-B137-FF0B9F28C8A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0" name="Shape 10">
          <a:extLst>
            <a:ext uri="{FF2B5EF4-FFF2-40B4-BE49-F238E27FC236}">
              <a16:creationId xmlns:a16="http://schemas.microsoft.com/office/drawing/2014/main" id="{10E5B76D-E6C7-4829-818A-E72857954DC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1" name="Shape 11">
          <a:extLst>
            <a:ext uri="{FF2B5EF4-FFF2-40B4-BE49-F238E27FC236}">
              <a16:creationId xmlns:a16="http://schemas.microsoft.com/office/drawing/2014/main" id="{F04E3E9A-FDD8-49E9-B396-0A3D121DEE7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2" name="Shape 12">
          <a:extLst>
            <a:ext uri="{FF2B5EF4-FFF2-40B4-BE49-F238E27FC236}">
              <a16:creationId xmlns:a16="http://schemas.microsoft.com/office/drawing/2014/main" id="{585D849F-7D14-4CCD-9CDA-59FE46EC11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3" name="Shape 13">
          <a:extLst>
            <a:ext uri="{FF2B5EF4-FFF2-40B4-BE49-F238E27FC236}">
              <a16:creationId xmlns:a16="http://schemas.microsoft.com/office/drawing/2014/main" id="{CC1A45A4-4555-418D-9442-D3AAA4553A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4" name="Shape 14">
          <a:extLst>
            <a:ext uri="{FF2B5EF4-FFF2-40B4-BE49-F238E27FC236}">
              <a16:creationId xmlns:a16="http://schemas.microsoft.com/office/drawing/2014/main" id="{591D7BF6-EC3C-4D75-A02D-EB29D800890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5" name="Shape 15">
          <a:extLst>
            <a:ext uri="{FF2B5EF4-FFF2-40B4-BE49-F238E27FC236}">
              <a16:creationId xmlns:a16="http://schemas.microsoft.com/office/drawing/2014/main" id="{B73C2943-C63C-41DE-9EAC-247DE026256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6" name="Shape 16">
          <a:extLst>
            <a:ext uri="{FF2B5EF4-FFF2-40B4-BE49-F238E27FC236}">
              <a16:creationId xmlns:a16="http://schemas.microsoft.com/office/drawing/2014/main" id="{C5FBBA36-EA9B-46D6-AD71-7D911F7F3F8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7" name="Shape 17">
          <a:extLst>
            <a:ext uri="{FF2B5EF4-FFF2-40B4-BE49-F238E27FC236}">
              <a16:creationId xmlns:a16="http://schemas.microsoft.com/office/drawing/2014/main" id="{55B20458-D9BA-447F-A191-54EC31FA2B4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8" name="Shape 18">
          <a:extLst>
            <a:ext uri="{FF2B5EF4-FFF2-40B4-BE49-F238E27FC236}">
              <a16:creationId xmlns:a16="http://schemas.microsoft.com/office/drawing/2014/main" id="{4E4D0E85-E994-40C3-B651-9187F247FB6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9" name="Shape 19">
          <a:extLst>
            <a:ext uri="{FF2B5EF4-FFF2-40B4-BE49-F238E27FC236}">
              <a16:creationId xmlns:a16="http://schemas.microsoft.com/office/drawing/2014/main" id="{C47122FC-A87A-41B7-A000-CB11DA9E551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0" name="Shape 20">
          <a:extLst>
            <a:ext uri="{FF2B5EF4-FFF2-40B4-BE49-F238E27FC236}">
              <a16:creationId xmlns:a16="http://schemas.microsoft.com/office/drawing/2014/main" id="{41B2CF52-2118-4AE0-9569-B3F8EAAB49E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1" name="Shape 21">
          <a:extLst>
            <a:ext uri="{FF2B5EF4-FFF2-40B4-BE49-F238E27FC236}">
              <a16:creationId xmlns:a16="http://schemas.microsoft.com/office/drawing/2014/main" id="{F0FF8571-F39C-4651-AD78-1ADFE4A51B8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2" name="Shape 22">
          <a:extLst>
            <a:ext uri="{FF2B5EF4-FFF2-40B4-BE49-F238E27FC236}">
              <a16:creationId xmlns:a16="http://schemas.microsoft.com/office/drawing/2014/main" id="{71B0DE4A-1BA5-49B6-8D14-885777DC598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3" name="Shape 23">
          <a:extLst>
            <a:ext uri="{FF2B5EF4-FFF2-40B4-BE49-F238E27FC236}">
              <a16:creationId xmlns:a16="http://schemas.microsoft.com/office/drawing/2014/main" id="{76A68842-7487-4C31-BBDB-9B1AB0DA2F2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4" name="Shape 8">
          <a:extLst>
            <a:ext uri="{FF2B5EF4-FFF2-40B4-BE49-F238E27FC236}">
              <a16:creationId xmlns:a16="http://schemas.microsoft.com/office/drawing/2014/main" id="{6D016C25-E170-4C57-B2D4-0793035A73A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5" name="Shape 9">
          <a:extLst>
            <a:ext uri="{FF2B5EF4-FFF2-40B4-BE49-F238E27FC236}">
              <a16:creationId xmlns:a16="http://schemas.microsoft.com/office/drawing/2014/main" id="{114A4DF4-FB3E-41B5-8BC9-3A4821A925F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6" name="Shape 10">
          <a:extLst>
            <a:ext uri="{FF2B5EF4-FFF2-40B4-BE49-F238E27FC236}">
              <a16:creationId xmlns:a16="http://schemas.microsoft.com/office/drawing/2014/main" id="{07E8CF18-2901-4844-B763-7472BE87C19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7" name="Shape 11">
          <a:extLst>
            <a:ext uri="{FF2B5EF4-FFF2-40B4-BE49-F238E27FC236}">
              <a16:creationId xmlns:a16="http://schemas.microsoft.com/office/drawing/2014/main" id="{35D58CA4-8CB1-4FA6-9D83-2D2A86A082E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8" name="Shape 12">
          <a:extLst>
            <a:ext uri="{FF2B5EF4-FFF2-40B4-BE49-F238E27FC236}">
              <a16:creationId xmlns:a16="http://schemas.microsoft.com/office/drawing/2014/main" id="{39CDCE1A-B322-4822-BE9D-58C6C8F489F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9" name="Shape 13">
          <a:extLst>
            <a:ext uri="{FF2B5EF4-FFF2-40B4-BE49-F238E27FC236}">
              <a16:creationId xmlns:a16="http://schemas.microsoft.com/office/drawing/2014/main" id="{055908D0-F5D1-433E-9CB4-A161CCACC12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0" name="Shape 14">
          <a:extLst>
            <a:ext uri="{FF2B5EF4-FFF2-40B4-BE49-F238E27FC236}">
              <a16:creationId xmlns:a16="http://schemas.microsoft.com/office/drawing/2014/main" id="{65A46BB1-8286-4EA5-9E43-DDF9B4D8862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1" name="Shape 15">
          <a:extLst>
            <a:ext uri="{FF2B5EF4-FFF2-40B4-BE49-F238E27FC236}">
              <a16:creationId xmlns:a16="http://schemas.microsoft.com/office/drawing/2014/main" id="{4664E86E-7878-4F94-950C-47E7E8EA949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2" name="Shape 16">
          <a:extLst>
            <a:ext uri="{FF2B5EF4-FFF2-40B4-BE49-F238E27FC236}">
              <a16:creationId xmlns:a16="http://schemas.microsoft.com/office/drawing/2014/main" id="{D7DAA488-809A-474E-A1E5-63A7BEF0DAC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3" name="Shape 17">
          <a:extLst>
            <a:ext uri="{FF2B5EF4-FFF2-40B4-BE49-F238E27FC236}">
              <a16:creationId xmlns:a16="http://schemas.microsoft.com/office/drawing/2014/main" id="{9095D9A4-CEDB-4D23-A9FC-BA7588285A5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4" name="Shape 18">
          <a:extLst>
            <a:ext uri="{FF2B5EF4-FFF2-40B4-BE49-F238E27FC236}">
              <a16:creationId xmlns:a16="http://schemas.microsoft.com/office/drawing/2014/main" id="{CF626EC2-B889-4D7A-84E4-17BE773110C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5" name="Shape 19">
          <a:extLst>
            <a:ext uri="{FF2B5EF4-FFF2-40B4-BE49-F238E27FC236}">
              <a16:creationId xmlns:a16="http://schemas.microsoft.com/office/drawing/2014/main" id="{5BCB0C7F-CE4E-4CE0-9FC5-9D5A440370F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6" name="Shape 20">
          <a:extLst>
            <a:ext uri="{FF2B5EF4-FFF2-40B4-BE49-F238E27FC236}">
              <a16:creationId xmlns:a16="http://schemas.microsoft.com/office/drawing/2014/main" id="{D1209787-7A15-486F-8A74-1287DAD1B89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7" name="Shape 21">
          <a:extLst>
            <a:ext uri="{FF2B5EF4-FFF2-40B4-BE49-F238E27FC236}">
              <a16:creationId xmlns:a16="http://schemas.microsoft.com/office/drawing/2014/main" id="{6EA89AA6-A87D-424C-BB2F-3900F24B9F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8" name="Shape 22">
          <a:extLst>
            <a:ext uri="{FF2B5EF4-FFF2-40B4-BE49-F238E27FC236}">
              <a16:creationId xmlns:a16="http://schemas.microsoft.com/office/drawing/2014/main" id="{150660E8-A7B1-488E-9887-DF1A7A01E5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9" name="Shape 23">
          <a:extLst>
            <a:ext uri="{FF2B5EF4-FFF2-40B4-BE49-F238E27FC236}">
              <a16:creationId xmlns:a16="http://schemas.microsoft.com/office/drawing/2014/main" id="{A05689D6-2D28-452B-95D9-499B5B6307F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0" name="Shape 8">
          <a:extLst>
            <a:ext uri="{FF2B5EF4-FFF2-40B4-BE49-F238E27FC236}">
              <a16:creationId xmlns:a16="http://schemas.microsoft.com/office/drawing/2014/main" id="{726743BA-107D-42CC-86C2-E728F5B505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1" name="Shape 9">
          <a:extLst>
            <a:ext uri="{FF2B5EF4-FFF2-40B4-BE49-F238E27FC236}">
              <a16:creationId xmlns:a16="http://schemas.microsoft.com/office/drawing/2014/main" id="{F0FCC5ED-9211-4EAD-BE93-12551FCF1B8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2" name="Shape 10">
          <a:extLst>
            <a:ext uri="{FF2B5EF4-FFF2-40B4-BE49-F238E27FC236}">
              <a16:creationId xmlns:a16="http://schemas.microsoft.com/office/drawing/2014/main" id="{091C2392-6C3D-4586-A884-728C810EC35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3" name="Shape 11">
          <a:extLst>
            <a:ext uri="{FF2B5EF4-FFF2-40B4-BE49-F238E27FC236}">
              <a16:creationId xmlns:a16="http://schemas.microsoft.com/office/drawing/2014/main" id="{F620BC35-2C1E-4B3D-9152-0BB5484E616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4" name="Shape 12">
          <a:extLst>
            <a:ext uri="{FF2B5EF4-FFF2-40B4-BE49-F238E27FC236}">
              <a16:creationId xmlns:a16="http://schemas.microsoft.com/office/drawing/2014/main" id="{849F2E4F-DC8B-4FB7-B5B9-3B1B3B52375E}"/>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5" name="Shape 13">
          <a:extLst>
            <a:ext uri="{FF2B5EF4-FFF2-40B4-BE49-F238E27FC236}">
              <a16:creationId xmlns:a16="http://schemas.microsoft.com/office/drawing/2014/main" id="{B0A22FD8-EAF4-4D61-9D7E-2FE7CA22599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6" name="Shape 14">
          <a:extLst>
            <a:ext uri="{FF2B5EF4-FFF2-40B4-BE49-F238E27FC236}">
              <a16:creationId xmlns:a16="http://schemas.microsoft.com/office/drawing/2014/main" id="{1E318D1F-FEEF-41D1-B302-59BDB5A84B7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7" name="Shape 15">
          <a:extLst>
            <a:ext uri="{FF2B5EF4-FFF2-40B4-BE49-F238E27FC236}">
              <a16:creationId xmlns:a16="http://schemas.microsoft.com/office/drawing/2014/main" id="{003F3D14-768E-4F26-ABDF-F407B1A01CB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8" name="Shape 16">
          <a:extLst>
            <a:ext uri="{FF2B5EF4-FFF2-40B4-BE49-F238E27FC236}">
              <a16:creationId xmlns:a16="http://schemas.microsoft.com/office/drawing/2014/main" id="{B10B9FBD-5492-409B-9AC3-6BDB5AD79E7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9" name="Shape 17">
          <a:extLst>
            <a:ext uri="{FF2B5EF4-FFF2-40B4-BE49-F238E27FC236}">
              <a16:creationId xmlns:a16="http://schemas.microsoft.com/office/drawing/2014/main" id="{2D39C097-FBB5-48DD-A8C4-8AA22E8C680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0" name="Shape 18">
          <a:extLst>
            <a:ext uri="{FF2B5EF4-FFF2-40B4-BE49-F238E27FC236}">
              <a16:creationId xmlns:a16="http://schemas.microsoft.com/office/drawing/2014/main" id="{ED40BE3F-E274-4B99-9223-72E9112DFB2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1" name="Shape 19">
          <a:extLst>
            <a:ext uri="{FF2B5EF4-FFF2-40B4-BE49-F238E27FC236}">
              <a16:creationId xmlns:a16="http://schemas.microsoft.com/office/drawing/2014/main" id="{FDDD3713-8271-4F92-90BE-275C5C8619E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2" name="Shape 20">
          <a:extLst>
            <a:ext uri="{FF2B5EF4-FFF2-40B4-BE49-F238E27FC236}">
              <a16:creationId xmlns:a16="http://schemas.microsoft.com/office/drawing/2014/main" id="{0B0C7AFB-F603-4B20-8D26-D7AC7170501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3" name="Shape 21">
          <a:extLst>
            <a:ext uri="{FF2B5EF4-FFF2-40B4-BE49-F238E27FC236}">
              <a16:creationId xmlns:a16="http://schemas.microsoft.com/office/drawing/2014/main" id="{0DF03C21-F3FB-4C09-98E0-1B445AC1138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4" name="Shape 22">
          <a:extLst>
            <a:ext uri="{FF2B5EF4-FFF2-40B4-BE49-F238E27FC236}">
              <a16:creationId xmlns:a16="http://schemas.microsoft.com/office/drawing/2014/main" id="{5E2B65A0-0778-49AF-A1EF-780A76EFB26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5" name="Shape 23">
          <a:extLst>
            <a:ext uri="{FF2B5EF4-FFF2-40B4-BE49-F238E27FC236}">
              <a16:creationId xmlns:a16="http://schemas.microsoft.com/office/drawing/2014/main" id="{6C01D289-4FFB-48CC-BAFA-AD71659CF08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6" name="Shape 8">
          <a:extLst>
            <a:ext uri="{FF2B5EF4-FFF2-40B4-BE49-F238E27FC236}">
              <a16:creationId xmlns:a16="http://schemas.microsoft.com/office/drawing/2014/main" id="{0F4465DA-C9A5-4F15-AC79-44853749826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7" name="Shape 9">
          <a:extLst>
            <a:ext uri="{FF2B5EF4-FFF2-40B4-BE49-F238E27FC236}">
              <a16:creationId xmlns:a16="http://schemas.microsoft.com/office/drawing/2014/main" id="{81C42D67-7458-425A-87D2-8624485BA1C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8" name="Shape 10">
          <a:extLst>
            <a:ext uri="{FF2B5EF4-FFF2-40B4-BE49-F238E27FC236}">
              <a16:creationId xmlns:a16="http://schemas.microsoft.com/office/drawing/2014/main" id="{B0B42AA8-8E54-4A0A-87EB-96A797D3AA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9" name="Shape 11">
          <a:extLst>
            <a:ext uri="{FF2B5EF4-FFF2-40B4-BE49-F238E27FC236}">
              <a16:creationId xmlns:a16="http://schemas.microsoft.com/office/drawing/2014/main" id="{BA3E7413-AF8B-49F7-A55E-3D93EA41259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0" name="Shape 12">
          <a:extLst>
            <a:ext uri="{FF2B5EF4-FFF2-40B4-BE49-F238E27FC236}">
              <a16:creationId xmlns:a16="http://schemas.microsoft.com/office/drawing/2014/main" id="{8EBD8CAE-B346-4246-9287-16D4AB2B203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1" name="Shape 13">
          <a:extLst>
            <a:ext uri="{FF2B5EF4-FFF2-40B4-BE49-F238E27FC236}">
              <a16:creationId xmlns:a16="http://schemas.microsoft.com/office/drawing/2014/main" id="{F9C51039-7E07-4934-98CF-C555C16E314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2" name="Shape 14">
          <a:extLst>
            <a:ext uri="{FF2B5EF4-FFF2-40B4-BE49-F238E27FC236}">
              <a16:creationId xmlns:a16="http://schemas.microsoft.com/office/drawing/2014/main" id="{D4F2454B-136C-4681-A720-092A6D5AA44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3" name="Shape 15">
          <a:extLst>
            <a:ext uri="{FF2B5EF4-FFF2-40B4-BE49-F238E27FC236}">
              <a16:creationId xmlns:a16="http://schemas.microsoft.com/office/drawing/2014/main" id="{E9DA7883-A5AB-42ED-AC10-C349766B557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4" name="Shape 16">
          <a:extLst>
            <a:ext uri="{FF2B5EF4-FFF2-40B4-BE49-F238E27FC236}">
              <a16:creationId xmlns:a16="http://schemas.microsoft.com/office/drawing/2014/main" id="{05E36068-8E3B-4F06-A5CC-F970FF9C90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5" name="Shape 17">
          <a:extLst>
            <a:ext uri="{FF2B5EF4-FFF2-40B4-BE49-F238E27FC236}">
              <a16:creationId xmlns:a16="http://schemas.microsoft.com/office/drawing/2014/main" id="{F0B297A5-FF56-457D-B7F3-06A4D196F17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6" name="Shape 18">
          <a:extLst>
            <a:ext uri="{FF2B5EF4-FFF2-40B4-BE49-F238E27FC236}">
              <a16:creationId xmlns:a16="http://schemas.microsoft.com/office/drawing/2014/main" id="{7378011A-8213-4532-B662-0D813E2F37A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7" name="Shape 19">
          <a:extLst>
            <a:ext uri="{FF2B5EF4-FFF2-40B4-BE49-F238E27FC236}">
              <a16:creationId xmlns:a16="http://schemas.microsoft.com/office/drawing/2014/main" id="{A7DE4D99-8EE4-48CD-B969-D230A58250A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8" name="Shape 20">
          <a:extLst>
            <a:ext uri="{FF2B5EF4-FFF2-40B4-BE49-F238E27FC236}">
              <a16:creationId xmlns:a16="http://schemas.microsoft.com/office/drawing/2014/main" id="{8744FB37-9A73-4EC4-ADB5-F94729AF090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9" name="Shape 21">
          <a:extLst>
            <a:ext uri="{FF2B5EF4-FFF2-40B4-BE49-F238E27FC236}">
              <a16:creationId xmlns:a16="http://schemas.microsoft.com/office/drawing/2014/main" id="{9D6C7064-149F-4440-8D8C-804C497BF50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60" name="Shape 22">
          <a:extLst>
            <a:ext uri="{FF2B5EF4-FFF2-40B4-BE49-F238E27FC236}">
              <a16:creationId xmlns:a16="http://schemas.microsoft.com/office/drawing/2014/main" id="{4C957A9F-366C-4CB4-8158-E7F133DC8C0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61" name="Shape 23">
          <a:extLst>
            <a:ext uri="{FF2B5EF4-FFF2-40B4-BE49-F238E27FC236}">
              <a16:creationId xmlns:a16="http://schemas.microsoft.com/office/drawing/2014/main" id="{607B155F-BD75-47DD-A104-66506955D28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62" name="Shape 8">
          <a:extLst>
            <a:ext uri="{FF2B5EF4-FFF2-40B4-BE49-F238E27FC236}">
              <a16:creationId xmlns:a16="http://schemas.microsoft.com/office/drawing/2014/main" id="{599C5DAB-BCCB-4D3D-99A8-F53BBD4E08A2}"/>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63" name="Shape 9">
          <a:extLst>
            <a:ext uri="{FF2B5EF4-FFF2-40B4-BE49-F238E27FC236}">
              <a16:creationId xmlns:a16="http://schemas.microsoft.com/office/drawing/2014/main" id="{3A2878D7-BD35-4FE8-9FC4-03B76EFBC204}"/>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64" name="Shape 10">
          <a:extLst>
            <a:ext uri="{FF2B5EF4-FFF2-40B4-BE49-F238E27FC236}">
              <a16:creationId xmlns:a16="http://schemas.microsoft.com/office/drawing/2014/main" id="{F1480C3F-BFB3-4CA7-A611-D4B50EE44360}"/>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65" name="Shape 11">
          <a:extLst>
            <a:ext uri="{FF2B5EF4-FFF2-40B4-BE49-F238E27FC236}">
              <a16:creationId xmlns:a16="http://schemas.microsoft.com/office/drawing/2014/main" id="{08981663-8380-443A-92D4-26DFBA72B0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66" name="Shape 12">
          <a:extLst>
            <a:ext uri="{FF2B5EF4-FFF2-40B4-BE49-F238E27FC236}">
              <a16:creationId xmlns:a16="http://schemas.microsoft.com/office/drawing/2014/main" id="{57757B43-AB51-4B46-B261-85C24AA7268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67" name="Shape 13">
          <a:extLst>
            <a:ext uri="{FF2B5EF4-FFF2-40B4-BE49-F238E27FC236}">
              <a16:creationId xmlns:a16="http://schemas.microsoft.com/office/drawing/2014/main" id="{5BE167C5-9963-480D-A27B-0725573B32E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68" name="Shape 14">
          <a:extLst>
            <a:ext uri="{FF2B5EF4-FFF2-40B4-BE49-F238E27FC236}">
              <a16:creationId xmlns:a16="http://schemas.microsoft.com/office/drawing/2014/main" id="{B57E4671-6779-4B93-8686-02EBF13220C4}"/>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69" name="Shape 15">
          <a:extLst>
            <a:ext uri="{FF2B5EF4-FFF2-40B4-BE49-F238E27FC236}">
              <a16:creationId xmlns:a16="http://schemas.microsoft.com/office/drawing/2014/main" id="{3E6392D9-4905-4532-A550-7BE98E87856D}"/>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70" name="Shape 20">
          <a:extLst>
            <a:ext uri="{FF2B5EF4-FFF2-40B4-BE49-F238E27FC236}">
              <a16:creationId xmlns:a16="http://schemas.microsoft.com/office/drawing/2014/main" id="{7A2646A7-5D1A-4BEA-AF0F-09B3EB75BF87}"/>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71" name="Shape 21">
          <a:extLst>
            <a:ext uri="{FF2B5EF4-FFF2-40B4-BE49-F238E27FC236}">
              <a16:creationId xmlns:a16="http://schemas.microsoft.com/office/drawing/2014/main" id="{59DA9CFF-9F42-461F-B9F2-34D6A1A88EE7}"/>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2" name="Shape 22">
          <a:extLst>
            <a:ext uri="{FF2B5EF4-FFF2-40B4-BE49-F238E27FC236}">
              <a16:creationId xmlns:a16="http://schemas.microsoft.com/office/drawing/2014/main" id="{401DEBF4-2239-4046-B468-16D9A52F0A9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3" name="Shape 23">
          <a:extLst>
            <a:ext uri="{FF2B5EF4-FFF2-40B4-BE49-F238E27FC236}">
              <a16:creationId xmlns:a16="http://schemas.microsoft.com/office/drawing/2014/main" id="{6146B412-FCD3-4301-8663-BABF3D68D28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4" name="Shape 8">
          <a:extLst>
            <a:ext uri="{FF2B5EF4-FFF2-40B4-BE49-F238E27FC236}">
              <a16:creationId xmlns:a16="http://schemas.microsoft.com/office/drawing/2014/main" id="{3B647E73-A46F-4685-A300-FB0DB597F4E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5" name="Shape 9">
          <a:extLst>
            <a:ext uri="{FF2B5EF4-FFF2-40B4-BE49-F238E27FC236}">
              <a16:creationId xmlns:a16="http://schemas.microsoft.com/office/drawing/2014/main" id="{F0A39744-A04D-4A4C-921C-5AA23FD125C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6" name="Shape 10">
          <a:extLst>
            <a:ext uri="{FF2B5EF4-FFF2-40B4-BE49-F238E27FC236}">
              <a16:creationId xmlns:a16="http://schemas.microsoft.com/office/drawing/2014/main" id="{5D7BD608-4EB7-4D22-AD5C-6855EC126EB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7" name="Shape 11">
          <a:extLst>
            <a:ext uri="{FF2B5EF4-FFF2-40B4-BE49-F238E27FC236}">
              <a16:creationId xmlns:a16="http://schemas.microsoft.com/office/drawing/2014/main" id="{7E1B5B01-FC20-4727-8423-47D4418BDF6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8" name="Shape 12">
          <a:extLst>
            <a:ext uri="{FF2B5EF4-FFF2-40B4-BE49-F238E27FC236}">
              <a16:creationId xmlns:a16="http://schemas.microsoft.com/office/drawing/2014/main" id="{B2B2C1B7-4FC5-443E-BA42-56431657226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9" name="Shape 13">
          <a:extLst>
            <a:ext uri="{FF2B5EF4-FFF2-40B4-BE49-F238E27FC236}">
              <a16:creationId xmlns:a16="http://schemas.microsoft.com/office/drawing/2014/main" id="{BBFA9B52-0701-478C-9D6B-E26A8EFAF6B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0" name="Shape 14">
          <a:extLst>
            <a:ext uri="{FF2B5EF4-FFF2-40B4-BE49-F238E27FC236}">
              <a16:creationId xmlns:a16="http://schemas.microsoft.com/office/drawing/2014/main" id="{AF3B0967-D2FF-4926-A6C6-0963C2FB3BFB}"/>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1" name="Shape 15">
          <a:extLst>
            <a:ext uri="{FF2B5EF4-FFF2-40B4-BE49-F238E27FC236}">
              <a16:creationId xmlns:a16="http://schemas.microsoft.com/office/drawing/2014/main" id="{7BA6FF34-A7DD-4CC9-A476-2AF2AA3B5F2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2" name="Shape 20">
          <a:extLst>
            <a:ext uri="{FF2B5EF4-FFF2-40B4-BE49-F238E27FC236}">
              <a16:creationId xmlns:a16="http://schemas.microsoft.com/office/drawing/2014/main" id="{F581294A-1EED-4EDA-A1E9-AC7911263A5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3" name="Shape 21">
          <a:extLst>
            <a:ext uri="{FF2B5EF4-FFF2-40B4-BE49-F238E27FC236}">
              <a16:creationId xmlns:a16="http://schemas.microsoft.com/office/drawing/2014/main" id="{E7269FD9-B12A-41B9-AB00-B85B30D53B4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4" name="Shape 22">
          <a:extLst>
            <a:ext uri="{FF2B5EF4-FFF2-40B4-BE49-F238E27FC236}">
              <a16:creationId xmlns:a16="http://schemas.microsoft.com/office/drawing/2014/main" id="{C7B6144D-C08F-4139-98F0-CB32C391364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5" name="Shape 23">
          <a:extLst>
            <a:ext uri="{FF2B5EF4-FFF2-40B4-BE49-F238E27FC236}">
              <a16:creationId xmlns:a16="http://schemas.microsoft.com/office/drawing/2014/main" id="{936812C6-5502-4343-B55A-E3E2C530F91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6" name="Shape 8">
          <a:extLst>
            <a:ext uri="{FF2B5EF4-FFF2-40B4-BE49-F238E27FC236}">
              <a16:creationId xmlns:a16="http://schemas.microsoft.com/office/drawing/2014/main" id="{67655E92-9BBC-4AAA-80F9-DE18705FEDE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7" name="Shape 9">
          <a:extLst>
            <a:ext uri="{FF2B5EF4-FFF2-40B4-BE49-F238E27FC236}">
              <a16:creationId xmlns:a16="http://schemas.microsoft.com/office/drawing/2014/main" id="{0A224333-C422-4C9F-9306-BC9A7870760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8" name="Shape 10">
          <a:extLst>
            <a:ext uri="{FF2B5EF4-FFF2-40B4-BE49-F238E27FC236}">
              <a16:creationId xmlns:a16="http://schemas.microsoft.com/office/drawing/2014/main" id="{D434679A-7632-4AAC-8AB3-1B8DB111157B}"/>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9" name="Shape 11">
          <a:extLst>
            <a:ext uri="{FF2B5EF4-FFF2-40B4-BE49-F238E27FC236}">
              <a16:creationId xmlns:a16="http://schemas.microsoft.com/office/drawing/2014/main" id="{8EEACD93-5588-4D13-870A-22A9A41884C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0" name="Shape 12">
          <a:extLst>
            <a:ext uri="{FF2B5EF4-FFF2-40B4-BE49-F238E27FC236}">
              <a16:creationId xmlns:a16="http://schemas.microsoft.com/office/drawing/2014/main" id="{8C162455-048D-4145-B8A2-A79A2BB669C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1" name="Shape 13">
          <a:extLst>
            <a:ext uri="{FF2B5EF4-FFF2-40B4-BE49-F238E27FC236}">
              <a16:creationId xmlns:a16="http://schemas.microsoft.com/office/drawing/2014/main" id="{901A133E-407A-4F35-BE01-A78B26EB3B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2" name="Shape 14">
          <a:extLst>
            <a:ext uri="{FF2B5EF4-FFF2-40B4-BE49-F238E27FC236}">
              <a16:creationId xmlns:a16="http://schemas.microsoft.com/office/drawing/2014/main" id="{B2C870C0-A5CF-4F45-9D2E-043B69AA544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3" name="Shape 15">
          <a:extLst>
            <a:ext uri="{FF2B5EF4-FFF2-40B4-BE49-F238E27FC236}">
              <a16:creationId xmlns:a16="http://schemas.microsoft.com/office/drawing/2014/main" id="{E24AC872-5A8D-4FAA-A22C-218AE5CF8DE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4" name="Shape 20">
          <a:extLst>
            <a:ext uri="{FF2B5EF4-FFF2-40B4-BE49-F238E27FC236}">
              <a16:creationId xmlns:a16="http://schemas.microsoft.com/office/drawing/2014/main" id="{7A379866-A1F4-43C1-8A59-B9B44C0460D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5" name="Shape 21">
          <a:extLst>
            <a:ext uri="{FF2B5EF4-FFF2-40B4-BE49-F238E27FC236}">
              <a16:creationId xmlns:a16="http://schemas.microsoft.com/office/drawing/2014/main" id="{6C203B41-192B-4298-BB4E-BAA677CA7A1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6" name="Shape 22">
          <a:extLst>
            <a:ext uri="{FF2B5EF4-FFF2-40B4-BE49-F238E27FC236}">
              <a16:creationId xmlns:a16="http://schemas.microsoft.com/office/drawing/2014/main" id="{3D77FE94-07CB-4B9D-9C18-8314D97FDB5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7" name="Shape 23">
          <a:extLst>
            <a:ext uri="{FF2B5EF4-FFF2-40B4-BE49-F238E27FC236}">
              <a16:creationId xmlns:a16="http://schemas.microsoft.com/office/drawing/2014/main" id="{9DC36CA3-7AA5-454A-8EFF-7DE11AE6250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98" name="Shape 8">
          <a:extLst>
            <a:ext uri="{FF2B5EF4-FFF2-40B4-BE49-F238E27FC236}">
              <a16:creationId xmlns:a16="http://schemas.microsoft.com/office/drawing/2014/main" id="{D6EDBB54-FF3A-48BB-A6E3-055F81D0891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99" name="Shape 9">
          <a:extLst>
            <a:ext uri="{FF2B5EF4-FFF2-40B4-BE49-F238E27FC236}">
              <a16:creationId xmlns:a16="http://schemas.microsoft.com/office/drawing/2014/main" id="{7D5965F3-2955-42F5-A599-FE5030BD028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0" name="Shape 10">
          <a:extLst>
            <a:ext uri="{FF2B5EF4-FFF2-40B4-BE49-F238E27FC236}">
              <a16:creationId xmlns:a16="http://schemas.microsoft.com/office/drawing/2014/main" id="{E91B9F7E-3C65-4B27-BE4A-63E44CC026D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1" name="Shape 11">
          <a:extLst>
            <a:ext uri="{FF2B5EF4-FFF2-40B4-BE49-F238E27FC236}">
              <a16:creationId xmlns:a16="http://schemas.microsoft.com/office/drawing/2014/main" id="{43CA9A6A-E86C-4FB2-8E6B-B5DA4E73C64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2" name="Shape 12">
          <a:extLst>
            <a:ext uri="{FF2B5EF4-FFF2-40B4-BE49-F238E27FC236}">
              <a16:creationId xmlns:a16="http://schemas.microsoft.com/office/drawing/2014/main" id="{DA108EFB-D3CD-454D-9367-7C7FB654F2E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3" name="Shape 13">
          <a:extLst>
            <a:ext uri="{FF2B5EF4-FFF2-40B4-BE49-F238E27FC236}">
              <a16:creationId xmlns:a16="http://schemas.microsoft.com/office/drawing/2014/main" id="{40A07394-F79A-4979-94A3-9EC3005672D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4" name="Shape 14">
          <a:extLst>
            <a:ext uri="{FF2B5EF4-FFF2-40B4-BE49-F238E27FC236}">
              <a16:creationId xmlns:a16="http://schemas.microsoft.com/office/drawing/2014/main" id="{17CDF34D-8AF6-4309-B401-09916431CC2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5" name="Shape 15">
          <a:extLst>
            <a:ext uri="{FF2B5EF4-FFF2-40B4-BE49-F238E27FC236}">
              <a16:creationId xmlns:a16="http://schemas.microsoft.com/office/drawing/2014/main" id="{BCF6A22C-FF40-4B4F-B0FD-8E40217FD18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6" name="Shape 20">
          <a:extLst>
            <a:ext uri="{FF2B5EF4-FFF2-40B4-BE49-F238E27FC236}">
              <a16:creationId xmlns:a16="http://schemas.microsoft.com/office/drawing/2014/main" id="{DC4B5559-6C2E-4302-B1E6-5C47D1A3216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7" name="Shape 21">
          <a:extLst>
            <a:ext uri="{FF2B5EF4-FFF2-40B4-BE49-F238E27FC236}">
              <a16:creationId xmlns:a16="http://schemas.microsoft.com/office/drawing/2014/main" id="{AD65375D-25A5-44DB-AD6A-452E0843202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8" name="Shape 22">
          <a:extLst>
            <a:ext uri="{FF2B5EF4-FFF2-40B4-BE49-F238E27FC236}">
              <a16:creationId xmlns:a16="http://schemas.microsoft.com/office/drawing/2014/main" id="{0E35A000-9DCA-4209-B268-65AA2CF22FD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9" name="Shape 23">
          <a:extLst>
            <a:ext uri="{FF2B5EF4-FFF2-40B4-BE49-F238E27FC236}">
              <a16:creationId xmlns:a16="http://schemas.microsoft.com/office/drawing/2014/main" id="{61D0E732-26C0-409E-ACD9-CEB255ED1C2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0" name="Shape 8">
          <a:extLst>
            <a:ext uri="{FF2B5EF4-FFF2-40B4-BE49-F238E27FC236}">
              <a16:creationId xmlns:a16="http://schemas.microsoft.com/office/drawing/2014/main" id="{428C7EDB-0AAE-44CA-81F5-B19C59DB05D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1" name="Shape 9">
          <a:extLst>
            <a:ext uri="{FF2B5EF4-FFF2-40B4-BE49-F238E27FC236}">
              <a16:creationId xmlns:a16="http://schemas.microsoft.com/office/drawing/2014/main" id="{858EE62E-2BE0-4C49-A28D-EF8DD0C84A8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2" name="Shape 10">
          <a:extLst>
            <a:ext uri="{FF2B5EF4-FFF2-40B4-BE49-F238E27FC236}">
              <a16:creationId xmlns:a16="http://schemas.microsoft.com/office/drawing/2014/main" id="{7BF66D3D-2CE7-45F7-8400-093AB098FA0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3" name="Shape 11">
          <a:extLst>
            <a:ext uri="{FF2B5EF4-FFF2-40B4-BE49-F238E27FC236}">
              <a16:creationId xmlns:a16="http://schemas.microsoft.com/office/drawing/2014/main" id="{CD7199A7-6F18-40C6-B055-DA894F0DF36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4" name="Shape 12">
          <a:extLst>
            <a:ext uri="{FF2B5EF4-FFF2-40B4-BE49-F238E27FC236}">
              <a16:creationId xmlns:a16="http://schemas.microsoft.com/office/drawing/2014/main" id="{10AEDE6E-1D93-4424-B7A2-9C290402B35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5" name="Shape 13">
          <a:extLst>
            <a:ext uri="{FF2B5EF4-FFF2-40B4-BE49-F238E27FC236}">
              <a16:creationId xmlns:a16="http://schemas.microsoft.com/office/drawing/2014/main" id="{7DBFEF06-ECEE-4824-B44B-A45039D9339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6" name="Shape 14">
          <a:extLst>
            <a:ext uri="{FF2B5EF4-FFF2-40B4-BE49-F238E27FC236}">
              <a16:creationId xmlns:a16="http://schemas.microsoft.com/office/drawing/2014/main" id="{76C0421B-82E2-484E-A318-A35CEE3D6A2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7" name="Shape 15">
          <a:extLst>
            <a:ext uri="{FF2B5EF4-FFF2-40B4-BE49-F238E27FC236}">
              <a16:creationId xmlns:a16="http://schemas.microsoft.com/office/drawing/2014/main" id="{35A74629-F35D-48A8-8075-B899D6C57D5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8" name="Shape 20">
          <a:extLst>
            <a:ext uri="{FF2B5EF4-FFF2-40B4-BE49-F238E27FC236}">
              <a16:creationId xmlns:a16="http://schemas.microsoft.com/office/drawing/2014/main" id="{1DE3C01A-6A1A-4862-9362-E72ED6D0566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9" name="Shape 21">
          <a:extLst>
            <a:ext uri="{FF2B5EF4-FFF2-40B4-BE49-F238E27FC236}">
              <a16:creationId xmlns:a16="http://schemas.microsoft.com/office/drawing/2014/main" id="{8EB584FF-2A88-4ADF-874D-CB1E64F5386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0" name="Shape 22">
          <a:extLst>
            <a:ext uri="{FF2B5EF4-FFF2-40B4-BE49-F238E27FC236}">
              <a16:creationId xmlns:a16="http://schemas.microsoft.com/office/drawing/2014/main" id="{C13D9F6F-A6DB-458C-AF30-558D3FCC324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1" name="Shape 23">
          <a:extLst>
            <a:ext uri="{FF2B5EF4-FFF2-40B4-BE49-F238E27FC236}">
              <a16:creationId xmlns:a16="http://schemas.microsoft.com/office/drawing/2014/main" id="{30978FA2-8128-4472-BE58-00A4C758C97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2" name="Shape 8">
          <a:extLst>
            <a:ext uri="{FF2B5EF4-FFF2-40B4-BE49-F238E27FC236}">
              <a16:creationId xmlns:a16="http://schemas.microsoft.com/office/drawing/2014/main" id="{1A99B025-BA4D-4CA6-BC44-C5488B82814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3" name="Shape 9">
          <a:extLst>
            <a:ext uri="{FF2B5EF4-FFF2-40B4-BE49-F238E27FC236}">
              <a16:creationId xmlns:a16="http://schemas.microsoft.com/office/drawing/2014/main" id="{70A8A385-79B4-4399-8533-08476A7049C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4" name="Shape 10">
          <a:extLst>
            <a:ext uri="{FF2B5EF4-FFF2-40B4-BE49-F238E27FC236}">
              <a16:creationId xmlns:a16="http://schemas.microsoft.com/office/drawing/2014/main" id="{6C62E6E0-857C-432D-9D0E-6F9D0B6520F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5" name="Shape 11">
          <a:extLst>
            <a:ext uri="{FF2B5EF4-FFF2-40B4-BE49-F238E27FC236}">
              <a16:creationId xmlns:a16="http://schemas.microsoft.com/office/drawing/2014/main" id="{1CB7B709-EE36-493C-A31E-9EE914C9804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6" name="Shape 12">
          <a:extLst>
            <a:ext uri="{FF2B5EF4-FFF2-40B4-BE49-F238E27FC236}">
              <a16:creationId xmlns:a16="http://schemas.microsoft.com/office/drawing/2014/main" id="{D881C031-411C-4B92-89D0-4F17BC06F63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7" name="Shape 13">
          <a:extLst>
            <a:ext uri="{FF2B5EF4-FFF2-40B4-BE49-F238E27FC236}">
              <a16:creationId xmlns:a16="http://schemas.microsoft.com/office/drawing/2014/main" id="{14F30D7F-791B-40B2-AFA7-A124227D6FE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8" name="Shape 14">
          <a:extLst>
            <a:ext uri="{FF2B5EF4-FFF2-40B4-BE49-F238E27FC236}">
              <a16:creationId xmlns:a16="http://schemas.microsoft.com/office/drawing/2014/main" id="{1499FC05-BC8B-458B-A59E-B28B450219A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9" name="Shape 15">
          <a:extLst>
            <a:ext uri="{FF2B5EF4-FFF2-40B4-BE49-F238E27FC236}">
              <a16:creationId xmlns:a16="http://schemas.microsoft.com/office/drawing/2014/main" id="{D0650321-6B19-47DB-BB53-DCAD1597490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0" name="Shape 20">
          <a:extLst>
            <a:ext uri="{FF2B5EF4-FFF2-40B4-BE49-F238E27FC236}">
              <a16:creationId xmlns:a16="http://schemas.microsoft.com/office/drawing/2014/main" id="{BB35BC25-A31B-4B67-AC86-8E8568E5760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1" name="Shape 21">
          <a:extLst>
            <a:ext uri="{FF2B5EF4-FFF2-40B4-BE49-F238E27FC236}">
              <a16:creationId xmlns:a16="http://schemas.microsoft.com/office/drawing/2014/main" id="{31C3D343-B50D-47B0-A3CF-ABA7577FC84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2" name="Shape 22">
          <a:extLst>
            <a:ext uri="{FF2B5EF4-FFF2-40B4-BE49-F238E27FC236}">
              <a16:creationId xmlns:a16="http://schemas.microsoft.com/office/drawing/2014/main" id="{63E84EB9-3F86-40AA-8FCB-009AE61981A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3" name="Shape 23">
          <a:extLst>
            <a:ext uri="{FF2B5EF4-FFF2-40B4-BE49-F238E27FC236}">
              <a16:creationId xmlns:a16="http://schemas.microsoft.com/office/drawing/2014/main" id="{9D576D35-1BD7-41B7-8BAE-93118693E53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4" name="Shape 8">
          <a:extLst>
            <a:ext uri="{FF2B5EF4-FFF2-40B4-BE49-F238E27FC236}">
              <a16:creationId xmlns:a16="http://schemas.microsoft.com/office/drawing/2014/main" id="{15476A04-D489-429B-BE04-2159EE0B734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5" name="Shape 9">
          <a:extLst>
            <a:ext uri="{FF2B5EF4-FFF2-40B4-BE49-F238E27FC236}">
              <a16:creationId xmlns:a16="http://schemas.microsoft.com/office/drawing/2014/main" id="{90990991-76AA-4E02-BB91-A6462F45C5E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6" name="Shape 10">
          <a:extLst>
            <a:ext uri="{FF2B5EF4-FFF2-40B4-BE49-F238E27FC236}">
              <a16:creationId xmlns:a16="http://schemas.microsoft.com/office/drawing/2014/main" id="{17139B68-329C-45AC-85EF-412B7BB138F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7" name="Shape 11">
          <a:extLst>
            <a:ext uri="{FF2B5EF4-FFF2-40B4-BE49-F238E27FC236}">
              <a16:creationId xmlns:a16="http://schemas.microsoft.com/office/drawing/2014/main" id="{08C202A0-C9AD-4EE3-BE36-93C39D4B02FB}"/>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8" name="Shape 12">
          <a:extLst>
            <a:ext uri="{FF2B5EF4-FFF2-40B4-BE49-F238E27FC236}">
              <a16:creationId xmlns:a16="http://schemas.microsoft.com/office/drawing/2014/main" id="{A6C16E17-7739-4582-8F71-8E623C69BDB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9" name="Shape 13">
          <a:extLst>
            <a:ext uri="{FF2B5EF4-FFF2-40B4-BE49-F238E27FC236}">
              <a16:creationId xmlns:a16="http://schemas.microsoft.com/office/drawing/2014/main" id="{3B553B1B-D343-4FE8-B7FB-C897E100E49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0" name="Shape 14">
          <a:extLst>
            <a:ext uri="{FF2B5EF4-FFF2-40B4-BE49-F238E27FC236}">
              <a16:creationId xmlns:a16="http://schemas.microsoft.com/office/drawing/2014/main" id="{A52EE6EE-085B-4129-8404-014A28953D2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1" name="Shape 15">
          <a:extLst>
            <a:ext uri="{FF2B5EF4-FFF2-40B4-BE49-F238E27FC236}">
              <a16:creationId xmlns:a16="http://schemas.microsoft.com/office/drawing/2014/main" id="{E80458BD-E7C6-4224-881E-4CF4D7D13D8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2" name="Shape 20">
          <a:extLst>
            <a:ext uri="{FF2B5EF4-FFF2-40B4-BE49-F238E27FC236}">
              <a16:creationId xmlns:a16="http://schemas.microsoft.com/office/drawing/2014/main" id="{6C7AC8B0-1452-4452-9D4D-B7F310F852B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3" name="Shape 21">
          <a:extLst>
            <a:ext uri="{FF2B5EF4-FFF2-40B4-BE49-F238E27FC236}">
              <a16:creationId xmlns:a16="http://schemas.microsoft.com/office/drawing/2014/main" id="{3C61B64F-B3B5-45D6-9A7B-9CAD36F8DC0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4" name="Shape 22">
          <a:extLst>
            <a:ext uri="{FF2B5EF4-FFF2-40B4-BE49-F238E27FC236}">
              <a16:creationId xmlns:a16="http://schemas.microsoft.com/office/drawing/2014/main" id="{57DF40BA-1709-4CAE-B380-8B15C182049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5" name="Shape 23">
          <a:extLst>
            <a:ext uri="{FF2B5EF4-FFF2-40B4-BE49-F238E27FC236}">
              <a16:creationId xmlns:a16="http://schemas.microsoft.com/office/drawing/2014/main" id="{4BBDFA4C-7DCC-4DA1-AF64-93EB1ADE423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46" name="Shape 8">
          <a:extLst>
            <a:ext uri="{FF2B5EF4-FFF2-40B4-BE49-F238E27FC236}">
              <a16:creationId xmlns:a16="http://schemas.microsoft.com/office/drawing/2014/main" id="{51581E02-61C9-40F0-80B0-E209E79CC30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47" name="Shape 9">
          <a:extLst>
            <a:ext uri="{FF2B5EF4-FFF2-40B4-BE49-F238E27FC236}">
              <a16:creationId xmlns:a16="http://schemas.microsoft.com/office/drawing/2014/main" id="{E9C9DB8C-D1F6-4ACB-9A65-10BF60DBE8C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48" name="Shape 10">
          <a:extLst>
            <a:ext uri="{FF2B5EF4-FFF2-40B4-BE49-F238E27FC236}">
              <a16:creationId xmlns:a16="http://schemas.microsoft.com/office/drawing/2014/main" id="{33C8DB91-4E6D-4E3B-8E85-55697119A60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49" name="Shape 11">
          <a:extLst>
            <a:ext uri="{FF2B5EF4-FFF2-40B4-BE49-F238E27FC236}">
              <a16:creationId xmlns:a16="http://schemas.microsoft.com/office/drawing/2014/main" id="{0E18D7EC-8115-4610-B9AC-142B2E2735F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0" name="Shape 12">
          <a:extLst>
            <a:ext uri="{FF2B5EF4-FFF2-40B4-BE49-F238E27FC236}">
              <a16:creationId xmlns:a16="http://schemas.microsoft.com/office/drawing/2014/main" id="{5EECFE7B-8976-4319-95FF-F0BCF124262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1" name="Shape 13">
          <a:extLst>
            <a:ext uri="{FF2B5EF4-FFF2-40B4-BE49-F238E27FC236}">
              <a16:creationId xmlns:a16="http://schemas.microsoft.com/office/drawing/2014/main" id="{521C2ABB-F799-496E-B6A6-B13ACC62F78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2" name="Shape 14">
          <a:extLst>
            <a:ext uri="{FF2B5EF4-FFF2-40B4-BE49-F238E27FC236}">
              <a16:creationId xmlns:a16="http://schemas.microsoft.com/office/drawing/2014/main" id="{498A4A7C-3516-4B57-A6AB-260B2C47B3B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3" name="Shape 15">
          <a:extLst>
            <a:ext uri="{FF2B5EF4-FFF2-40B4-BE49-F238E27FC236}">
              <a16:creationId xmlns:a16="http://schemas.microsoft.com/office/drawing/2014/main" id="{6AF2359F-4F87-4010-85B5-AC3232546A3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4" name="Shape 20">
          <a:extLst>
            <a:ext uri="{FF2B5EF4-FFF2-40B4-BE49-F238E27FC236}">
              <a16:creationId xmlns:a16="http://schemas.microsoft.com/office/drawing/2014/main" id="{7091ED5B-2E70-4F74-B1E1-9B25AC15F76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5" name="Shape 21">
          <a:extLst>
            <a:ext uri="{FF2B5EF4-FFF2-40B4-BE49-F238E27FC236}">
              <a16:creationId xmlns:a16="http://schemas.microsoft.com/office/drawing/2014/main" id="{EBF1609C-A6EA-4A5F-883B-53E1D272956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6" name="Shape 22">
          <a:extLst>
            <a:ext uri="{FF2B5EF4-FFF2-40B4-BE49-F238E27FC236}">
              <a16:creationId xmlns:a16="http://schemas.microsoft.com/office/drawing/2014/main" id="{5865BE31-DD49-4B8F-B4FE-7ADA6E88C0E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7" name="Shape 23">
          <a:extLst>
            <a:ext uri="{FF2B5EF4-FFF2-40B4-BE49-F238E27FC236}">
              <a16:creationId xmlns:a16="http://schemas.microsoft.com/office/drawing/2014/main" id="{243EB292-C55D-4ADF-8D62-736C43A04FD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8" name="Shape 8">
          <a:extLst>
            <a:ext uri="{FF2B5EF4-FFF2-40B4-BE49-F238E27FC236}">
              <a16:creationId xmlns:a16="http://schemas.microsoft.com/office/drawing/2014/main" id="{BAE5493F-AB81-4C8F-8B5B-66993A380BA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9" name="Shape 9">
          <a:extLst>
            <a:ext uri="{FF2B5EF4-FFF2-40B4-BE49-F238E27FC236}">
              <a16:creationId xmlns:a16="http://schemas.microsoft.com/office/drawing/2014/main" id="{A7F1B108-2C49-41FE-A3A3-0DCD2E02833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0" name="Shape 10">
          <a:extLst>
            <a:ext uri="{FF2B5EF4-FFF2-40B4-BE49-F238E27FC236}">
              <a16:creationId xmlns:a16="http://schemas.microsoft.com/office/drawing/2014/main" id="{7D4AF417-ECB3-4A0F-B03A-CF4463E48AB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1" name="Shape 11">
          <a:extLst>
            <a:ext uri="{FF2B5EF4-FFF2-40B4-BE49-F238E27FC236}">
              <a16:creationId xmlns:a16="http://schemas.microsoft.com/office/drawing/2014/main" id="{152C662D-8404-43A1-B045-004CB30AFC8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2" name="Shape 12">
          <a:extLst>
            <a:ext uri="{FF2B5EF4-FFF2-40B4-BE49-F238E27FC236}">
              <a16:creationId xmlns:a16="http://schemas.microsoft.com/office/drawing/2014/main" id="{AE4FD7A5-222F-4808-BD29-ACB3AF18EDF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3" name="Shape 13">
          <a:extLst>
            <a:ext uri="{FF2B5EF4-FFF2-40B4-BE49-F238E27FC236}">
              <a16:creationId xmlns:a16="http://schemas.microsoft.com/office/drawing/2014/main" id="{0A8EA843-1779-438D-8330-FA8584B4C7D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4" name="Shape 14">
          <a:extLst>
            <a:ext uri="{FF2B5EF4-FFF2-40B4-BE49-F238E27FC236}">
              <a16:creationId xmlns:a16="http://schemas.microsoft.com/office/drawing/2014/main" id="{4F3A6386-F4D0-422C-BF50-78A027C0220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5" name="Shape 15">
          <a:extLst>
            <a:ext uri="{FF2B5EF4-FFF2-40B4-BE49-F238E27FC236}">
              <a16:creationId xmlns:a16="http://schemas.microsoft.com/office/drawing/2014/main" id="{93FB8301-83E1-4F75-A4F7-C8867C64EEB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6" name="Shape 20">
          <a:extLst>
            <a:ext uri="{FF2B5EF4-FFF2-40B4-BE49-F238E27FC236}">
              <a16:creationId xmlns:a16="http://schemas.microsoft.com/office/drawing/2014/main" id="{3386800C-C5C8-4647-B7AF-5CE3614BF28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7" name="Shape 21">
          <a:extLst>
            <a:ext uri="{FF2B5EF4-FFF2-40B4-BE49-F238E27FC236}">
              <a16:creationId xmlns:a16="http://schemas.microsoft.com/office/drawing/2014/main" id="{AD9C0C66-786A-4590-BE75-DB08ADA915E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8" name="Shape 22">
          <a:extLst>
            <a:ext uri="{FF2B5EF4-FFF2-40B4-BE49-F238E27FC236}">
              <a16:creationId xmlns:a16="http://schemas.microsoft.com/office/drawing/2014/main" id="{EBB09C92-CE15-4E00-849B-0D42174D56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9" name="Shape 23">
          <a:extLst>
            <a:ext uri="{FF2B5EF4-FFF2-40B4-BE49-F238E27FC236}">
              <a16:creationId xmlns:a16="http://schemas.microsoft.com/office/drawing/2014/main" id="{61ADE912-7CB6-47DB-9067-8B3F72341CF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0" name="Shape 8">
          <a:extLst>
            <a:ext uri="{FF2B5EF4-FFF2-40B4-BE49-F238E27FC236}">
              <a16:creationId xmlns:a16="http://schemas.microsoft.com/office/drawing/2014/main" id="{763E7DB5-839C-4271-9F73-2D46F3331BB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1" name="Shape 9">
          <a:extLst>
            <a:ext uri="{FF2B5EF4-FFF2-40B4-BE49-F238E27FC236}">
              <a16:creationId xmlns:a16="http://schemas.microsoft.com/office/drawing/2014/main" id="{34ED9E3E-BAAD-4039-AA83-D75C8D9E6B3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2" name="Shape 10">
          <a:extLst>
            <a:ext uri="{FF2B5EF4-FFF2-40B4-BE49-F238E27FC236}">
              <a16:creationId xmlns:a16="http://schemas.microsoft.com/office/drawing/2014/main" id="{A53E7CED-7666-4274-9EBC-F5A770B2C9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3" name="Shape 11">
          <a:extLst>
            <a:ext uri="{FF2B5EF4-FFF2-40B4-BE49-F238E27FC236}">
              <a16:creationId xmlns:a16="http://schemas.microsoft.com/office/drawing/2014/main" id="{99664D46-6E9B-40F5-B76D-229DE01D3B8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4" name="Shape 12">
          <a:extLst>
            <a:ext uri="{FF2B5EF4-FFF2-40B4-BE49-F238E27FC236}">
              <a16:creationId xmlns:a16="http://schemas.microsoft.com/office/drawing/2014/main" id="{EE4C62FC-1B70-44AF-9037-6CAA476DC1C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5" name="Shape 13">
          <a:extLst>
            <a:ext uri="{FF2B5EF4-FFF2-40B4-BE49-F238E27FC236}">
              <a16:creationId xmlns:a16="http://schemas.microsoft.com/office/drawing/2014/main" id="{2D2CEC19-CB3E-4D09-8483-619A7FC702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6" name="Shape 14">
          <a:extLst>
            <a:ext uri="{FF2B5EF4-FFF2-40B4-BE49-F238E27FC236}">
              <a16:creationId xmlns:a16="http://schemas.microsoft.com/office/drawing/2014/main" id="{09403165-8E41-4D68-AB2C-A66B4CAECF2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7" name="Shape 15">
          <a:extLst>
            <a:ext uri="{FF2B5EF4-FFF2-40B4-BE49-F238E27FC236}">
              <a16:creationId xmlns:a16="http://schemas.microsoft.com/office/drawing/2014/main" id="{FD43DDD6-7C04-44C5-951C-F5C490E4370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8" name="Shape 20">
          <a:extLst>
            <a:ext uri="{FF2B5EF4-FFF2-40B4-BE49-F238E27FC236}">
              <a16:creationId xmlns:a16="http://schemas.microsoft.com/office/drawing/2014/main" id="{920F44C2-17B4-4CC9-BACE-030E453873E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9" name="Shape 21">
          <a:extLst>
            <a:ext uri="{FF2B5EF4-FFF2-40B4-BE49-F238E27FC236}">
              <a16:creationId xmlns:a16="http://schemas.microsoft.com/office/drawing/2014/main" id="{38A99407-377D-4ECA-80F5-F2885CAE3AD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0" name="Shape 22">
          <a:extLst>
            <a:ext uri="{FF2B5EF4-FFF2-40B4-BE49-F238E27FC236}">
              <a16:creationId xmlns:a16="http://schemas.microsoft.com/office/drawing/2014/main" id="{74FE6E84-01DB-4D43-A268-A4BE07E6360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1" name="Shape 23">
          <a:extLst>
            <a:ext uri="{FF2B5EF4-FFF2-40B4-BE49-F238E27FC236}">
              <a16:creationId xmlns:a16="http://schemas.microsoft.com/office/drawing/2014/main" id="{83E77FD6-18E6-4AC0-B274-D4AEB1302ED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2" name="Shape 8">
          <a:extLst>
            <a:ext uri="{FF2B5EF4-FFF2-40B4-BE49-F238E27FC236}">
              <a16:creationId xmlns:a16="http://schemas.microsoft.com/office/drawing/2014/main" id="{E3298B7D-4B2D-43B5-A0B8-DD1FFD75CF8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3" name="Shape 9">
          <a:extLst>
            <a:ext uri="{FF2B5EF4-FFF2-40B4-BE49-F238E27FC236}">
              <a16:creationId xmlns:a16="http://schemas.microsoft.com/office/drawing/2014/main" id="{BE1EDDC6-BCE0-40B2-B4E9-C6B5578636E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4" name="Shape 10">
          <a:extLst>
            <a:ext uri="{FF2B5EF4-FFF2-40B4-BE49-F238E27FC236}">
              <a16:creationId xmlns:a16="http://schemas.microsoft.com/office/drawing/2014/main" id="{50EA5384-FFA4-4880-B719-2395B05BEDD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5" name="Shape 11">
          <a:extLst>
            <a:ext uri="{FF2B5EF4-FFF2-40B4-BE49-F238E27FC236}">
              <a16:creationId xmlns:a16="http://schemas.microsoft.com/office/drawing/2014/main" id="{BBE46EEC-0C06-4E5B-99AF-45D05944C3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6" name="Shape 12">
          <a:extLst>
            <a:ext uri="{FF2B5EF4-FFF2-40B4-BE49-F238E27FC236}">
              <a16:creationId xmlns:a16="http://schemas.microsoft.com/office/drawing/2014/main" id="{2A4EC82F-7B2D-47E3-ABA9-AB3766DDBD8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7" name="Shape 13">
          <a:extLst>
            <a:ext uri="{FF2B5EF4-FFF2-40B4-BE49-F238E27FC236}">
              <a16:creationId xmlns:a16="http://schemas.microsoft.com/office/drawing/2014/main" id="{7157370A-7FE4-41AD-894A-B96E0650A7D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8" name="Shape 14">
          <a:extLst>
            <a:ext uri="{FF2B5EF4-FFF2-40B4-BE49-F238E27FC236}">
              <a16:creationId xmlns:a16="http://schemas.microsoft.com/office/drawing/2014/main" id="{C19E17F5-2668-4D7E-A81C-AB6A7E541E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9" name="Shape 15">
          <a:extLst>
            <a:ext uri="{FF2B5EF4-FFF2-40B4-BE49-F238E27FC236}">
              <a16:creationId xmlns:a16="http://schemas.microsoft.com/office/drawing/2014/main" id="{340AADBB-9C61-4BBE-A4B4-2B2A7E4ADD6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0" name="Shape 20">
          <a:extLst>
            <a:ext uri="{FF2B5EF4-FFF2-40B4-BE49-F238E27FC236}">
              <a16:creationId xmlns:a16="http://schemas.microsoft.com/office/drawing/2014/main" id="{F58D3FF9-A1F4-4B76-BB17-90121797006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1" name="Shape 21">
          <a:extLst>
            <a:ext uri="{FF2B5EF4-FFF2-40B4-BE49-F238E27FC236}">
              <a16:creationId xmlns:a16="http://schemas.microsoft.com/office/drawing/2014/main" id="{A68F8776-7370-4294-8BDA-F2013BEA8DC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2" name="Shape 22">
          <a:extLst>
            <a:ext uri="{FF2B5EF4-FFF2-40B4-BE49-F238E27FC236}">
              <a16:creationId xmlns:a16="http://schemas.microsoft.com/office/drawing/2014/main" id="{F3D96AFB-76C3-4123-AA2D-0955CC509D4E}"/>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3" name="Shape 23">
          <a:extLst>
            <a:ext uri="{FF2B5EF4-FFF2-40B4-BE49-F238E27FC236}">
              <a16:creationId xmlns:a16="http://schemas.microsoft.com/office/drawing/2014/main" id="{696F0B01-C496-4977-A1A7-09296665CD0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4" name="Shape 8">
          <a:extLst>
            <a:ext uri="{FF2B5EF4-FFF2-40B4-BE49-F238E27FC236}">
              <a16:creationId xmlns:a16="http://schemas.microsoft.com/office/drawing/2014/main" id="{3E6E8612-297D-4A77-86E3-EBA9894AD9C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5" name="Shape 9">
          <a:extLst>
            <a:ext uri="{FF2B5EF4-FFF2-40B4-BE49-F238E27FC236}">
              <a16:creationId xmlns:a16="http://schemas.microsoft.com/office/drawing/2014/main" id="{55BCCEA8-24E9-4240-BFCA-6BF0BE23722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6" name="Shape 10">
          <a:extLst>
            <a:ext uri="{FF2B5EF4-FFF2-40B4-BE49-F238E27FC236}">
              <a16:creationId xmlns:a16="http://schemas.microsoft.com/office/drawing/2014/main" id="{66752159-7573-48BA-B56C-1354EF847B8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7" name="Shape 11">
          <a:extLst>
            <a:ext uri="{FF2B5EF4-FFF2-40B4-BE49-F238E27FC236}">
              <a16:creationId xmlns:a16="http://schemas.microsoft.com/office/drawing/2014/main" id="{FA4D1B78-058D-47D8-99F2-4661F9BA5A6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8" name="Shape 12">
          <a:extLst>
            <a:ext uri="{FF2B5EF4-FFF2-40B4-BE49-F238E27FC236}">
              <a16:creationId xmlns:a16="http://schemas.microsoft.com/office/drawing/2014/main" id="{0C41A353-B7C4-4AF2-930D-7DB51ADE808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9" name="Shape 13">
          <a:extLst>
            <a:ext uri="{FF2B5EF4-FFF2-40B4-BE49-F238E27FC236}">
              <a16:creationId xmlns:a16="http://schemas.microsoft.com/office/drawing/2014/main" id="{C7809DDF-2683-4BAF-803E-91E0E63F75F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0" name="Shape 14">
          <a:extLst>
            <a:ext uri="{FF2B5EF4-FFF2-40B4-BE49-F238E27FC236}">
              <a16:creationId xmlns:a16="http://schemas.microsoft.com/office/drawing/2014/main" id="{085A7BF0-0A52-40C9-B080-F230E8074BB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1" name="Shape 15">
          <a:extLst>
            <a:ext uri="{FF2B5EF4-FFF2-40B4-BE49-F238E27FC236}">
              <a16:creationId xmlns:a16="http://schemas.microsoft.com/office/drawing/2014/main" id="{DDE008D6-CD2C-4DBC-B3E4-25A3EE142DC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2" name="Shape 20">
          <a:extLst>
            <a:ext uri="{FF2B5EF4-FFF2-40B4-BE49-F238E27FC236}">
              <a16:creationId xmlns:a16="http://schemas.microsoft.com/office/drawing/2014/main" id="{5E1E5A7A-5928-4443-A52B-2B16FF36E61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3" name="Shape 21">
          <a:extLst>
            <a:ext uri="{FF2B5EF4-FFF2-40B4-BE49-F238E27FC236}">
              <a16:creationId xmlns:a16="http://schemas.microsoft.com/office/drawing/2014/main" id="{4A9B4C3B-1E4C-49C9-9256-0ABBCAF2F85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4" name="Shape 22">
          <a:extLst>
            <a:ext uri="{FF2B5EF4-FFF2-40B4-BE49-F238E27FC236}">
              <a16:creationId xmlns:a16="http://schemas.microsoft.com/office/drawing/2014/main" id="{5D606D22-70BD-4895-A549-DCAACA9507B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5" name="Shape 23">
          <a:extLst>
            <a:ext uri="{FF2B5EF4-FFF2-40B4-BE49-F238E27FC236}">
              <a16:creationId xmlns:a16="http://schemas.microsoft.com/office/drawing/2014/main" id="{AB29BD17-DF33-4F1E-81DB-0C7C1AF7D3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6" name="Shape 8">
          <a:extLst>
            <a:ext uri="{FF2B5EF4-FFF2-40B4-BE49-F238E27FC236}">
              <a16:creationId xmlns:a16="http://schemas.microsoft.com/office/drawing/2014/main" id="{CF069A85-50B2-41F3-9454-A44FA28923B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7" name="Shape 9">
          <a:extLst>
            <a:ext uri="{FF2B5EF4-FFF2-40B4-BE49-F238E27FC236}">
              <a16:creationId xmlns:a16="http://schemas.microsoft.com/office/drawing/2014/main" id="{B7FDE1BC-794C-464C-BE43-4624557C938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8" name="Shape 10">
          <a:extLst>
            <a:ext uri="{FF2B5EF4-FFF2-40B4-BE49-F238E27FC236}">
              <a16:creationId xmlns:a16="http://schemas.microsoft.com/office/drawing/2014/main" id="{3FB610B1-CD81-4225-AF52-609AD154301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9" name="Shape 11">
          <a:extLst>
            <a:ext uri="{FF2B5EF4-FFF2-40B4-BE49-F238E27FC236}">
              <a16:creationId xmlns:a16="http://schemas.microsoft.com/office/drawing/2014/main" id="{589C194D-6361-4844-8D81-7A31ED1F214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0" name="Shape 12">
          <a:extLst>
            <a:ext uri="{FF2B5EF4-FFF2-40B4-BE49-F238E27FC236}">
              <a16:creationId xmlns:a16="http://schemas.microsoft.com/office/drawing/2014/main" id="{D08C5094-81E1-499F-937C-DB5D6529A22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1" name="Shape 13">
          <a:extLst>
            <a:ext uri="{FF2B5EF4-FFF2-40B4-BE49-F238E27FC236}">
              <a16:creationId xmlns:a16="http://schemas.microsoft.com/office/drawing/2014/main" id="{DC9CE67B-F16F-4E85-834B-095184BD30A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2" name="Shape 14">
          <a:extLst>
            <a:ext uri="{FF2B5EF4-FFF2-40B4-BE49-F238E27FC236}">
              <a16:creationId xmlns:a16="http://schemas.microsoft.com/office/drawing/2014/main" id="{5595A104-351F-4DEF-898C-AC6F18EF11F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3" name="Shape 15">
          <a:extLst>
            <a:ext uri="{FF2B5EF4-FFF2-40B4-BE49-F238E27FC236}">
              <a16:creationId xmlns:a16="http://schemas.microsoft.com/office/drawing/2014/main" id="{59B31F2F-8D85-45F1-BC91-A7F7998CFDC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4" name="Shape 20">
          <a:extLst>
            <a:ext uri="{FF2B5EF4-FFF2-40B4-BE49-F238E27FC236}">
              <a16:creationId xmlns:a16="http://schemas.microsoft.com/office/drawing/2014/main" id="{CA6FFFD6-9B01-4FE7-980B-D2D57021B0D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5" name="Shape 21">
          <a:extLst>
            <a:ext uri="{FF2B5EF4-FFF2-40B4-BE49-F238E27FC236}">
              <a16:creationId xmlns:a16="http://schemas.microsoft.com/office/drawing/2014/main" id="{6EC23EC9-D600-4543-911B-2DBFE336738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6" name="Shape 22">
          <a:extLst>
            <a:ext uri="{FF2B5EF4-FFF2-40B4-BE49-F238E27FC236}">
              <a16:creationId xmlns:a16="http://schemas.microsoft.com/office/drawing/2014/main" id="{611E1266-3513-4FE7-BBFA-8242EDCF6D5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7" name="Shape 23">
          <a:extLst>
            <a:ext uri="{FF2B5EF4-FFF2-40B4-BE49-F238E27FC236}">
              <a16:creationId xmlns:a16="http://schemas.microsoft.com/office/drawing/2014/main" id="{B7E9391B-15F0-4531-A722-F0931524D0D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8" name="Shape 24">
          <a:extLst>
            <a:ext uri="{FF2B5EF4-FFF2-40B4-BE49-F238E27FC236}">
              <a16:creationId xmlns:a16="http://schemas.microsoft.com/office/drawing/2014/main" id="{FA8FA361-553F-48AD-8D89-6EAB1A1DAED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9" name="Shape 25">
          <a:extLst>
            <a:ext uri="{FF2B5EF4-FFF2-40B4-BE49-F238E27FC236}">
              <a16:creationId xmlns:a16="http://schemas.microsoft.com/office/drawing/2014/main" id="{FA0D7F76-D94F-409D-BC26-F796E36771E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0" name="Shape 8">
          <a:extLst>
            <a:ext uri="{FF2B5EF4-FFF2-40B4-BE49-F238E27FC236}">
              <a16:creationId xmlns:a16="http://schemas.microsoft.com/office/drawing/2014/main" id="{3A3CC9A9-1F99-4069-A1F0-E85E9807E4CA}"/>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1" name="Shape 9">
          <a:extLst>
            <a:ext uri="{FF2B5EF4-FFF2-40B4-BE49-F238E27FC236}">
              <a16:creationId xmlns:a16="http://schemas.microsoft.com/office/drawing/2014/main" id="{25599285-84E2-4715-B406-BCAA6F2A714E}"/>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2" name="Shape 10">
          <a:extLst>
            <a:ext uri="{FF2B5EF4-FFF2-40B4-BE49-F238E27FC236}">
              <a16:creationId xmlns:a16="http://schemas.microsoft.com/office/drawing/2014/main" id="{31884A29-7FED-477D-985A-9B1F7B76D7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23" name="Shape 11">
          <a:extLst>
            <a:ext uri="{FF2B5EF4-FFF2-40B4-BE49-F238E27FC236}">
              <a16:creationId xmlns:a16="http://schemas.microsoft.com/office/drawing/2014/main" id="{51890284-3B69-4BE1-955A-38C865DFE5E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4" name="Shape 12">
          <a:extLst>
            <a:ext uri="{FF2B5EF4-FFF2-40B4-BE49-F238E27FC236}">
              <a16:creationId xmlns:a16="http://schemas.microsoft.com/office/drawing/2014/main" id="{E460D3D7-4932-49EA-AA79-E093C74A241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25" name="Shape 13">
          <a:extLst>
            <a:ext uri="{FF2B5EF4-FFF2-40B4-BE49-F238E27FC236}">
              <a16:creationId xmlns:a16="http://schemas.microsoft.com/office/drawing/2014/main" id="{00F9CFA9-C90B-42D4-888F-FBAF23B7E79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6" name="Shape 14">
          <a:extLst>
            <a:ext uri="{FF2B5EF4-FFF2-40B4-BE49-F238E27FC236}">
              <a16:creationId xmlns:a16="http://schemas.microsoft.com/office/drawing/2014/main" id="{C5293E53-4633-4429-B2CE-71A845954DBF}"/>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7" name="Shape 15">
          <a:extLst>
            <a:ext uri="{FF2B5EF4-FFF2-40B4-BE49-F238E27FC236}">
              <a16:creationId xmlns:a16="http://schemas.microsoft.com/office/drawing/2014/main" id="{488FF21D-65F7-45A1-B739-A91A74BDFABF}"/>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8" name="Shape 20">
          <a:extLst>
            <a:ext uri="{FF2B5EF4-FFF2-40B4-BE49-F238E27FC236}">
              <a16:creationId xmlns:a16="http://schemas.microsoft.com/office/drawing/2014/main" id="{1F1C5C9E-05F7-4D21-9A01-C005E01A7226}"/>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9" name="Shape 21">
          <a:extLst>
            <a:ext uri="{FF2B5EF4-FFF2-40B4-BE49-F238E27FC236}">
              <a16:creationId xmlns:a16="http://schemas.microsoft.com/office/drawing/2014/main" id="{81E3623E-D6D2-4792-BF05-2488C572C338}"/>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0" name="Shape 22">
          <a:extLst>
            <a:ext uri="{FF2B5EF4-FFF2-40B4-BE49-F238E27FC236}">
              <a16:creationId xmlns:a16="http://schemas.microsoft.com/office/drawing/2014/main" id="{75060120-7BE7-4668-AE87-33AA6925593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1" name="Shape 23">
          <a:extLst>
            <a:ext uri="{FF2B5EF4-FFF2-40B4-BE49-F238E27FC236}">
              <a16:creationId xmlns:a16="http://schemas.microsoft.com/office/drawing/2014/main" id="{AE09D959-8DF4-4F7C-9886-75F9BBB3370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32" name="Shape 24">
          <a:extLst>
            <a:ext uri="{FF2B5EF4-FFF2-40B4-BE49-F238E27FC236}">
              <a16:creationId xmlns:a16="http://schemas.microsoft.com/office/drawing/2014/main" id="{8047DA2B-581E-4AA1-9586-0CCC446546BD}"/>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33" name="Shape 25">
          <a:extLst>
            <a:ext uri="{FF2B5EF4-FFF2-40B4-BE49-F238E27FC236}">
              <a16:creationId xmlns:a16="http://schemas.microsoft.com/office/drawing/2014/main" id="{BE51F0DE-6E37-4922-A4EE-9B8D78F29335}"/>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4" name="Shape 8">
          <a:extLst>
            <a:ext uri="{FF2B5EF4-FFF2-40B4-BE49-F238E27FC236}">
              <a16:creationId xmlns:a16="http://schemas.microsoft.com/office/drawing/2014/main" id="{E2745619-30CF-45B5-B741-C62A696CEAE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5" name="Shape 9">
          <a:extLst>
            <a:ext uri="{FF2B5EF4-FFF2-40B4-BE49-F238E27FC236}">
              <a16:creationId xmlns:a16="http://schemas.microsoft.com/office/drawing/2014/main" id="{D55E5070-C998-4DFA-8DC8-10A78E970ED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6" name="Shape 10">
          <a:extLst>
            <a:ext uri="{FF2B5EF4-FFF2-40B4-BE49-F238E27FC236}">
              <a16:creationId xmlns:a16="http://schemas.microsoft.com/office/drawing/2014/main" id="{33D4FC53-6B38-4F43-A28A-B0B208AF450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7" name="Shape 11">
          <a:extLst>
            <a:ext uri="{FF2B5EF4-FFF2-40B4-BE49-F238E27FC236}">
              <a16:creationId xmlns:a16="http://schemas.microsoft.com/office/drawing/2014/main" id="{1E34720B-026D-4326-B7C4-F278BCB9FE2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8" name="Shape 12">
          <a:extLst>
            <a:ext uri="{FF2B5EF4-FFF2-40B4-BE49-F238E27FC236}">
              <a16:creationId xmlns:a16="http://schemas.microsoft.com/office/drawing/2014/main" id="{B2C703F3-B215-49A9-BD36-9F0E475F6E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9" name="Shape 13">
          <a:extLst>
            <a:ext uri="{FF2B5EF4-FFF2-40B4-BE49-F238E27FC236}">
              <a16:creationId xmlns:a16="http://schemas.microsoft.com/office/drawing/2014/main" id="{DBA4AADA-8F4F-4806-9FD6-5CF40899D1F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0" name="Shape 14">
          <a:extLst>
            <a:ext uri="{FF2B5EF4-FFF2-40B4-BE49-F238E27FC236}">
              <a16:creationId xmlns:a16="http://schemas.microsoft.com/office/drawing/2014/main" id="{5C6188F4-B609-4E25-B375-3E452CEE781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1" name="Shape 15">
          <a:extLst>
            <a:ext uri="{FF2B5EF4-FFF2-40B4-BE49-F238E27FC236}">
              <a16:creationId xmlns:a16="http://schemas.microsoft.com/office/drawing/2014/main" id="{91C1220D-BB41-49BF-BC57-A495F5D4113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2" name="Shape 20">
          <a:extLst>
            <a:ext uri="{FF2B5EF4-FFF2-40B4-BE49-F238E27FC236}">
              <a16:creationId xmlns:a16="http://schemas.microsoft.com/office/drawing/2014/main" id="{0EDD26FE-A2AE-4B20-9ABB-E12F720CBBD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3" name="Shape 21">
          <a:extLst>
            <a:ext uri="{FF2B5EF4-FFF2-40B4-BE49-F238E27FC236}">
              <a16:creationId xmlns:a16="http://schemas.microsoft.com/office/drawing/2014/main" id="{E2FBB80E-CD54-42D4-887C-B094629E9E7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4" name="Shape 22">
          <a:extLst>
            <a:ext uri="{FF2B5EF4-FFF2-40B4-BE49-F238E27FC236}">
              <a16:creationId xmlns:a16="http://schemas.microsoft.com/office/drawing/2014/main" id="{19AB2A8C-2C5C-4B2F-9FBF-2246DD65AF6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5" name="Shape 23">
          <a:extLst>
            <a:ext uri="{FF2B5EF4-FFF2-40B4-BE49-F238E27FC236}">
              <a16:creationId xmlns:a16="http://schemas.microsoft.com/office/drawing/2014/main" id="{52DE94D3-1E6D-47C5-95AD-A4376E33DD0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6" name="Shape 24">
          <a:extLst>
            <a:ext uri="{FF2B5EF4-FFF2-40B4-BE49-F238E27FC236}">
              <a16:creationId xmlns:a16="http://schemas.microsoft.com/office/drawing/2014/main" id="{C3B3CC74-8630-4A34-9B7F-73CA8DFB6D8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7" name="Shape 25">
          <a:extLst>
            <a:ext uri="{FF2B5EF4-FFF2-40B4-BE49-F238E27FC236}">
              <a16:creationId xmlns:a16="http://schemas.microsoft.com/office/drawing/2014/main" id="{D720626D-B52C-4D36-A9CA-1582121FCED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8" name="Shape 8">
          <a:extLst>
            <a:ext uri="{FF2B5EF4-FFF2-40B4-BE49-F238E27FC236}">
              <a16:creationId xmlns:a16="http://schemas.microsoft.com/office/drawing/2014/main" id="{F1EEC320-3106-486F-8E60-3ACA99053F7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9" name="Shape 9">
          <a:extLst>
            <a:ext uri="{FF2B5EF4-FFF2-40B4-BE49-F238E27FC236}">
              <a16:creationId xmlns:a16="http://schemas.microsoft.com/office/drawing/2014/main" id="{6AB8806E-2749-4FD5-8F31-607BCF6E28F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0" name="Shape 10">
          <a:extLst>
            <a:ext uri="{FF2B5EF4-FFF2-40B4-BE49-F238E27FC236}">
              <a16:creationId xmlns:a16="http://schemas.microsoft.com/office/drawing/2014/main" id="{DF7BE1A3-BBB2-4377-AB98-B757E530E4B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1" name="Shape 11">
          <a:extLst>
            <a:ext uri="{FF2B5EF4-FFF2-40B4-BE49-F238E27FC236}">
              <a16:creationId xmlns:a16="http://schemas.microsoft.com/office/drawing/2014/main" id="{952952CE-3552-4067-B0E2-C3A516E717A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2" name="Shape 12">
          <a:extLst>
            <a:ext uri="{FF2B5EF4-FFF2-40B4-BE49-F238E27FC236}">
              <a16:creationId xmlns:a16="http://schemas.microsoft.com/office/drawing/2014/main" id="{2708D66A-7B28-473A-8A5E-3FB62805B2D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3" name="Shape 13">
          <a:extLst>
            <a:ext uri="{FF2B5EF4-FFF2-40B4-BE49-F238E27FC236}">
              <a16:creationId xmlns:a16="http://schemas.microsoft.com/office/drawing/2014/main" id="{D8F8BCED-71F0-41C8-A936-6A25696F4C7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4" name="Shape 14">
          <a:extLst>
            <a:ext uri="{FF2B5EF4-FFF2-40B4-BE49-F238E27FC236}">
              <a16:creationId xmlns:a16="http://schemas.microsoft.com/office/drawing/2014/main" id="{75964606-3492-4697-8150-C8FAF1D255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5" name="Shape 15">
          <a:extLst>
            <a:ext uri="{FF2B5EF4-FFF2-40B4-BE49-F238E27FC236}">
              <a16:creationId xmlns:a16="http://schemas.microsoft.com/office/drawing/2014/main" id="{9BD2AF85-F559-4B0A-B164-AEC427095DA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6" name="Shape 20">
          <a:extLst>
            <a:ext uri="{FF2B5EF4-FFF2-40B4-BE49-F238E27FC236}">
              <a16:creationId xmlns:a16="http://schemas.microsoft.com/office/drawing/2014/main" id="{B5E3DB9D-7A55-4C6F-B78C-913FE1A94F5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7" name="Shape 21">
          <a:extLst>
            <a:ext uri="{FF2B5EF4-FFF2-40B4-BE49-F238E27FC236}">
              <a16:creationId xmlns:a16="http://schemas.microsoft.com/office/drawing/2014/main" id="{D772C748-C5D7-4308-9413-564D1B5D9DF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8" name="Shape 22">
          <a:extLst>
            <a:ext uri="{FF2B5EF4-FFF2-40B4-BE49-F238E27FC236}">
              <a16:creationId xmlns:a16="http://schemas.microsoft.com/office/drawing/2014/main" id="{C0AF4E14-AEB4-4D2B-8A48-7E529610B8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9" name="Shape 23">
          <a:extLst>
            <a:ext uri="{FF2B5EF4-FFF2-40B4-BE49-F238E27FC236}">
              <a16:creationId xmlns:a16="http://schemas.microsoft.com/office/drawing/2014/main" id="{855EA131-E284-4AA3-8EFD-65D7C861F1E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60" name="Shape 24">
          <a:extLst>
            <a:ext uri="{FF2B5EF4-FFF2-40B4-BE49-F238E27FC236}">
              <a16:creationId xmlns:a16="http://schemas.microsoft.com/office/drawing/2014/main" id="{D163A0CB-FF5C-44E9-B586-8A4CFC199C5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61" name="Shape 25">
          <a:extLst>
            <a:ext uri="{FF2B5EF4-FFF2-40B4-BE49-F238E27FC236}">
              <a16:creationId xmlns:a16="http://schemas.microsoft.com/office/drawing/2014/main" id="{9F8C106C-202A-46E8-A323-425AC9236D8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oneCellAnchor>
    <xdr:from>
      <xdr:col>2</xdr:col>
      <xdr:colOff>0</xdr:colOff>
      <xdr:row>3</xdr:row>
      <xdr:rowOff>0</xdr:rowOff>
    </xdr:from>
    <xdr:ext cx="473710" cy="34925"/>
    <xdr:sp macro="" textlink="">
      <xdr:nvSpPr>
        <xdr:cNvPr id="362" name="Shape 9">
          <a:extLst>
            <a:ext uri="{FF2B5EF4-FFF2-40B4-BE49-F238E27FC236}">
              <a16:creationId xmlns:a16="http://schemas.microsoft.com/office/drawing/2014/main" id="{8E4C5B13-BE47-47BB-ABC0-437715C6235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3" name="Shape 11">
          <a:extLst>
            <a:ext uri="{FF2B5EF4-FFF2-40B4-BE49-F238E27FC236}">
              <a16:creationId xmlns:a16="http://schemas.microsoft.com/office/drawing/2014/main" id="{4ADDCB2B-8BA9-4E09-890A-A778C06519C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4" name="Shape 13">
          <a:extLst>
            <a:ext uri="{FF2B5EF4-FFF2-40B4-BE49-F238E27FC236}">
              <a16:creationId xmlns:a16="http://schemas.microsoft.com/office/drawing/2014/main" id="{34F63AAF-521F-4541-854B-9B79CA0DDAF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5" name="Shape 15">
          <a:extLst>
            <a:ext uri="{FF2B5EF4-FFF2-40B4-BE49-F238E27FC236}">
              <a16:creationId xmlns:a16="http://schemas.microsoft.com/office/drawing/2014/main" id="{55B27A7E-F26B-47FB-B2EE-9E05216E87B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6" name="Shape 17">
          <a:extLst>
            <a:ext uri="{FF2B5EF4-FFF2-40B4-BE49-F238E27FC236}">
              <a16:creationId xmlns:a16="http://schemas.microsoft.com/office/drawing/2014/main" id="{84E5BDD4-8ADA-480C-A12F-E24295F3F6B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7" name="Shape 19">
          <a:extLst>
            <a:ext uri="{FF2B5EF4-FFF2-40B4-BE49-F238E27FC236}">
              <a16:creationId xmlns:a16="http://schemas.microsoft.com/office/drawing/2014/main" id="{F496F07F-C5E1-4052-9375-0D3969652CA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8" name="Shape 21">
          <a:extLst>
            <a:ext uri="{FF2B5EF4-FFF2-40B4-BE49-F238E27FC236}">
              <a16:creationId xmlns:a16="http://schemas.microsoft.com/office/drawing/2014/main" id="{9499C276-DC92-41D2-A854-82951062D64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9" name="Shape 23">
          <a:extLst>
            <a:ext uri="{FF2B5EF4-FFF2-40B4-BE49-F238E27FC236}">
              <a16:creationId xmlns:a16="http://schemas.microsoft.com/office/drawing/2014/main" id="{370E69C1-B604-4624-B67F-96CBD73D495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0" name="Shape 9">
          <a:extLst>
            <a:ext uri="{FF2B5EF4-FFF2-40B4-BE49-F238E27FC236}">
              <a16:creationId xmlns:a16="http://schemas.microsoft.com/office/drawing/2014/main" id="{7D35D788-B167-4ED2-BD26-8C889D089DE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1" name="Shape 11">
          <a:extLst>
            <a:ext uri="{FF2B5EF4-FFF2-40B4-BE49-F238E27FC236}">
              <a16:creationId xmlns:a16="http://schemas.microsoft.com/office/drawing/2014/main" id="{DFB6136C-142D-425B-9BB4-8B3D804ADE1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2" name="Shape 13">
          <a:extLst>
            <a:ext uri="{FF2B5EF4-FFF2-40B4-BE49-F238E27FC236}">
              <a16:creationId xmlns:a16="http://schemas.microsoft.com/office/drawing/2014/main" id="{9F1CB8D9-7BE5-4599-A108-1D58CE6EEC3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3" name="Shape 15">
          <a:extLst>
            <a:ext uri="{FF2B5EF4-FFF2-40B4-BE49-F238E27FC236}">
              <a16:creationId xmlns:a16="http://schemas.microsoft.com/office/drawing/2014/main" id="{EE228AA1-97F9-421D-A096-D2EF48EBFD3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4" name="Shape 17">
          <a:extLst>
            <a:ext uri="{FF2B5EF4-FFF2-40B4-BE49-F238E27FC236}">
              <a16:creationId xmlns:a16="http://schemas.microsoft.com/office/drawing/2014/main" id="{B993D52C-FBBD-42A5-A442-6F5B9F7D54A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5" name="Shape 19">
          <a:extLst>
            <a:ext uri="{FF2B5EF4-FFF2-40B4-BE49-F238E27FC236}">
              <a16:creationId xmlns:a16="http://schemas.microsoft.com/office/drawing/2014/main" id="{830D1777-45C1-4448-80F3-AA6B16BC46F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6" name="Shape 21">
          <a:extLst>
            <a:ext uri="{FF2B5EF4-FFF2-40B4-BE49-F238E27FC236}">
              <a16:creationId xmlns:a16="http://schemas.microsoft.com/office/drawing/2014/main" id="{2383C23C-4B0E-429F-BE13-5E6F97A618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7" name="Shape 23">
          <a:extLst>
            <a:ext uri="{FF2B5EF4-FFF2-40B4-BE49-F238E27FC236}">
              <a16:creationId xmlns:a16="http://schemas.microsoft.com/office/drawing/2014/main" id="{D5D39804-17D2-446C-BA28-0A1888A6921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8" name="Shape 9">
          <a:extLst>
            <a:ext uri="{FF2B5EF4-FFF2-40B4-BE49-F238E27FC236}">
              <a16:creationId xmlns:a16="http://schemas.microsoft.com/office/drawing/2014/main" id="{E680147A-49AE-4D64-A662-06957145F6A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9" name="Shape 11">
          <a:extLst>
            <a:ext uri="{FF2B5EF4-FFF2-40B4-BE49-F238E27FC236}">
              <a16:creationId xmlns:a16="http://schemas.microsoft.com/office/drawing/2014/main" id="{72238F00-3FD9-4D36-88E6-831C52F6BB4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0" name="Shape 13">
          <a:extLst>
            <a:ext uri="{FF2B5EF4-FFF2-40B4-BE49-F238E27FC236}">
              <a16:creationId xmlns:a16="http://schemas.microsoft.com/office/drawing/2014/main" id="{6CD5F7AC-94C9-4A14-AE67-B3807E4D3DD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1" name="Shape 15">
          <a:extLst>
            <a:ext uri="{FF2B5EF4-FFF2-40B4-BE49-F238E27FC236}">
              <a16:creationId xmlns:a16="http://schemas.microsoft.com/office/drawing/2014/main" id="{25CA8714-8708-4AB3-952A-B62F7B1EA39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2" name="Shape 17">
          <a:extLst>
            <a:ext uri="{FF2B5EF4-FFF2-40B4-BE49-F238E27FC236}">
              <a16:creationId xmlns:a16="http://schemas.microsoft.com/office/drawing/2014/main" id="{79DF43E4-8B5E-4036-84D0-DD809C35F36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3" name="Shape 19">
          <a:extLst>
            <a:ext uri="{FF2B5EF4-FFF2-40B4-BE49-F238E27FC236}">
              <a16:creationId xmlns:a16="http://schemas.microsoft.com/office/drawing/2014/main" id="{8DA71294-E63A-43E9-A8C0-FFDD0F96BAC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4" name="Shape 21">
          <a:extLst>
            <a:ext uri="{FF2B5EF4-FFF2-40B4-BE49-F238E27FC236}">
              <a16:creationId xmlns:a16="http://schemas.microsoft.com/office/drawing/2014/main" id="{7B12429B-E586-45B3-9152-79343C86BCA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5" name="Shape 23">
          <a:extLst>
            <a:ext uri="{FF2B5EF4-FFF2-40B4-BE49-F238E27FC236}">
              <a16:creationId xmlns:a16="http://schemas.microsoft.com/office/drawing/2014/main" id="{5094DCBD-7EBF-43D6-9F5D-A85954BE1C0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6" name="Shape 9">
          <a:extLst>
            <a:ext uri="{FF2B5EF4-FFF2-40B4-BE49-F238E27FC236}">
              <a16:creationId xmlns:a16="http://schemas.microsoft.com/office/drawing/2014/main" id="{3769353E-D4F9-40AA-9FB5-1A93D6D1730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7" name="Shape 11">
          <a:extLst>
            <a:ext uri="{FF2B5EF4-FFF2-40B4-BE49-F238E27FC236}">
              <a16:creationId xmlns:a16="http://schemas.microsoft.com/office/drawing/2014/main" id="{E30D7493-4FD6-4678-A6A8-38B41A16D9A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8" name="Shape 13">
          <a:extLst>
            <a:ext uri="{FF2B5EF4-FFF2-40B4-BE49-F238E27FC236}">
              <a16:creationId xmlns:a16="http://schemas.microsoft.com/office/drawing/2014/main" id="{D2FB05AF-387E-4E4C-B539-F9B28BB41FF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9" name="Shape 15">
          <a:extLst>
            <a:ext uri="{FF2B5EF4-FFF2-40B4-BE49-F238E27FC236}">
              <a16:creationId xmlns:a16="http://schemas.microsoft.com/office/drawing/2014/main" id="{9F951A2C-CF57-42A8-A9A4-774956430B3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0" name="Shape 17">
          <a:extLst>
            <a:ext uri="{FF2B5EF4-FFF2-40B4-BE49-F238E27FC236}">
              <a16:creationId xmlns:a16="http://schemas.microsoft.com/office/drawing/2014/main" id="{98BDDEAF-FC8F-4398-9A5D-A63A74847BB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1" name="Shape 19">
          <a:extLst>
            <a:ext uri="{FF2B5EF4-FFF2-40B4-BE49-F238E27FC236}">
              <a16:creationId xmlns:a16="http://schemas.microsoft.com/office/drawing/2014/main" id="{B5562755-6905-42B9-9CAE-29AACBB0BCC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2" name="Shape 21">
          <a:extLst>
            <a:ext uri="{FF2B5EF4-FFF2-40B4-BE49-F238E27FC236}">
              <a16:creationId xmlns:a16="http://schemas.microsoft.com/office/drawing/2014/main" id="{E85214B1-BB3B-47D4-80AC-15E71A88F9C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3" name="Shape 23">
          <a:extLst>
            <a:ext uri="{FF2B5EF4-FFF2-40B4-BE49-F238E27FC236}">
              <a16:creationId xmlns:a16="http://schemas.microsoft.com/office/drawing/2014/main" id="{B0BE300F-CECB-443E-B00E-3C8758C3604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4" name="Shape 9">
          <a:extLst>
            <a:ext uri="{FF2B5EF4-FFF2-40B4-BE49-F238E27FC236}">
              <a16:creationId xmlns:a16="http://schemas.microsoft.com/office/drawing/2014/main" id="{C41B16FA-DF80-4626-AAA8-012BAC0F7CF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5" name="Shape 11">
          <a:extLst>
            <a:ext uri="{FF2B5EF4-FFF2-40B4-BE49-F238E27FC236}">
              <a16:creationId xmlns:a16="http://schemas.microsoft.com/office/drawing/2014/main" id="{8C3A60E3-45E7-4890-B51A-2E122209350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6" name="Shape 13">
          <a:extLst>
            <a:ext uri="{FF2B5EF4-FFF2-40B4-BE49-F238E27FC236}">
              <a16:creationId xmlns:a16="http://schemas.microsoft.com/office/drawing/2014/main" id="{18926BB6-4DA7-4DF3-B944-6EB915E41EF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7" name="Shape 15">
          <a:extLst>
            <a:ext uri="{FF2B5EF4-FFF2-40B4-BE49-F238E27FC236}">
              <a16:creationId xmlns:a16="http://schemas.microsoft.com/office/drawing/2014/main" id="{F0A77098-3A18-4FA3-9638-BCB77059892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8" name="Shape 17">
          <a:extLst>
            <a:ext uri="{FF2B5EF4-FFF2-40B4-BE49-F238E27FC236}">
              <a16:creationId xmlns:a16="http://schemas.microsoft.com/office/drawing/2014/main" id="{8D5CB0A0-3755-44BF-95FB-4FF4FA06776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9" name="Shape 19">
          <a:extLst>
            <a:ext uri="{FF2B5EF4-FFF2-40B4-BE49-F238E27FC236}">
              <a16:creationId xmlns:a16="http://schemas.microsoft.com/office/drawing/2014/main" id="{056D2374-81DF-4F3A-B608-1A82790ABB8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0" name="Shape 21">
          <a:extLst>
            <a:ext uri="{FF2B5EF4-FFF2-40B4-BE49-F238E27FC236}">
              <a16:creationId xmlns:a16="http://schemas.microsoft.com/office/drawing/2014/main" id="{F73E0889-A93E-4FFA-985A-E8C65E0E5D5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1" name="Shape 23">
          <a:extLst>
            <a:ext uri="{FF2B5EF4-FFF2-40B4-BE49-F238E27FC236}">
              <a16:creationId xmlns:a16="http://schemas.microsoft.com/office/drawing/2014/main" id="{B63DD6B4-E2D6-46D2-9199-2D7E5D5AE95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2" name="Shape 9">
          <a:extLst>
            <a:ext uri="{FF2B5EF4-FFF2-40B4-BE49-F238E27FC236}">
              <a16:creationId xmlns:a16="http://schemas.microsoft.com/office/drawing/2014/main" id="{AE803892-A6D3-40BE-BF29-BB38E1362F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3" name="Shape 11">
          <a:extLst>
            <a:ext uri="{FF2B5EF4-FFF2-40B4-BE49-F238E27FC236}">
              <a16:creationId xmlns:a16="http://schemas.microsoft.com/office/drawing/2014/main" id="{9926914F-265D-40CB-B5C9-4C05C21B5EB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4" name="Shape 13">
          <a:extLst>
            <a:ext uri="{FF2B5EF4-FFF2-40B4-BE49-F238E27FC236}">
              <a16:creationId xmlns:a16="http://schemas.microsoft.com/office/drawing/2014/main" id="{2005D388-C9CF-427A-B431-4DAE1675494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5" name="Shape 15">
          <a:extLst>
            <a:ext uri="{FF2B5EF4-FFF2-40B4-BE49-F238E27FC236}">
              <a16:creationId xmlns:a16="http://schemas.microsoft.com/office/drawing/2014/main" id="{CE238852-344D-4A21-B027-8B66EBA4137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6" name="Shape 17">
          <a:extLst>
            <a:ext uri="{FF2B5EF4-FFF2-40B4-BE49-F238E27FC236}">
              <a16:creationId xmlns:a16="http://schemas.microsoft.com/office/drawing/2014/main" id="{1D6B370B-1AFA-45D0-8BFA-9BAD4D1819A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7" name="Shape 19">
          <a:extLst>
            <a:ext uri="{FF2B5EF4-FFF2-40B4-BE49-F238E27FC236}">
              <a16:creationId xmlns:a16="http://schemas.microsoft.com/office/drawing/2014/main" id="{52A785EA-3725-4BC4-BF4D-AA101C12D1A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8" name="Shape 21">
          <a:extLst>
            <a:ext uri="{FF2B5EF4-FFF2-40B4-BE49-F238E27FC236}">
              <a16:creationId xmlns:a16="http://schemas.microsoft.com/office/drawing/2014/main" id="{FB52DE78-442B-4901-9E4D-F1C84E5767B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9" name="Shape 23">
          <a:extLst>
            <a:ext uri="{FF2B5EF4-FFF2-40B4-BE49-F238E27FC236}">
              <a16:creationId xmlns:a16="http://schemas.microsoft.com/office/drawing/2014/main" id="{C8DC455F-4DC8-42AB-ABE8-9C8FA4C8796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0" name="Shape 9">
          <a:extLst>
            <a:ext uri="{FF2B5EF4-FFF2-40B4-BE49-F238E27FC236}">
              <a16:creationId xmlns:a16="http://schemas.microsoft.com/office/drawing/2014/main" id="{91DC82C1-5D9A-4638-B131-46663707030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1" name="Shape 11">
          <a:extLst>
            <a:ext uri="{FF2B5EF4-FFF2-40B4-BE49-F238E27FC236}">
              <a16:creationId xmlns:a16="http://schemas.microsoft.com/office/drawing/2014/main" id="{C2FBCE7B-000D-4462-BDEE-3F4F39B2BED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2" name="Shape 13">
          <a:extLst>
            <a:ext uri="{FF2B5EF4-FFF2-40B4-BE49-F238E27FC236}">
              <a16:creationId xmlns:a16="http://schemas.microsoft.com/office/drawing/2014/main" id="{CD8E96E8-8D12-4AFF-BCB4-D8255EE6546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3" name="Shape 15">
          <a:extLst>
            <a:ext uri="{FF2B5EF4-FFF2-40B4-BE49-F238E27FC236}">
              <a16:creationId xmlns:a16="http://schemas.microsoft.com/office/drawing/2014/main" id="{8989DF63-44EE-4FBB-94BD-AFC4EFA89C5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4" name="Shape 17">
          <a:extLst>
            <a:ext uri="{FF2B5EF4-FFF2-40B4-BE49-F238E27FC236}">
              <a16:creationId xmlns:a16="http://schemas.microsoft.com/office/drawing/2014/main" id="{28F864F2-142E-4F20-8B33-C6F0C6CBF24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5" name="Shape 19">
          <a:extLst>
            <a:ext uri="{FF2B5EF4-FFF2-40B4-BE49-F238E27FC236}">
              <a16:creationId xmlns:a16="http://schemas.microsoft.com/office/drawing/2014/main" id="{F9CFAF12-B661-4F74-B39E-C185A33211F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6" name="Shape 21">
          <a:extLst>
            <a:ext uri="{FF2B5EF4-FFF2-40B4-BE49-F238E27FC236}">
              <a16:creationId xmlns:a16="http://schemas.microsoft.com/office/drawing/2014/main" id="{1A241996-602E-4B13-8C70-FEED60E1A12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7" name="Shape 23">
          <a:extLst>
            <a:ext uri="{FF2B5EF4-FFF2-40B4-BE49-F238E27FC236}">
              <a16:creationId xmlns:a16="http://schemas.microsoft.com/office/drawing/2014/main" id="{B2B20D49-C648-4605-AFC4-6FAB8E065B7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8" name="Shape 9">
          <a:extLst>
            <a:ext uri="{FF2B5EF4-FFF2-40B4-BE49-F238E27FC236}">
              <a16:creationId xmlns:a16="http://schemas.microsoft.com/office/drawing/2014/main" id="{CE3BC06B-19CA-471A-8C8F-309F3678A10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9" name="Shape 11">
          <a:extLst>
            <a:ext uri="{FF2B5EF4-FFF2-40B4-BE49-F238E27FC236}">
              <a16:creationId xmlns:a16="http://schemas.microsoft.com/office/drawing/2014/main" id="{8F88153C-AB5E-42C9-954C-6BC21AACAE0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0" name="Shape 13">
          <a:extLst>
            <a:ext uri="{FF2B5EF4-FFF2-40B4-BE49-F238E27FC236}">
              <a16:creationId xmlns:a16="http://schemas.microsoft.com/office/drawing/2014/main" id="{3DC88911-3B51-4C4A-8EA9-B404C304A7B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1" name="Shape 15">
          <a:extLst>
            <a:ext uri="{FF2B5EF4-FFF2-40B4-BE49-F238E27FC236}">
              <a16:creationId xmlns:a16="http://schemas.microsoft.com/office/drawing/2014/main" id="{62E246B4-5036-4508-A527-F77804AF0A9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2" name="Shape 17">
          <a:extLst>
            <a:ext uri="{FF2B5EF4-FFF2-40B4-BE49-F238E27FC236}">
              <a16:creationId xmlns:a16="http://schemas.microsoft.com/office/drawing/2014/main" id="{C7D4C953-8153-4185-BB71-84BC76EC64B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3" name="Shape 19">
          <a:extLst>
            <a:ext uri="{FF2B5EF4-FFF2-40B4-BE49-F238E27FC236}">
              <a16:creationId xmlns:a16="http://schemas.microsoft.com/office/drawing/2014/main" id="{A382B5D0-7583-40AF-B9F4-606E4648B1F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4" name="Shape 21">
          <a:extLst>
            <a:ext uri="{FF2B5EF4-FFF2-40B4-BE49-F238E27FC236}">
              <a16:creationId xmlns:a16="http://schemas.microsoft.com/office/drawing/2014/main" id="{9114B60A-F24E-4547-ADCF-EF57086D44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5" name="Shape 23">
          <a:extLst>
            <a:ext uri="{FF2B5EF4-FFF2-40B4-BE49-F238E27FC236}">
              <a16:creationId xmlns:a16="http://schemas.microsoft.com/office/drawing/2014/main" id="{C35045C6-781F-4DD8-9695-2A9B75A2B27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6" name="Shape 9">
          <a:extLst>
            <a:ext uri="{FF2B5EF4-FFF2-40B4-BE49-F238E27FC236}">
              <a16:creationId xmlns:a16="http://schemas.microsoft.com/office/drawing/2014/main" id="{715E8A94-9283-40AF-9F91-312999EF896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7" name="Shape 11">
          <a:extLst>
            <a:ext uri="{FF2B5EF4-FFF2-40B4-BE49-F238E27FC236}">
              <a16:creationId xmlns:a16="http://schemas.microsoft.com/office/drawing/2014/main" id="{16B71E94-173A-4D89-9B48-60B66CE80A5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8" name="Shape 13">
          <a:extLst>
            <a:ext uri="{FF2B5EF4-FFF2-40B4-BE49-F238E27FC236}">
              <a16:creationId xmlns:a16="http://schemas.microsoft.com/office/drawing/2014/main" id="{14BD90A2-17E0-48AD-B3AA-C92DD8AEB14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9" name="Shape 15">
          <a:extLst>
            <a:ext uri="{FF2B5EF4-FFF2-40B4-BE49-F238E27FC236}">
              <a16:creationId xmlns:a16="http://schemas.microsoft.com/office/drawing/2014/main" id="{B7E5DD78-8C90-4A81-B415-524B5B61229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0" name="Shape 17">
          <a:extLst>
            <a:ext uri="{FF2B5EF4-FFF2-40B4-BE49-F238E27FC236}">
              <a16:creationId xmlns:a16="http://schemas.microsoft.com/office/drawing/2014/main" id="{8673FBE9-96F0-4119-B9CE-B60F21A5376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1" name="Shape 19">
          <a:extLst>
            <a:ext uri="{FF2B5EF4-FFF2-40B4-BE49-F238E27FC236}">
              <a16:creationId xmlns:a16="http://schemas.microsoft.com/office/drawing/2014/main" id="{47005584-8565-4116-BC92-3552E50317B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2" name="Shape 21">
          <a:extLst>
            <a:ext uri="{FF2B5EF4-FFF2-40B4-BE49-F238E27FC236}">
              <a16:creationId xmlns:a16="http://schemas.microsoft.com/office/drawing/2014/main" id="{4F33D2F6-0D87-49AC-8F67-452EBA3CC77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3" name="Shape 23">
          <a:extLst>
            <a:ext uri="{FF2B5EF4-FFF2-40B4-BE49-F238E27FC236}">
              <a16:creationId xmlns:a16="http://schemas.microsoft.com/office/drawing/2014/main" id="{5B9176FF-3C48-419E-9259-B4D2C9C29E6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4" name="Shape 9">
          <a:extLst>
            <a:ext uri="{FF2B5EF4-FFF2-40B4-BE49-F238E27FC236}">
              <a16:creationId xmlns:a16="http://schemas.microsoft.com/office/drawing/2014/main" id="{DD1571A1-18A4-4BF1-A973-7884FB2736D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5" name="Shape 11">
          <a:extLst>
            <a:ext uri="{FF2B5EF4-FFF2-40B4-BE49-F238E27FC236}">
              <a16:creationId xmlns:a16="http://schemas.microsoft.com/office/drawing/2014/main" id="{51C4284D-CD58-4113-B6C8-11CB4698A26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6" name="Shape 13">
          <a:extLst>
            <a:ext uri="{FF2B5EF4-FFF2-40B4-BE49-F238E27FC236}">
              <a16:creationId xmlns:a16="http://schemas.microsoft.com/office/drawing/2014/main" id="{40F5CCA4-C215-4412-BD86-B0818DB0876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7" name="Shape 15">
          <a:extLst>
            <a:ext uri="{FF2B5EF4-FFF2-40B4-BE49-F238E27FC236}">
              <a16:creationId xmlns:a16="http://schemas.microsoft.com/office/drawing/2014/main" id="{3F13E139-EFD7-445A-BE6B-2B63647A9F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8" name="Shape 17">
          <a:extLst>
            <a:ext uri="{FF2B5EF4-FFF2-40B4-BE49-F238E27FC236}">
              <a16:creationId xmlns:a16="http://schemas.microsoft.com/office/drawing/2014/main" id="{A551D850-BE9D-4F09-AFE3-34F2FD2737D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9" name="Shape 19">
          <a:extLst>
            <a:ext uri="{FF2B5EF4-FFF2-40B4-BE49-F238E27FC236}">
              <a16:creationId xmlns:a16="http://schemas.microsoft.com/office/drawing/2014/main" id="{2301AFAB-6B71-4A07-8ACF-4E0B5D5CD21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40" name="Shape 21">
          <a:extLst>
            <a:ext uri="{FF2B5EF4-FFF2-40B4-BE49-F238E27FC236}">
              <a16:creationId xmlns:a16="http://schemas.microsoft.com/office/drawing/2014/main" id="{80197617-4F12-47C1-83AA-A3D06DD4BCC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41" name="Shape 23">
          <a:extLst>
            <a:ext uri="{FF2B5EF4-FFF2-40B4-BE49-F238E27FC236}">
              <a16:creationId xmlns:a16="http://schemas.microsoft.com/office/drawing/2014/main" id="{AE48B709-4330-4033-A33D-EB72644E0BC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2" name="Shape 9">
          <a:extLst>
            <a:ext uri="{FF2B5EF4-FFF2-40B4-BE49-F238E27FC236}">
              <a16:creationId xmlns:a16="http://schemas.microsoft.com/office/drawing/2014/main" id="{A3BDE78A-8855-4DF5-806D-6B9D72D93E72}"/>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3" name="Shape 11">
          <a:extLst>
            <a:ext uri="{FF2B5EF4-FFF2-40B4-BE49-F238E27FC236}">
              <a16:creationId xmlns:a16="http://schemas.microsoft.com/office/drawing/2014/main" id="{4663D770-5CE7-40B2-9574-4D0E173FAB0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4" name="Shape 13">
          <a:extLst>
            <a:ext uri="{FF2B5EF4-FFF2-40B4-BE49-F238E27FC236}">
              <a16:creationId xmlns:a16="http://schemas.microsoft.com/office/drawing/2014/main" id="{CD915F2E-101C-42EC-825A-5B2FE6284D3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5" name="Shape 15">
          <a:extLst>
            <a:ext uri="{FF2B5EF4-FFF2-40B4-BE49-F238E27FC236}">
              <a16:creationId xmlns:a16="http://schemas.microsoft.com/office/drawing/2014/main" id="{A6A6B8F0-952E-4662-B930-5F8B01399F8E}"/>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6" name="Shape 21">
          <a:extLst>
            <a:ext uri="{FF2B5EF4-FFF2-40B4-BE49-F238E27FC236}">
              <a16:creationId xmlns:a16="http://schemas.microsoft.com/office/drawing/2014/main" id="{DB09207B-A30B-4E3A-807F-4BD2D9B016FF}"/>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7" name="Shape 23">
          <a:extLst>
            <a:ext uri="{FF2B5EF4-FFF2-40B4-BE49-F238E27FC236}">
              <a16:creationId xmlns:a16="http://schemas.microsoft.com/office/drawing/2014/main" id="{1E726BDF-F577-4AAA-A6E0-1087AB26097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8" name="Shape 9">
          <a:extLst>
            <a:ext uri="{FF2B5EF4-FFF2-40B4-BE49-F238E27FC236}">
              <a16:creationId xmlns:a16="http://schemas.microsoft.com/office/drawing/2014/main" id="{561C0C48-A93A-46DF-B6FC-249A499B974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9" name="Shape 11">
          <a:extLst>
            <a:ext uri="{FF2B5EF4-FFF2-40B4-BE49-F238E27FC236}">
              <a16:creationId xmlns:a16="http://schemas.microsoft.com/office/drawing/2014/main" id="{38EC0B39-AB27-4443-AF6D-536FB75B09E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0" name="Shape 13">
          <a:extLst>
            <a:ext uri="{FF2B5EF4-FFF2-40B4-BE49-F238E27FC236}">
              <a16:creationId xmlns:a16="http://schemas.microsoft.com/office/drawing/2014/main" id="{6444C893-E908-4504-9E25-B77E887F3DA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1" name="Shape 15">
          <a:extLst>
            <a:ext uri="{FF2B5EF4-FFF2-40B4-BE49-F238E27FC236}">
              <a16:creationId xmlns:a16="http://schemas.microsoft.com/office/drawing/2014/main" id="{0D99CE39-0526-4288-AEE5-A98DFDE4064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2" name="Shape 21">
          <a:extLst>
            <a:ext uri="{FF2B5EF4-FFF2-40B4-BE49-F238E27FC236}">
              <a16:creationId xmlns:a16="http://schemas.microsoft.com/office/drawing/2014/main" id="{DAD6A042-2F63-4EF8-9CFA-4D81228769B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3" name="Shape 23">
          <a:extLst>
            <a:ext uri="{FF2B5EF4-FFF2-40B4-BE49-F238E27FC236}">
              <a16:creationId xmlns:a16="http://schemas.microsoft.com/office/drawing/2014/main" id="{FD954A28-2A45-45B2-934F-399B4A854BF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4" name="Shape 9">
          <a:extLst>
            <a:ext uri="{FF2B5EF4-FFF2-40B4-BE49-F238E27FC236}">
              <a16:creationId xmlns:a16="http://schemas.microsoft.com/office/drawing/2014/main" id="{28D8972D-4E11-4C7B-A0EE-A3FFAB7F02C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5" name="Shape 11">
          <a:extLst>
            <a:ext uri="{FF2B5EF4-FFF2-40B4-BE49-F238E27FC236}">
              <a16:creationId xmlns:a16="http://schemas.microsoft.com/office/drawing/2014/main" id="{576E6067-A1D8-497B-B601-BB916F87D18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6" name="Shape 13">
          <a:extLst>
            <a:ext uri="{FF2B5EF4-FFF2-40B4-BE49-F238E27FC236}">
              <a16:creationId xmlns:a16="http://schemas.microsoft.com/office/drawing/2014/main" id="{70B6F91F-EA7C-4BC9-B3A0-1C3FAE6C18D6}"/>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7" name="Shape 15">
          <a:extLst>
            <a:ext uri="{FF2B5EF4-FFF2-40B4-BE49-F238E27FC236}">
              <a16:creationId xmlns:a16="http://schemas.microsoft.com/office/drawing/2014/main" id="{35407E82-730F-4EEA-9A55-81A2A2AB0572}"/>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8" name="Shape 21">
          <a:extLst>
            <a:ext uri="{FF2B5EF4-FFF2-40B4-BE49-F238E27FC236}">
              <a16:creationId xmlns:a16="http://schemas.microsoft.com/office/drawing/2014/main" id="{D4102133-1D79-4B8A-8C5F-8668BB53A12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9" name="Shape 23">
          <a:extLst>
            <a:ext uri="{FF2B5EF4-FFF2-40B4-BE49-F238E27FC236}">
              <a16:creationId xmlns:a16="http://schemas.microsoft.com/office/drawing/2014/main" id="{18103DF3-164C-4C25-A9BF-61CD7DABD3A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0" name="Shape 9">
          <a:extLst>
            <a:ext uri="{FF2B5EF4-FFF2-40B4-BE49-F238E27FC236}">
              <a16:creationId xmlns:a16="http://schemas.microsoft.com/office/drawing/2014/main" id="{E152C7EF-9DA8-4D6F-98C0-652957AFE54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1" name="Shape 11">
          <a:extLst>
            <a:ext uri="{FF2B5EF4-FFF2-40B4-BE49-F238E27FC236}">
              <a16:creationId xmlns:a16="http://schemas.microsoft.com/office/drawing/2014/main" id="{7D7B0701-E448-4608-9702-8AEC9AD249D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2" name="Shape 13">
          <a:extLst>
            <a:ext uri="{FF2B5EF4-FFF2-40B4-BE49-F238E27FC236}">
              <a16:creationId xmlns:a16="http://schemas.microsoft.com/office/drawing/2014/main" id="{EB59B2AD-3A4A-4F0A-AAC8-0619C3045CF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3" name="Shape 15">
          <a:extLst>
            <a:ext uri="{FF2B5EF4-FFF2-40B4-BE49-F238E27FC236}">
              <a16:creationId xmlns:a16="http://schemas.microsoft.com/office/drawing/2014/main" id="{5CB353FB-4750-4C55-8CF9-2FB2E8BBC6B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4" name="Shape 21">
          <a:extLst>
            <a:ext uri="{FF2B5EF4-FFF2-40B4-BE49-F238E27FC236}">
              <a16:creationId xmlns:a16="http://schemas.microsoft.com/office/drawing/2014/main" id="{6A4698F2-6081-45D6-9F6A-DE30DABACC1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5" name="Shape 23">
          <a:extLst>
            <a:ext uri="{FF2B5EF4-FFF2-40B4-BE49-F238E27FC236}">
              <a16:creationId xmlns:a16="http://schemas.microsoft.com/office/drawing/2014/main" id="{E4A3A820-8EF1-47D6-BE06-38575A98368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6" name="Shape 9">
          <a:extLst>
            <a:ext uri="{FF2B5EF4-FFF2-40B4-BE49-F238E27FC236}">
              <a16:creationId xmlns:a16="http://schemas.microsoft.com/office/drawing/2014/main" id="{15BA945C-DA46-4E6A-8394-95CB1BDFA2A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7" name="Shape 11">
          <a:extLst>
            <a:ext uri="{FF2B5EF4-FFF2-40B4-BE49-F238E27FC236}">
              <a16:creationId xmlns:a16="http://schemas.microsoft.com/office/drawing/2014/main" id="{F665499D-7F90-4C50-A19A-E7E55BE9D57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8" name="Shape 13">
          <a:extLst>
            <a:ext uri="{FF2B5EF4-FFF2-40B4-BE49-F238E27FC236}">
              <a16:creationId xmlns:a16="http://schemas.microsoft.com/office/drawing/2014/main" id="{C85FF90B-820F-4D89-B043-EE9B86802EE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9" name="Shape 15">
          <a:extLst>
            <a:ext uri="{FF2B5EF4-FFF2-40B4-BE49-F238E27FC236}">
              <a16:creationId xmlns:a16="http://schemas.microsoft.com/office/drawing/2014/main" id="{D8B69F37-5A15-422B-BCB6-D79C03F2E25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0" name="Shape 21">
          <a:extLst>
            <a:ext uri="{FF2B5EF4-FFF2-40B4-BE49-F238E27FC236}">
              <a16:creationId xmlns:a16="http://schemas.microsoft.com/office/drawing/2014/main" id="{C5D17979-7E5A-4238-BBA9-39F9FF179A0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1" name="Shape 23">
          <a:extLst>
            <a:ext uri="{FF2B5EF4-FFF2-40B4-BE49-F238E27FC236}">
              <a16:creationId xmlns:a16="http://schemas.microsoft.com/office/drawing/2014/main" id="{8FED377F-DC17-4F64-A771-3E65F06C4A2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2" name="Shape 9">
          <a:extLst>
            <a:ext uri="{FF2B5EF4-FFF2-40B4-BE49-F238E27FC236}">
              <a16:creationId xmlns:a16="http://schemas.microsoft.com/office/drawing/2014/main" id="{388B1A34-D3EF-4318-98AE-56E64367A81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3" name="Shape 11">
          <a:extLst>
            <a:ext uri="{FF2B5EF4-FFF2-40B4-BE49-F238E27FC236}">
              <a16:creationId xmlns:a16="http://schemas.microsoft.com/office/drawing/2014/main" id="{8FA7D28C-0064-48FC-A7B6-AE74F8C98C2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4" name="Shape 13">
          <a:extLst>
            <a:ext uri="{FF2B5EF4-FFF2-40B4-BE49-F238E27FC236}">
              <a16:creationId xmlns:a16="http://schemas.microsoft.com/office/drawing/2014/main" id="{83DE901A-A2A3-420A-9E83-AD79B56834E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5" name="Shape 15">
          <a:extLst>
            <a:ext uri="{FF2B5EF4-FFF2-40B4-BE49-F238E27FC236}">
              <a16:creationId xmlns:a16="http://schemas.microsoft.com/office/drawing/2014/main" id="{80DF7969-8C42-4D62-B40A-B22A0B55787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6" name="Shape 21">
          <a:extLst>
            <a:ext uri="{FF2B5EF4-FFF2-40B4-BE49-F238E27FC236}">
              <a16:creationId xmlns:a16="http://schemas.microsoft.com/office/drawing/2014/main" id="{84CEBE97-6F50-4906-A9FA-55B46DB1EED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7" name="Shape 23">
          <a:extLst>
            <a:ext uri="{FF2B5EF4-FFF2-40B4-BE49-F238E27FC236}">
              <a16:creationId xmlns:a16="http://schemas.microsoft.com/office/drawing/2014/main" id="{6E5903D6-720C-4E0B-8710-3528F69F99B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8" name="Shape 9">
          <a:extLst>
            <a:ext uri="{FF2B5EF4-FFF2-40B4-BE49-F238E27FC236}">
              <a16:creationId xmlns:a16="http://schemas.microsoft.com/office/drawing/2014/main" id="{4FCA2B71-5368-4ACC-89A3-B441B13CD4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9" name="Shape 11">
          <a:extLst>
            <a:ext uri="{FF2B5EF4-FFF2-40B4-BE49-F238E27FC236}">
              <a16:creationId xmlns:a16="http://schemas.microsoft.com/office/drawing/2014/main" id="{B10A376D-2B5A-40CE-A7A5-8989D1199F25}"/>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0" name="Shape 13">
          <a:extLst>
            <a:ext uri="{FF2B5EF4-FFF2-40B4-BE49-F238E27FC236}">
              <a16:creationId xmlns:a16="http://schemas.microsoft.com/office/drawing/2014/main" id="{A6ECB421-D888-4948-8F19-3ADC67DEEF3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1" name="Shape 15">
          <a:extLst>
            <a:ext uri="{FF2B5EF4-FFF2-40B4-BE49-F238E27FC236}">
              <a16:creationId xmlns:a16="http://schemas.microsoft.com/office/drawing/2014/main" id="{82AAA009-6E89-461B-814E-AD5ABDBF8D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2" name="Shape 21">
          <a:extLst>
            <a:ext uri="{FF2B5EF4-FFF2-40B4-BE49-F238E27FC236}">
              <a16:creationId xmlns:a16="http://schemas.microsoft.com/office/drawing/2014/main" id="{657BF0D6-2A38-4416-96B4-A035ECF221E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3" name="Shape 23">
          <a:extLst>
            <a:ext uri="{FF2B5EF4-FFF2-40B4-BE49-F238E27FC236}">
              <a16:creationId xmlns:a16="http://schemas.microsoft.com/office/drawing/2014/main" id="{BE299E53-9426-4681-B15B-2B962D85C3B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4" name="Shape 9">
          <a:extLst>
            <a:ext uri="{FF2B5EF4-FFF2-40B4-BE49-F238E27FC236}">
              <a16:creationId xmlns:a16="http://schemas.microsoft.com/office/drawing/2014/main" id="{6815E431-10A9-4A70-9E74-63184FAC7DA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5" name="Shape 11">
          <a:extLst>
            <a:ext uri="{FF2B5EF4-FFF2-40B4-BE49-F238E27FC236}">
              <a16:creationId xmlns:a16="http://schemas.microsoft.com/office/drawing/2014/main" id="{6DE11FAD-681B-4CDA-A163-6C095D2CEAA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6" name="Shape 13">
          <a:extLst>
            <a:ext uri="{FF2B5EF4-FFF2-40B4-BE49-F238E27FC236}">
              <a16:creationId xmlns:a16="http://schemas.microsoft.com/office/drawing/2014/main" id="{7116E993-5748-4BF5-B97D-4D3574EA503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7" name="Shape 15">
          <a:extLst>
            <a:ext uri="{FF2B5EF4-FFF2-40B4-BE49-F238E27FC236}">
              <a16:creationId xmlns:a16="http://schemas.microsoft.com/office/drawing/2014/main" id="{2032DF47-CBDE-499B-A0C5-C4376751438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8" name="Shape 21">
          <a:extLst>
            <a:ext uri="{FF2B5EF4-FFF2-40B4-BE49-F238E27FC236}">
              <a16:creationId xmlns:a16="http://schemas.microsoft.com/office/drawing/2014/main" id="{2A4534F8-B382-4EF8-8087-408C08CEE69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9" name="Shape 23">
          <a:extLst>
            <a:ext uri="{FF2B5EF4-FFF2-40B4-BE49-F238E27FC236}">
              <a16:creationId xmlns:a16="http://schemas.microsoft.com/office/drawing/2014/main" id="{D7ACA4C1-8068-4248-BB74-0958FBA6673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0" name="Shape 9">
          <a:extLst>
            <a:ext uri="{FF2B5EF4-FFF2-40B4-BE49-F238E27FC236}">
              <a16:creationId xmlns:a16="http://schemas.microsoft.com/office/drawing/2014/main" id="{4A54E670-A8D9-4093-A5CC-644A4B47C1B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1" name="Shape 11">
          <a:extLst>
            <a:ext uri="{FF2B5EF4-FFF2-40B4-BE49-F238E27FC236}">
              <a16:creationId xmlns:a16="http://schemas.microsoft.com/office/drawing/2014/main" id="{3C1C70D2-05B1-4F75-BDF3-EF36F773A1E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2" name="Shape 13">
          <a:extLst>
            <a:ext uri="{FF2B5EF4-FFF2-40B4-BE49-F238E27FC236}">
              <a16:creationId xmlns:a16="http://schemas.microsoft.com/office/drawing/2014/main" id="{2FA60576-D555-4BDB-994D-AEC4DD4B528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3" name="Shape 15">
          <a:extLst>
            <a:ext uri="{FF2B5EF4-FFF2-40B4-BE49-F238E27FC236}">
              <a16:creationId xmlns:a16="http://schemas.microsoft.com/office/drawing/2014/main" id="{A6B48185-9A62-493A-A392-0E98B66B587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4" name="Shape 21">
          <a:extLst>
            <a:ext uri="{FF2B5EF4-FFF2-40B4-BE49-F238E27FC236}">
              <a16:creationId xmlns:a16="http://schemas.microsoft.com/office/drawing/2014/main" id="{52F8988C-32A2-4FB9-BCD2-D60275665FF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5" name="Shape 23">
          <a:extLst>
            <a:ext uri="{FF2B5EF4-FFF2-40B4-BE49-F238E27FC236}">
              <a16:creationId xmlns:a16="http://schemas.microsoft.com/office/drawing/2014/main" id="{44BCA266-11F9-407A-B34E-96EC6F96F1F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6" name="Shape 9">
          <a:extLst>
            <a:ext uri="{FF2B5EF4-FFF2-40B4-BE49-F238E27FC236}">
              <a16:creationId xmlns:a16="http://schemas.microsoft.com/office/drawing/2014/main" id="{F223FEE6-2BF8-4982-B21E-21658E8F193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7" name="Shape 11">
          <a:extLst>
            <a:ext uri="{FF2B5EF4-FFF2-40B4-BE49-F238E27FC236}">
              <a16:creationId xmlns:a16="http://schemas.microsoft.com/office/drawing/2014/main" id="{E1B0B8A5-A85A-45FB-8755-98C9FA01384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8" name="Shape 13">
          <a:extLst>
            <a:ext uri="{FF2B5EF4-FFF2-40B4-BE49-F238E27FC236}">
              <a16:creationId xmlns:a16="http://schemas.microsoft.com/office/drawing/2014/main" id="{5757543E-324F-4758-88C4-9F9B66AF714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9" name="Shape 15">
          <a:extLst>
            <a:ext uri="{FF2B5EF4-FFF2-40B4-BE49-F238E27FC236}">
              <a16:creationId xmlns:a16="http://schemas.microsoft.com/office/drawing/2014/main" id="{ABBF44BE-105A-43D3-B21F-72B8B5A525F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0" name="Shape 21">
          <a:extLst>
            <a:ext uri="{FF2B5EF4-FFF2-40B4-BE49-F238E27FC236}">
              <a16:creationId xmlns:a16="http://schemas.microsoft.com/office/drawing/2014/main" id="{07F2225E-918F-4529-A0E6-C988AADB3F2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1" name="Shape 23">
          <a:extLst>
            <a:ext uri="{FF2B5EF4-FFF2-40B4-BE49-F238E27FC236}">
              <a16:creationId xmlns:a16="http://schemas.microsoft.com/office/drawing/2014/main" id="{E1D9DB60-A485-4274-AC0B-42CD936B3F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2" name="Shape 9">
          <a:extLst>
            <a:ext uri="{FF2B5EF4-FFF2-40B4-BE49-F238E27FC236}">
              <a16:creationId xmlns:a16="http://schemas.microsoft.com/office/drawing/2014/main" id="{8D7E1A11-BE30-4C45-8072-8B48A89ADB0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3" name="Shape 11">
          <a:extLst>
            <a:ext uri="{FF2B5EF4-FFF2-40B4-BE49-F238E27FC236}">
              <a16:creationId xmlns:a16="http://schemas.microsoft.com/office/drawing/2014/main" id="{25D419CE-7ED2-4B67-887F-951A65BA61B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4" name="Shape 13">
          <a:extLst>
            <a:ext uri="{FF2B5EF4-FFF2-40B4-BE49-F238E27FC236}">
              <a16:creationId xmlns:a16="http://schemas.microsoft.com/office/drawing/2014/main" id="{2F35F96D-A6C3-4599-A5D3-EA8DD1F0648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5" name="Shape 15">
          <a:extLst>
            <a:ext uri="{FF2B5EF4-FFF2-40B4-BE49-F238E27FC236}">
              <a16:creationId xmlns:a16="http://schemas.microsoft.com/office/drawing/2014/main" id="{1036BEEA-33AF-42FB-B187-9BD7641A6B3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6" name="Shape 21">
          <a:extLst>
            <a:ext uri="{FF2B5EF4-FFF2-40B4-BE49-F238E27FC236}">
              <a16:creationId xmlns:a16="http://schemas.microsoft.com/office/drawing/2014/main" id="{94CC93E4-91D4-4641-A839-13A58D6AE4F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7" name="Shape 23">
          <a:extLst>
            <a:ext uri="{FF2B5EF4-FFF2-40B4-BE49-F238E27FC236}">
              <a16:creationId xmlns:a16="http://schemas.microsoft.com/office/drawing/2014/main" id="{1DC05AEE-1B52-4DE1-8174-AF6231D9EAE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8" name="Shape 9">
          <a:extLst>
            <a:ext uri="{FF2B5EF4-FFF2-40B4-BE49-F238E27FC236}">
              <a16:creationId xmlns:a16="http://schemas.microsoft.com/office/drawing/2014/main" id="{F9FF7BC3-CB57-4279-8863-F3E80A0C355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9" name="Shape 11">
          <a:extLst>
            <a:ext uri="{FF2B5EF4-FFF2-40B4-BE49-F238E27FC236}">
              <a16:creationId xmlns:a16="http://schemas.microsoft.com/office/drawing/2014/main" id="{A428A0DA-9559-4BAA-9AE0-BBE9ACB7824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0" name="Shape 13">
          <a:extLst>
            <a:ext uri="{FF2B5EF4-FFF2-40B4-BE49-F238E27FC236}">
              <a16:creationId xmlns:a16="http://schemas.microsoft.com/office/drawing/2014/main" id="{5CF49B0C-55BE-4232-A84E-60DD111285B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1" name="Shape 15">
          <a:extLst>
            <a:ext uri="{FF2B5EF4-FFF2-40B4-BE49-F238E27FC236}">
              <a16:creationId xmlns:a16="http://schemas.microsoft.com/office/drawing/2014/main" id="{2C1620B6-0A0F-483B-9D59-6E79B9399FC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2" name="Shape 21">
          <a:extLst>
            <a:ext uri="{FF2B5EF4-FFF2-40B4-BE49-F238E27FC236}">
              <a16:creationId xmlns:a16="http://schemas.microsoft.com/office/drawing/2014/main" id="{63F0BCC3-C212-4EB9-AD37-F2E2863D716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3" name="Shape 23">
          <a:extLst>
            <a:ext uri="{FF2B5EF4-FFF2-40B4-BE49-F238E27FC236}">
              <a16:creationId xmlns:a16="http://schemas.microsoft.com/office/drawing/2014/main" id="{B3BEDB4C-391C-471B-BF9A-62EAFA72BAE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4" name="Shape 9">
          <a:extLst>
            <a:ext uri="{FF2B5EF4-FFF2-40B4-BE49-F238E27FC236}">
              <a16:creationId xmlns:a16="http://schemas.microsoft.com/office/drawing/2014/main" id="{2074C078-8079-4FB7-B280-7A0E2B013F0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5" name="Shape 11">
          <a:extLst>
            <a:ext uri="{FF2B5EF4-FFF2-40B4-BE49-F238E27FC236}">
              <a16:creationId xmlns:a16="http://schemas.microsoft.com/office/drawing/2014/main" id="{F74EE0C7-FF19-46EF-BA86-2D9E3C7076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6" name="Shape 13">
          <a:extLst>
            <a:ext uri="{FF2B5EF4-FFF2-40B4-BE49-F238E27FC236}">
              <a16:creationId xmlns:a16="http://schemas.microsoft.com/office/drawing/2014/main" id="{86501F9B-82DB-4F3E-952F-3CAAD9B2A1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7" name="Shape 15">
          <a:extLst>
            <a:ext uri="{FF2B5EF4-FFF2-40B4-BE49-F238E27FC236}">
              <a16:creationId xmlns:a16="http://schemas.microsoft.com/office/drawing/2014/main" id="{19FB2057-B11D-4D30-941C-354BCB14537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8" name="Shape 21">
          <a:extLst>
            <a:ext uri="{FF2B5EF4-FFF2-40B4-BE49-F238E27FC236}">
              <a16:creationId xmlns:a16="http://schemas.microsoft.com/office/drawing/2014/main" id="{C8BD6653-73E7-4A1F-9AF1-0602C7204C2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9" name="Shape 23">
          <a:extLst>
            <a:ext uri="{FF2B5EF4-FFF2-40B4-BE49-F238E27FC236}">
              <a16:creationId xmlns:a16="http://schemas.microsoft.com/office/drawing/2014/main" id="{17A2E52E-F51E-47AF-8921-6E8CC241004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20" name="Shape 25">
          <a:extLst>
            <a:ext uri="{FF2B5EF4-FFF2-40B4-BE49-F238E27FC236}">
              <a16:creationId xmlns:a16="http://schemas.microsoft.com/office/drawing/2014/main" id="{6B6DF55D-6117-490E-B3D1-0789438086B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1" name="Shape 9">
          <a:extLst>
            <a:ext uri="{FF2B5EF4-FFF2-40B4-BE49-F238E27FC236}">
              <a16:creationId xmlns:a16="http://schemas.microsoft.com/office/drawing/2014/main" id="{6A5273E5-53C9-4DA5-9AEF-278364B2D28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2" name="Shape 11">
          <a:extLst>
            <a:ext uri="{FF2B5EF4-FFF2-40B4-BE49-F238E27FC236}">
              <a16:creationId xmlns:a16="http://schemas.microsoft.com/office/drawing/2014/main" id="{0CD0E294-BB28-4B56-98A3-F8AD5EF8D25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3" name="Shape 13">
          <a:extLst>
            <a:ext uri="{FF2B5EF4-FFF2-40B4-BE49-F238E27FC236}">
              <a16:creationId xmlns:a16="http://schemas.microsoft.com/office/drawing/2014/main" id="{703C3D94-5E17-4413-862B-F6C8AD102EAB}"/>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4" name="Shape 15">
          <a:extLst>
            <a:ext uri="{FF2B5EF4-FFF2-40B4-BE49-F238E27FC236}">
              <a16:creationId xmlns:a16="http://schemas.microsoft.com/office/drawing/2014/main" id="{FF78B75E-8BDD-4430-8964-E6369C55D96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5" name="Shape 21">
          <a:extLst>
            <a:ext uri="{FF2B5EF4-FFF2-40B4-BE49-F238E27FC236}">
              <a16:creationId xmlns:a16="http://schemas.microsoft.com/office/drawing/2014/main" id="{7B9C4AD0-3B31-46DD-A952-585E6968FEE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6" name="Shape 23">
          <a:extLst>
            <a:ext uri="{FF2B5EF4-FFF2-40B4-BE49-F238E27FC236}">
              <a16:creationId xmlns:a16="http://schemas.microsoft.com/office/drawing/2014/main" id="{A7F1C944-3933-4239-80A6-584F1EED3FF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7" name="Shape 25">
          <a:extLst>
            <a:ext uri="{FF2B5EF4-FFF2-40B4-BE49-F238E27FC236}">
              <a16:creationId xmlns:a16="http://schemas.microsoft.com/office/drawing/2014/main" id="{DAF89E56-B0AF-4695-A14C-BC216CF65CA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8" name="Shape 9">
          <a:extLst>
            <a:ext uri="{FF2B5EF4-FFF2-40B4-BE49-F238E27FC236}">
              <a16:creationId xmlns:a16="http://schemas.microsoft.com/office/drawing/2014/main" id="{18B4F43A-7178-4CAC-BD18-F22D81618DC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9" name="Shape 11">
          <a:extLst>
            <a:ext uri="{FF2B5EF4-FFF2-40B4-BE49-F238E27FC236}">
              <a16:creationId xmlns:a16="http://schemas.microsoft.com/office/drawing/2014/main" id="{C72EB79F-87E8-4A19-A611-08483C5D60E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0" name="Shape 13">
          <a:extLst>
            <a:ext uri="{FF2B5EF4-FFF2-40B4-BE49-F238E27FC236}">
              <a16:creationId xmlns:a16="http://schemas.microsoft.com/office/drawing/2014/main" id="{8635602C-1EF8-4447-9D19-D3E06EB3425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1" name="Shape 15">
          <a:extLst>
            <a:ext uri="{FF2B5EF4-FFF2-40B4-BE49-F238E27FC236}">
              <a16:creationId xmlns:a16="http://schemas.microsoft.com/office/drawing/2014/main" id="{CF7BFF61-3998-4FB9-9366-065DF53A492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2" name="Shape 21">
          <a:extLst>
            <a:ext uri="{FF2B5EF4-FFF2-40B4-BE49-F238E27FC236}">
              <a16:creationId xmlns:a16="http://schemas.microsoft.com/office/drawing/2014/main" id="{0D4B75D8-1586-4EF3-9548-0F47C789C96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3" name="Shape 23">
          <a:extLst>
            <a:ext uri="{FF2B5EF4-FFF2-40B4-BE49-F238E27FC236}">
              <a16:creationId xmlns:a16="http://schemas.microsoft.com/office/drawing/2014/main" id="{BB34D96B-EA85-4D88-8083-D1CAC42C1BC5}"/>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4" name="Shape 25">
          <a:extLst>
            <a:ext uri="{FF2B5EF4-FFF2-40B4-BE49-F238E27FC236}">
              <a16:creationId xmlns:a16="http://schemas.microsoft.com/office/drawing/2014/main" id="{F2D0A1C8-F3FF-4F95-8DD3-23570FA3982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5" name="Shape 9">
          <a:extLst>
            <a:ext uri="{FF2B5EF4-FFF2-40B4-BE49-F238E27FC236}">
              <a16:creationId xmlns:a16="http://schemas.microsoft.com/office/drawing/2014/main" id="{12F3C2E5-8DAA-4C4F-89AD-BF4D76C1A44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6" name="Shape 11">
          <a:extLst>
            <a:ext uri="{FF2B5EF4-FFF2-40B4-BE49-F238E27FC236}">
              <a16:creationId xmlns:a16="http://schemas.microsoft.com/office/drawing/2014/main" id="{FADC6244-307E-4705-8CE7-030F1AA7D32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7" name="Shape 13">
          <a:extLst>
            <a:ext uri="{FF2B5EF4-FFF2-40B4-BE49-F238E27FC236}">
              <a16:creationId xmlns:a16="http://schemas.microsoft.com/office/drawing/2014/main" id="{30308174-45A2-48C4-8BE7-E8EC107F343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8" name="Shape 15">
          <a:extLst>
            <a:ext uri="{FF2B5EF4-FFF2-40B4-BE49-F238E27FC236}">
              <a16:creationId xmlns:a16="http://schemas.microsoft.com/office/drawing/2014/main" id="{630400BA-3810-4D40-ABE3-AE63F218895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9" name="Shape 21">
          <a:extLst>
            <a:ext uri="{FF2B5EF4-FFF2-40B4-BE49-F238E27FC236}">
              <a16:creationId xmlns:a16="http://schemas.microsoft.com/office/drawing/2014/main" id="{2EE4B4F0-2525-494B-A409-A12E04FA29E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40" name="Shape 23">
          <a:extLst>
            <a:ext uri="{FF2B5EF4-FFF2-40B4-BE49-F238E27FC236}">
              <a16:creationId xmlns:a16="http://schemas.microsoft.com/office/drawing/2014/main" id="{5278EF25-1749-4779-AAFC-6E71B172DB5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41" name="Shape 25">
          <a:extLst>
            <a:ext uri="{FF2B5EF4-FFF2-40B4-BE49-F238E27FC236}">
              <a16:creationId xmlns:a16="http://schemas.microsoft.com/office/drawing/2014/main" id="{D0FD9D3A-BBF5-40EE-B04A-E5AF98AFF60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standardchartered.com/gh" TargetMode="External"/><Relationship Id="rId21" Type="http://schemas.openxmlformats.org/officeDocument/2006/relationships/hyperlink" Target="http://www.standardchartered.com/gh" TargetMode="External"/><Relationship Id="rId42" Type="http://schemas.openxmlformats.org/officeDocument/2006/relationships/hyperlink" Target="http://www.standardchartered.com/gh" TargetMode="External"/><Relationship Id="rId47" Type="http://schemas.openxmlformats.org/officeDocument/2006/relationships/hyperlink" Target="http://www.standardchartered.com/gh" TargetMode="External"/><Relationship Id="rId63" Type="http://schemas.openxmlformats.org/officeDocument/2006/relationships/hyperlink" Target="http://www.standardchartered.com/gh" TargetMode="External"/><Relationship Id="rId68" Type="http://schemas.openxmlformats.org/officeDocument/2006/relationships/hyperlink" Target="http://www.standardchartered.com/gh" TargetMode="External"/><Relationship Id="rId7" Type="http://schemas.openxmlformats.org/officeDocument/2006/relationships/hyperlink" Target="http://www.standardchartered.com/gh" TargetMode="External"/><Relationship Id="rId71" Type="http://schemas.openxmlformats.org/officeDocument/2006/relationships/hyperlink" Target="http://www.standardchartered.com/gh" TargetMode="External"/><Relationship Id="rId2" Type="http://schemas.openxmlformats.org/officeDocument/2006/relationships/hyperlink" Target="http://www.standardchartered.com/gh" TargetMode="External"/><Relationship Id="rId16" Type="http://schemas.openxmlformats.org/officeDocument/2006/relationships/hyperlink" Target="http://www.standardchartered.com/gh" TargetMode="External"/><Relationship Id="rId29" Type="http://schemas.openxmlformats.org/officeDocument/2006/relationships/hyperlink" Target="http://www.standardchartered.com/gh" TargetMode="External"/><Relationship Id="rId11" Type="http://schemas.openxmlformats.org/officeDocument/2006/relationships/hyperlink" Target="http://www.standardchartered.com/gh" TargetMode="External"/><Relationship Id="rId24" Type="http://schemas.openxmlformats.org/officeDocument/2006/relationships/hyperlink" Target="http://www.standardchartered.com/gh" TargetMode="External"/><Relationship Id="rId32" Type="http://schemas.openxmlformats.org/officeDocument/2006/relationships/hyperlink" Target="http://www.standardchartered.com/gh" TargetMode="External"/><Relationship Id="rId37" Type="http://schemas.openxmlformats.org/officeDocument/2006/relationships/hyperlink" Target="http://www.standardchartered.com/gh" TargetMode="External"/><Relationship Id="rId40" Type="http://schemas.openxmlformats.org/officeDocument/2006/relationships/hyperlink" Target="http://www.standardchartered.com/gh" TargetMode="External"/><Relationship Id="rId45" Type="http://schemas.openxmlformats.org/officeDocument/2006/relationships/hyperlink" Target="http://www.standardchartered.com/gh" TargetMode="External"/><Relationship Id="rId53" Type="http://schemas.openxmlformats.org/officeDocument/2006/relationships/hyperlink" Target="http://www.standardchartered.com/gh" TargetMode="External"/><Relationship Id="rId58" Type="http://schemas.openxmlformats.org/officeDocument/2006/relationships/hyperlink" Target="http://www.standardchartered.com/gh" TargetMode="External"/><Relationship Id="rId66" Type="http://schemas.openxmlformats.org/officeDocument/2006/relationships/hyperlink" Target="http://www.standardchartered.com/gh" TargetMode="External"/><Relationship Id="rId5" Type="http://schemas.openxmlformats.org/officeDocument/2006/relationships/hyperlink" Target="http://www.standardchartered.com/gh" TargetMode="External"/><Relationship Id="rId61" Type="http://schemas.openxmlformats.org/officeDocument/2006/relationships/hyperlink" Target="http://www.standardchartered.com/gh" TargetMode="External"/><Relationship Id="rId19" Type="http://schemas.openxmlformats.org/officeDocument/2006/relationships/hyperlink" Target="http://www.standardchartered.com/gh" TargetMode="External"/><Relationship Id="rId14" Type="http://schemas.openxmlformats.org/officeDocument/2006/relationships/hyperlink" Target="http://www.standardchartered.com/gh" TargetMode="External"/><Relationship Id="rId22" Type="http://schemas.openxmlformats.org/officeDocument/2006/relationships/hyperlink" Target="http://www.standardchartered.com/gh" TargetMode="External"/><Relationship Id="rId27" Type="http://schemas.openxmlformats.org/officeDocument/2006/relationships/hyperlink" Target="http://www.standardchartered.com/gh" TargetMode="External"/><Relationship Id="rId30" Type="http://schemas.openxmlformats.org/officeDocument/2006/relationships/hyperlink" Target="http://www.standardchartered.com/gh" TargetMode="External"/><Relationship Id="rId35" Type="http://schemas.openxmlformats.org/officeDocument/2006/relationships/hyperlink" Target="http://www.standardchartered.com/gh" TargetMode="External"/><Relationship Id="rId43" Type="http://schemas.openxmlformats.org/officeDocument/2006/relationships/hyperlink" Target="http://www.standardchartered.com/gh" TargetMode="External"/><Relationship Id="rId48" Type="http://schemas.openxmlformats.org/officeDocument/2006/relationships/hyperlink" Target="http://www.standardchartered.com/gh" TargetMode="External"/><Relationship Id="rId56" Type="http://schemas.openxmlformats.org/officeDocument/2006/relationships/hyperlink" Target="http://www.standardchartered.com/gh" TargetMode="External"/><Relationship Id="rId64" Type="http://schemas.openxmlformats.org/officeDocument/2006/relationships/hyperlink" Target="http://www.standardchartered.com/gh" TargetMode="External"/><Relationship Id="rId69" Type="http://schemas.openxmlformats.org/officeDocument/2006/relationships/hyperlink" Target="http://www.standardchartered.com/gh" TargetMode="External"/><Relationship Id="rId8" Type="http://schemas.openxmlformats.org/officeDocument/2006/relationships/hyperlink" Target="http://www.standardchartered.com/gh" TargetMode="External"/><Relationship Id="rId51" Type="http://schemas.openxmlformats.org/officeDocument/2006/relationships/hyperlink" Target="http://www.standardchartered.com/gh" TargetMode="External"/><Relationship Id="rId72" Type="http://schemas.openxmlformats.org/officeDocument/2006/relationships/drawing" Target="../drawings/drawing1.xml"/><Relationship Id="rId3" Type="http://schemas.openxmlformats.org/officeDocument/2006/relationships/hyperlink" Target="http://www.standardchartered.com/gh" TargetMode="External"/><Relationship Id="rId12" Type="http://schemas.openxmlformats.org/officeDocument/2006/relationships/hyperlink" Target="http://www.standardchartered.com/gh" TargetMode="External"/><Relationship Id="rId17" Type="http://schemas.openxmlformats.org/officeDocument/2006/relationships/hyperlink" Target="http://www.standardchartered.com/gh" TargetMode="External"/><Relationship Id="rId25" Type="http://schemas.openxmlformats.org/officeDocument/2006/relationships/hyperlink" Target="http://www.standardchartered.com/gh" TargetMode="External"/><Relationship Id="rId33" Type="http://schemas.openxmlformats.org/officeDocument/2006/relationships/hyperlink" Target="http://www.standardchartered.com/gh" TargetMode="External"/><Relationship Id="rId38" Type="http://schemas.openxmlformats.org/officeDocument/2006/relationships/hyperlink" Target="http://www.standardchartered.com/gh" TargetMode="External"/><Relationship Id="rId46" Type="http://schemas.openxmlformats.org/officeDocument/2006/relationships/hyperlink" Target="http://www.standardchartered.com/gh" TargetMode="External"/><Relationship Id="rId59" Type="http://schemas.openxmlformats.org/officeDocument/2006/relationships/hyperlink" Target="http://www.standardchartered.com/gh" TargetMode="External"/><Relationship Id="rId67" Type="http://schemas.openxmlformats.org/officeDocument/2006/relationships/hyperlink" Target="http://www.standardchartered.com/gh" TargetMode="External"/><Relationship Id="rId20" Type="http://schemas.openxmlformats.org/officeDocument/2006/relationships/hyperlink" Target="http://www.standardchartered.com/gh" TargetMode="External"/><Relationship Id="rId41" Type="http://schemas.openxmlformats.org/officeDocument/2006/relationships/hyperlink" Target="http://www.standardchartered.com/gh" TargetMode="External"/><Relationship Id="rId54" Type="http://schemas.openxmlformats.org/officeDocument/2006/relationships/hyperlink" Target="http://www.standardchartered.com/gh" TargetMode="External"/><Relationship Id="rId62" Type="http://schemas.openxmlformats.org/officeDocument/2006/relationships/hyperlink" Target="http://www.standardchartered.com/gh" TargetMode="External"/><Relationship Id="rId70" Type="http://schemas.openxmlformats.org/officeDocument/2006/relationships/hyperlink" Target="http://www.standardchartered.com/gh" TargetMode="External"/><Relationship Id="rId1" Type="http://schemas.openxmlformats.org/officeDocument/2006/relationships/hyperlink" Target="http://www.standardchartered.com/gh" TargetMode="External"/><Relationship Id="rId6" Type="http://schemas.openxmlformats.org/officeDocument/2006/relationships/hyperlink" Target="http://www.standardchartered.com/gh" TargetMode="External"/><Relationship Id="rId15" Type="http://schemas.openxmlformats.org/officeDocument/2006/relationships/hyperlink" Target="http://www.standardchartered.com/gh" TargetMode="External"/><Relationship Id="rId23" Type="http://schemas.openxmlformats.org/officeDocument/2006/relationships/hyperlink" Target="http://www.standardchartered.com/gh" TargetMode="External"/><Relationship Id="rId28" Type="http://schemas.openxmlformats.org/officeDocument/2006/relationships/hyperlink" Target="http://www.standardchartered.com/gh" TargetMode="External"/><Relationship Id="rId36" Type="http://schemas.openxmlformats.org/officeDocument/2006/relationships/hyperlink" Target="http://www.standardchartered.com/gh" TargetMode="External"/><Relationship Id="rId49" Type="http://schemas.openxmlformats.org/officeDocument/2006/relationships/hyperlink" Target="http://www.standardchartered.com/gh" TargetMode="External"/><Relationship Id="rId57" Type="http://schemas.openxmlformats.org/officeDocument/2006/relationships/hyperlink" Target="http://www.standardchartered.com/gh" TargetMode="External"/><Relationship Id="rId10" Type="http://schemas.openxmlformats.org/officeDocument/2006/relationships/hyperlink" Target="http://www.standardchartered.com/gh" TargetMode="External"/><Relationship Id="rId31" Type="http://schemas.openxmlformats.org/officeDocument/2006/relationships/hyperlink" Target="http://www.standardchartered.com/gh" TargetMode="External"/><Relationship Id="rId44" Type="http://schemas.openxmlformats.org/officeDocument/2006/relationships/hyperlink" Target="http://www.standardchartered.com/gh" TargetMode="External"/><Relationship Id="rId52" Type="http://schemas.openxmlformats.org/officeDocument/2006/relationships/hyperlink" Target="http://www.standardchartered.com/gh" TargetMode="External"/><Relationship Id="rId60" Type="http://schemas.openxmlformats.org/officeDocument/2006/relationships/hyperlink" Target="http://www.standardchartered.com/gh" TargetMode="External"/><Relationship Id="rId65" Type="http://schemas.openxmlformats.org/officeDocument/2006/relationships/hyperlink" Target="http://www.standardchartered.com/gh" TargetMode="External"/><Relationship Id="rId4" Type="http://schemas.openxmlformats.org/officeDocument/2006/relationships/hyperlink" Target="http://www.standardchartered.com/gh" TargetMode="External"/><Relationship Id="rId9" Type="http://schemas.openxmlformats.org/officeDocument/2006/relationships/hyperlink" Target="http://www.standardchartered.com/gh" TargetMode="External"/><Relationship Id="rId13" Type="http://schemas.openxmlformats.org/officeDocument/2006/relationships/hyperlink" Target="http://www.standardchartered.com/gh" TargetMode="External"/><Relationship Id="rId18" Type="http://schemas.openxmlformats.org/officeDocument/2006/relationships/hyperlink" Target="http://www.standardchartered.com/gh" TargetMode="External"/><Relationship Id="rId39" Type="http://schemas.openxmlformats.org/officeDocument/2006/relationships/hyperlink" Target="http://www.standardchartered.com/gh" TargetMode="External"/><Relationship Id="rId34" Type="http://schemas.openxmlformats.org/officeDocument/2006/relationships/hyperlink" Target="http://www.standardchartered.com/gh" TargetMode="External"/><Relationship Id="rId50" Type="http://schemas.openxmlformats.org/officeDocument/2006/relationships/hyperlink" Target="http://www.standardchartered.com/gh" TargetMode="External"/><Relationship Id="rId55" Type="http://schemas.openxmlformats.org/officeDocument/2006/relationships/hyperlink" Target="http://www.standardchartered.com/g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4"/>
  <sheetViews>
    <sheetView workbookViewId="0">
      <selection activeCell="K2" sqref="K2"/>
    </sheetView>
  </sheetViews>
  <sheetFormatPr defaultRowHeight="14.75" x14ac:dyDescent="0.75"/>
  <cols>
    <col min="1" max="1" width="10.453125" customWidth="1"/>
    <col min="2" max="2" width="9.54296875" customWidth="1"/>
    <col min="3" max="3" width="1.953125" customWidth="1"/>
    <col min="4" max="4" width="49.6796875" customWidth="1"/>
    <col min="5" max="6" width="12.7265625" customWidth="1"/>
    <col min="7" max="7" width="15.76953125" customWidth="1"/>
    <col min="8" max="8" width="3.04296875" customWidth="1"/>
  </cols>
  <sheetData>
    <row r="1" spans="1:10" x14ac:dyDescent="0.75">
      <c r="A1" s="55" t="s">
        <v>0</v>
      </c>
      <c r="B1" s="55"/>
      <c r="C1" s="55"/>
      <c r="D1" s="55"/>
      <c r="E1" s="55"/>
      <c r="F1" s="55"/>
      <c r="G1" s="55"/>
      <c r="H1" s="55"/>
      <c r="I1" s="1"/>
      <c r="J1" s="1"/>
    </row>
    <row r="2" spans="1:10" x14ac:dyDescent="0.75">
      <c r="A2" s="55" t="s">
        <v>1</v>
      </c>
      <c r="B2" s="55"/>
      <c r="C2" s="55"/>
      <c r="D2" s="55"/>
      <c r="E2" s="55"/>
      <c r="F2" s="55"/>
      <c r="G2" s="55"/>
      <c r="H2" s="55"/>
      <c r="I2" s="1"/>
      <c r="J2" s="1"/>
    </row>
    <row r="3" spans="1:10" x14ac:dyDescent="0.75">
      <c r="A3" s="34" t="s">
        <v>2</v>
      </c>
      <c r="B3" s="35"/>
      <c r="C3" s="35"/>
      <c r="D3" s="35"/>
      <c r="E3" s="35"/>
      <c r="F3" s="35"/>
      <c r="G3" s="36"/>
      <c r="H3" s="1"/>
      <c r="I3" s="1"/>
      <c r="J3" s="1"/>
    </row>
    <row r="4" spans="1:10" ht="21.5" x14ac:dyDescent="0.75">
      <c r="A4" s="2" t="s">
        <v>3</v>
      </c>
      <c r="B4" s="3" t="s">
        <v>4</v>
      </c>
      <c r="C4" s="4"/>
      <c r="D4" s="5" t="s">
        <v>5</v>
      </c>
      <c r="E4" s="3" t="s">
        <v>6</v>
      </c>
      <c r="F4" s="3" t="s">
        <v>7</v>
      </c>
      <c r="G4" s="6" t="s">
        <v>8</v>
      </c>
      <c r="H4" s="1"/>
      <c r="I4" s="1"/>
      <c r="J4" s="1"/>
    </row>
    <row r="5" spans="1:10" ht="107.5" x14ac:dyDescent="0.75">
      <c r="A5" s="41" t="s">
        <v>9</v>
      </c>
      <c r="B5" s="41" t="s">
        <v>10</v>
      </c>
      <c r="C5" s="44" t="s">
        <v>11</v>
      </c>
      <c r="D5" s="45"/>
      <c r="E5" s="7" t="s">
        <v>12</v>
      </c>
      <c r="F5" s="7" t="s">
        <v>13</v>
      </c>
      <c r="G5" s="77" t="s">
        <v>14</v>
      </c>
      <c r="H5" s="1"/>
      <c r="I5" s="1"/>
      <c r="J5" s="1"/>
    </row>
    <row r="6" spans="1:10" x14ac:dyDescent="0.75">
      <c r="A6" s="42"/>
      <c r="B6" s="42"/>
      <c r="C6" s="46"/>
      <c r="D6" s="47"/>
      <c r="E6" s="80">
        <v>55914.91</v>
      </c>
      <c r="F6" s="80">
        <v>116801.42</v>
      </c>
      <c r="G6" s="78"/>
      <c r="H6" s="1"/>
      <c r="I6" s="1"/>
      <c r="J6" s="1"/>
    </row>
    <row r="7" spans="1:10" x14ac:dyDescent="0.75">
      <c r="A7" s="43"/>
      <c r="B7" s="43"/>
      <c r="C7" s="8"/>
      <c r="D7" s="9"/>
      <c r="E7" s="81"/>
      <c r="F7" s="81"/>
      <c r="G7" s="79"/>
      <c r="H7" s="1"/>
      <c r="I7" s="1"/>
      <c r="J7" s="1"/>
    </row>
    <row r="8" spans="1:10" x14ac:dyDescent="0.75">
      <c r="A8" s="34" t="s">
        <v>15</v>
      </c>
      <c r="B8" s="35"/>
      <c r="C8" s="35"/>
      <c r="D8" s="35"/>
      <c r="E8" s="35"/>
      <c r="F8" s="35"/>
      <c r="G8" s="36"/>
      <c r="H8" s="1"/>
      <c r="I8" s="1"/>
      <c r="J8" s="1"/>
    </row>
    <row r="9" spans="1:10" x14ac:dyDescent="0.75">
      <c r="A9" s="34" t="s">
        <v>16</v>
      </c>
      <c r="B9" s="35"/>
      <c r="C9" s="35"/>
      <c r="D9" s="35"/>
      <c r="E9" s="35"/>
      <c r="F9" s="35"/>
      <c r="G9" s="36"/>
      <c r="H9" s="1"/>
      <c r="I9" s="1"/>
      <c r="J9" s="1"/>
    </row>
    <row r="10" spans="1:10" x14ac:dyDescent="0.75">
      <c r="A10" s="37" t="s">
        <v>17</v>
      </c>
      <c r="B10" s="37"/>
      <c r="C10" s="37"/>
      <c r="D10" s="37"/>
      <c r="E10" s="37"/>
      <c r="F10" s="37"/>
      <c r="G10" s="37"/>
      <c r="H10" s="37"/>
      <c r="I10" s="1"/>
      <c r="J10" s="1"/>
    </row>
    <row r="11" spans="1:10" x14ac:dyDescent="0.75">
      <c r="A11" s="1"/>
      <c r="B11" s="1"/>
      <c r="C11" s="1"/>
      <c r="D11" s="1"/>
      <c r="E11" s="1"/>
      <c r="F11" s="1"/>
      <c r="G11" s="1"/>
      <c r="H11" s="1"/>
      <c r="I11" s="1"/>
      <c r="J11" s="1"/>
    </row>
    <row r="12" spans="1:10" x14ac:dyDescent="0.75">
      <c r="A12" s="1"/>
      <c r="B12" s="1"/>
      <c r="C12" s="1"/>
      <c r="D12" s="1"/>
      <c r="E12" s="1"/>
      <c r="F12" s="1"/>
      <c r="G12" s="1"/>
      <c r="H12" s="1"/>
      <c r="I12" s="1"/>
      <c r="J12" s="1"/>
    </row>
    <row r="13" spans="1:10" x14ac:dyDescent="0.75">
      <c r="A13" s="55" t="s">
        <v>0</v>
      </c>
      <c r="B13" s="55"/>
      <c r="C13" s="55"/>
      <c r="D13" s="55"/>
      <c r="E13" s="55"/>
      <c r="F13" s="55"/>
      <c r="G13" s="55"/>
      <c r="H13" s="55"/>
      <c r="I13" s="1"/>
      <c r="J13" s="1"/>
    </row>
    <row r="14" spans="1:10" x14ac:dyDescent="0.75">
      <c r="A14" s="55" t="s">
        <v>1</v>
      </c>
      <c r="B14" s="55"/>
      <c r="C14" s="55"/>
      <c r="D14" s="55"/>
      <c r="E14" s="55"/>
      <c r="F14" s="55"/>
      <c r="G14" s="55"/>
      <c r="H14" s="55"/>
      <c r="I14" s="1"/>
      <c r="J14" s="1"/>
    </row>
    <row r="15" spans="1:10" x14ac:dyDescent="0.75">
      <c r="A15" s="34" t="s">
        <v>18</v>
      </c>
      <c r="B15" s="35"/>
      <c r="C15" s="35"/>
      <c r="D15" s="35"/>
      <c r="E15" s="35"/>
      <c r="F15" s="35"/>
      <c r="G15" s="36"/>
      <c r="H15" s="1"/>
      <c r="I15" s="1"/>
      <c r="J15" s="1"/>
    </row>
    <row r="16" spans="1:10" ht="21.5" x14ac:dyDescent="0.75">
      <c r="A16" s="2" t="s">
        <v>3</v>
      </c>
      <c r="B16" s="3" t="s">
        <v>4</v>
      </c>
      <c r="C16" s="4"/>
      <c r="D16" s="5" t="s">
        <v>5</v>
      </c>
      <c r="E16" s="3" t="s">
        <v>6</v>
      </c>
      <c r="F16" s="3" t="s">
        <v>7</v>
      </c>
      <c r="G16" s="6" t="s">
        <v>8</v>
      </c>
      <c r="H16" s="1"/>
      <c r="I16" s="1"/>
      <c r="J16" s="1"/>
    </row>
    <row r="17" spans="1:10" x14ac:dyDescent="0.75">
      <c r="A17" s="10">
        <v>43524</v>
      </c>
      <c r="B17" s="11"/>
      <c r="C17" s="56" t="s">
        <v>19</v>
      </c>
      <c r="D17" s="57"/>
      <c r="E17" s="11"/>
      <c r="F17" s="11"/>
      <c r="G17" s="12">
        <v>60886.51</v>
      </c>
      <c r="H17" s="1"/>
      <c r="I17" s="1"/>
      <c r="J17" s="1"/>
    </row>
    <row r="18" spans="1:10" x14ac:dyDescent="0.75">
      <c r="A18" s="13">
        <v>43528</v>
      </c>
      <c r="B18" s="13">
        <v>43528</v>
      </c>
      <c r="C18" s="58" t="s">
        <v>20</v>
      </c>
      <c r="D18" s="59"/>
      <c r="E18" s="14">
        <v>2702.04</v>
      </c>
      <c r="F18" s="15" t="s">
        <v>21</v>
      </c>
      <c r="G18" s="14">
        <v>58184.47</v>
      </c>
      <c r="H18" s="1"/>
      <c r="I18" s="1"/>
      <c r="J18" s="1"/>
    </row>
    <row r="19" spans="1:10" x14ac:dyDescent="0.75">
      <c r="A19" s="16">
        <v>43528</v>
      </c>
      <c r="B19" s="16">
        <v>43528</v>
      </c>
      <c r="C19" s="53" t="s">
        <v>22</v>
      </c>
      <c r="D19" s="54"/>
      <c r="E19" s="17">
        <v>13454.33</v>
      </c>
      <c r="F19" s="18" t="s">
        <v>21</v>
      </c>
      <c r="G19" s="17">
        <v>44730.14</v>
      </c>
      <c r="H19" s="1"/>
      <c r="I19" s="1"/>
      <c r="J19" s="1"/>
    </row>
    <row r="20" spans="1:10" x14ac:dyDescent="0.75">
      <c r="A20" s="16">
        <v>43528</v>
      </c>
      <c r="B20" s="16">
        <v>43528</v>
      </c>
      <c r="C20" s="53" t="s">
        <v>23</v>
      </c>
      <c r="D20" s="54"/>
      <c r="E20" s="19">
        <v>645.04999999999995</v>
      </c>
      <c r="F20" s="18" t="s">
        <v>21</v>
      </c>
      <c r="G20" s="17">
        <v>44085.09</v>
      </c>
      <c r="H20" s="1"/>
      <c r="I20" s="1"/>
      <c r="J20" s="1"/>
    </row>
    <row r="21" spans="1:10" x14ac:dyDescent="0.75">
      <c r="A21" s="16">
        <v>43532</v>
      </c>
      <c r="B21" s="16">
        <v>43532</v>
      </c>
      <c r="C21" s="53" t="s">
        <v>24</v>
      </c>
      <c r="D21" s="54"/>
      <c r="E21" s="19">
        <v>675.39</v>
      </c>
      <c r="F21" s="18" t="s">
        <v>21</v>
      </c>
      <c r="G21" s="17">
        <v>43409.7</v>
      </c>
      <c r="H21" s="1"/>
      <c r="I21" s="1"/>
      <c r="J21" s="1"/>
    </row>
    <row r="22" spans="1:10" x14ac:dyDescent="0.75">
      <c r="A22" s="16">
        <v>43535</v>
      </c>
      <c r="B22" s="16">
        <v>43535</v>
      </c>
      <c r="C22" s="53" t="s">
        <v>25</v>
      </c>
      <c r="D22" s="54"/>
      <c r="E22" s="17">
        <v>8820</v>
      </c>
      <c r="F22" s="18" t="s">
        <v>21</v>
      </c>
      <c r="G22" s="17">
        <v>34589.699999999997</v>
      </c>
      <c r="H22" s="1"/>
      <c r="I22" s="1"/>
      <c r="J22" s="1"/>
    </row>
    <row r="23" spans="1:10" x14ac:dyDescent="0.75">
      <c r="A23" s="16">
        <v>43536</v>
      </c>
      <c r="B23" s="16">
        <v>43536</v>
      </c>
      <c r="C23" s="53" t="s">
        <v>26</v>
      </c>
      <c r="D23" s="54"/>
      <c r="E23" s="17">
        <v>1267.8499999999999</v>
      </c>
      <c r="F23" s="18" t="s">
        <v>21</v>
      </c>
      <c r="G23" s="17">
        <v>33321.85</v>
      </c>
      <c r="H23" s="1"/>
      <c r="I23" s="1"/>
      <c r="J23" s="1"/>
    </row>
    <row r="24" spans="1:10" x14ac:dyDescent="0.75">
      <c r="A24" s="16">
        <v>43536</v>
      </c>
      <c r="B24" s="16">
        <v>43536</v>
      </c>
      <c r="C24" s="53" t="s">
        <v>27</v>
      </c>
      <c r="D24" s="54"/>
      <c r="E24" s="17">
        <v>1962.15</v>
      </c>
      <c r="F24" s="18" t="s">
        <v>21</v>
      </c>
      <c r="G24" s="17">
        <v>31359.7</v>
      </c>
      <c r="H24" s="1"/>
      <c r="I24" s="1"/>
      <c r="J24" s="1"/>
    </row>
    <row r="25" spans="1:10" x14ac:dyDescent="0.75">
      <c r="A25" s="16">
        <v>43537</v>
      </c>
      <c r="B25" s="16">
        <v>43537</v>
      </c>
      <c r="C25" s="53" t="s">
        <v>28</v>
      </c>
      <c r="D25" s="54"/>
      <c r="E25" s="18" t="s">
        <v>21</v>
      </c>
      <c r="F25" s="17">
        <v>278341.32</v>
      </c>
      <c r="G25" s="17">
        <v>309701.02</v>
      </c>
      <c r="H25" s="1"/>
      <c r="I25" s="1"/>
      <c r="J25" s="1"/>
    </row>
    <row r="26" spans="1:10" x14ac:dyDescent="0.75">
      <c r="A26" s="16">
        <v>43537</v>
      </c>
      <c r="B26" s="16">
        <v>43537</v>
      </c>
      <c r="C26" s="53" t="s">
        <v>29</v>
      </c>
      <c r="D26" s="54"/>
      <c r="E26" s="17">
        <v>7974.56</v>
      </c>
      <c r="F26" s="18" t="s">
        <v>21</v>
      </c>
      <c r="G26" s="17">
        <v>301726.46000000002</v>
      </c>
      <c r="H26" s="1"/>
      <c r="I26" s="1"/>
      <c r="J26" s="1"/>
    </row>
    <row r="27" spans="1:10" x14ac:dyDescent="0.75">
      <c r="A27" s="16">
        <v>43537</v>
      </c>
      <c r="B27" s="16">
        <v>43537</v>
      </c>
      <c r="C27" s="53" t="s">
        <v>30</v>
      </c>
      <c r="D27" s="54"/>
      <c r="E27" s="17">
        <v>10445.780000000001</v>
      </c>
      <c r="F27" s="18" t="s">
        <v>21</v>
      </c>
      <c r="G27" s="17">
        <v>291280.68</v>
      </c>
      <c r="H27" s="1"/>
      <c r="I27" s="1"/>
      <c r="J27" s="1"/>
    </row>
    <row r="28" spans="1:10" x14ac:dyDescent="0.75">
      <c r="A28" s="16">
        <v>43537</v>
      </c>
      <c r="B28" s="16">
        <v>43537</v>
      </c>
      <c r="C28" s="53" t="s">
        <v>31</v>
      </c>
      <c r="D28" s="54"/>
      <c r="E28" s="17">
        <v>19853.18</v>
      </c>
      <c r="F28" s="18" t="s">
        <v>21</v>
      </c>
      <c r="G28" s="17">
        <v>271427.5</v>
      </c>
      <c r="H28" s="1"/>
      <c r="I28" s="1"/>
      <c r="J28" s="1"/>
    </row>
    <row r="29" spans="1:10" x14ac:dyDescent="0.75">
      <c r="A29" s="16">
        <v>43538</v>
      </c>
      <c r="B29" s="16">
        <v>43538</v>
      </c>
      <c r="C29" s="53" t="s">
        <v>28</v>
      </c>
      <c r="D29" s="54"/>
      <c r="E29" s="18" t="s">
        <v>21</v>
      </c>
      <c r="F29" s="17">
        <v>54137.98</v>
      </c>
      <c r="G29" s="17">
        <v>325565.48</v>
      </c>
      <c r="H29" s="1"/>
      <c r="I29" s="1"/>
      <c r="J29" s="1"/>
    </row>
    <row r="30" spans="1:10" x14ac:dyDescent="0.75">
      <c r="A30" s="20"/>
      <c r="B30" s="20"/>
      <c r="C30" s="8"/>
      <c r="D30" s="9"/>
      <c r="E30" s="20"/>
      <c r="F30" s="20"/>
      <c r="G30" s="20"/>
      <c r="H30" s="1"/>
      <c r="I30" s="1"/>
      <c r="J30" s="1"/>
    </row>
    <row r="31" spans="1:10" x14ac:dyDescent="0.75">
      <c r="A31" s="34" t="s">
        <v>15</v>
      </c>
      <c r="B31" s="35"/>
      <c r="C31" s="35"/>
      <c r="D31" s="35"/>
      <c r="E31" s="35"/>
      <c r="F31" s="35"/>
      <c r="G31" s="36"/>
      <c r="H31" s="1"/>
      <c r="I31" s="1"/>
      <c r="J31" s="1"/>
    </row>
    <row r="32" spans="1:10" x14ac:dyDescent="0.75">
      <c r="A32" s="21" t="s">
        <v>32</v>
      </c>
      <c r="B32" s="22"/>
      <c r="C32" s="22"/>
      <c r="D32" s="23" t="s">
        <v>33</v>
      </c>
      <c r="E32" s="22"/>
      <c r="F32" s="22"/>
      <c r="G32" s="24"/>
      <c r="H32" s="1"/>
      <c r="I32" s="1"/>
      <c r="J32" s="1"/>
    </row>
    <row r="33" spans="1:10" x14ac:dyDescent="0.75">
      <c r="A33" s="37" t="s">
        <v>34</v>
      </c>
      <c r="B33" s="37"/>
      <c r="C33" s="37"/>
      <c r="D33" s="37"/>
      <c r="E33" s="37"/>
      <c r="F33" s="37"/>
      <c r="G33" s="37"/>
      <c r="H33" s="37"/>
      <c r="I33" s="1"/>
      <c r="J33" s="1"/>
    </row>
    <row r="34" spans="1:10" x14ac:dyDescent="0.75">
      <c r="A34" s="55" t="s">
        <v>0</v>
      </c>
      <c r="B34" s="55"/>
      <c r="C34" s="55"/>
      <c r="D34" s="55"/>
      <c r="E34" s="55"/>
      <c r="F34" s="55"/>
      <c r="G34" s="55"/>
      <c r="H34" s="55"/>
      <c r="I34" s="1"/>
      <c r="J34" s="1"/>
    </row>
    <row r="35" spans="1:10" x14ac:dyDescent="0.75">
      <c r="A35" s="55" t="s">
        <v>1</v>
      </c>
      <c r="B35" s="55"/>
      <c r="C35" s="55"/>
      <c r="D35" s="55"/>
      <c r="E35" s="55"/>
      <c r="F35" s="55"/>
      <c r="G35" s="55"/>
      <c r="H35" s="55"/>
      <c r="I35" s="1"/>
      <c r="J35" s="1"/>
    </row>
    <row r="36" spans="1:10" x14ac:dyDescent="0.75">
      <c r="A36" s="38" t="s">
        <v>35</v>
      </c>
      <c r="B36" s="39"/>
      <c r="C36" s="39"/>
      <c r="D36" s="39"/>
      <c r="E36" s="39"/>
      <c r="F36" s="39"/>
      <c r="G36" s="40"/>
      <c r="H36" s="1"/>
      <c r="I36" s="1"/>
      <c r="J36" s="1"/>
    </row>
    <row r="37" spans="1:10" ht="21.5" x14ac:dyDescent="0.75">
      <c r="A37" s="2" t="s">
        <v>3</v>
      </c>
      <c r="B37" s="3" t="s">
        <v>4</v>
      </c>
      <c r="C37" s="4"/>
      <c r="D37" s="5" t="s">
        <v>5</v>
      </c>
      <c r="E37" s="3" t="s">
        <v>6</v>
      </c>
      <c r="F37" s="3" t="s">
        <v>7</v>
      </c>
      <c r="G37" s="6" t="s">
        <v>8</v>
      </c>
      <c r="H37" s="1"/>
      <c r="I37" s="1"/>
      <c r="J37" s="1"/>
    </row>
    <row r="38" spans="1:10" x14ac:dyDescent="0.75">
      <c r="A38" s="10">
        <v>43538</v>
      </c>
      <c r="B38" s="11"/>
      <c r="C38" s="56" t="s">
        <v>19</v>
      </c>
      <c r="D38" s="57"/>
      <c r="E38" s="11"/>
      <c r="F38" s="11"/>
      <c r="G38" s="12">
        <v>325565.48</v>
      </c>
      <c r="H38" s="1"/>
      <c r="I38" s="1"/>
      <c r="J38" s="1"/>
    </row>
    <row r="39" spans="1:10" x14ac:dyDescent="0.75">
      <c r="A39" s="13">
        <v>43538</v>
      </c>
      <c r="B39" s="13">
        <v>43538</v>
      </c>
      <c r="C39" s="58" t="s">
        <v>36</v>
      </c>
      <c r="D39" s="59"/>
      <c r="E39" s="25">
        <v>739.23</v>
      </c>
      <c r="F39" s="15" t="s">
        <v>21</v>
      </c>
      <c r="G39" s="14">
        <v>324826.25</v>
      </c>
      <c r="H39" s="1"/>
      <c r="I39" s="1"/>
      <c r="J39" s="1"/>
    </row>
    <row r="40" spans="1:10" x14ac:dyDescent="0.75">
      <c r="A40" s="16">
        <v>43538</v>
      </c>
      <c r="B40" s="16">
        <v>43538</v>
      </c>
      <c r="C40" s="53" t="s">
        <v>37</v>
      </c>
      <c r="D40" s="54"/>
      <c r="E40" s="17">
        <v>11667.86</v>
      </c>
      <c r="F40" s="18" t="s">
        <v>21</v>
      </c>
      <c r="G40" s="17">
        <v>313158.39</v>
      </c>
      <c r="H40" s="1"/>
      <c r="I40" s="1"/>
      <c r="J40" s="1"/>
    </row>
    <row r="41" spans="1:10" x14ac:dyDescent="0.75">
      <c r="A41" s="16">
        <v>43539</v>
      </c>
      <c r="B41" s="16">
        <v>43539</v>
      </c>
      <c r="C41" s="53" t="s">
        <v>38</v>
      </c>
      <c r="D41" s="54"/>
      <c r="E41" s="18" t="s">
        <v>21</v>
      </c>
      <c r="F41" s="17">
        <v>500000</v>
      </c>
      <c r="G41" s="17">
        <v>813158.39</v>
      </c>
      <c r="H41" s="1"/>
      <c r="I41" s="1"/>
      <c r="J41" s="1"/>
    </row>
    <row r="42" spans="1:10" x14ac:dyDescent="0.75">
      <c r="A42" s="26"/>
      <c r="B42" s="26"/>
      <c r="C42" s="58" t="s">
        <v>39</v>
      </c>
      <c r="D42" s="59"/>
      <c r="E42" s="26"/>
      <c r="F42" s="26"/>
      <c r="G42" s="26"/>
      <c r="H42" s="1"/>
      <c r="I42" s="1"/>
      <c r="J42" s="1"/>
    </row>
    <row r="43" spans="1:10" x14ac:dyDescent="0.75">
      <c r="A43" s="13">
        <v>43539</v>
      </c>
      <c r="B43" s="13">
        <v>43539</v>
      </c>
      <c r="C43" s="58" t="s">
        <v>28</v>
      </c>
      <c r="D43" s="59"/>
      <c r="E43" s="15" t="s">
        <v>21</v>
      </c>
      <c r="F43" s="14">
        <v>2317.2800000000002</v>
      </c>
      <c r="G43" s="14">
        <v>815475.67</v>
      </c>
      <c r="H43" s="1"/>
      <c r="I43" s="1"/>
      <c r="J43" s="1"/>
    </row>
    <row r="44" spans="1:10" x14ac:dyDescent="0.75">
      <c r="A44" s="16">
        <v>43539</v>
      </c>
      <c r="B44" s="16">
        <v>43539</v>
      </c>
      <c r="C44" s="53" t="s">
        <v>40</v>
      </c>
      <c r="D44" s="54"/>
      <c r="E44" s="17">
        <v>2087.85</v>
      </c>
      <c r="F44" s="18" t="s">
        <v>21</v>
      </c>
      <c r="G44" s="17">
        <v>813387.82</v>
      </c>
      <c r="H44" s="1"/>
      <c r="I44" s="1"/>
      <c r="J44" s="1"/>
    </row>
    <row r="45" spans="1:10" x14ac:dyDescent="0.75">
      <c r="A45" s="16">
        <v>43539</v>
      </c>
      <c r="B45" s="16">
        <v>43539</v>
      </c>
      <c r="C45" s="53" t="s">
        <v>41</v>
      </c>
      <c r="D45" s="54"/>
      <c r="E45" s="17">
        <v>8753.7199999999993</v>
      </c>
      <c r="F45" s="18" t="s">
        <v>21</v>
      </c>
      <c r="G45" s="17">
        <v>804634.1</v>
      </c>
      <c r="H45" s="1"/>
      <c r="I45" s="1"/>
      <c r="J45" s="1"/>
    </row>
    <row r="46" spans="1:10" x14ac:dyDescent="0.75">
      <c r="A46" s="16">
        <v>43542</v>
      </c>
      <c r="B46" s="16">
        <v>43542</v>
      </c>
      <c r="C46" s="53" t="s">
        <v>42</v>
      </c>
      <c r="D46" s="54"/>
      <c r="E46" s="17">
        <v>12646.22</v>
      </c>
      <c r="F46" s="18" t="s">
        <v>21</v>
      </c>
      <c r="G46" s="17">
        <v>791987.88</v>
      </c>
      <c r="H46" s="1"/>
      <c r="I46" s="1"/>
      <c r="J46" s="1"/>
    </row>
    <row r="47" spans="1:10" x14ac:dyDescent="0.75">
      <c r="A47" s="16">
        <v>43542</v>
      </c>
      <c r="B47" s="16">
        <v>43542</v>
      </c>
      <c r="C47" s="53" t="s">
        <v>43</v>
      </c>
      <c r="D47" s="54"/>
      <c r="E47" s="17">
        <v>31493.67</v>
      </c>
      <c r="F47" s="18" t="s">
        <v>21</v>
      </c>
      <c r="G47" s="17">
        <v>760494.21</v>
      </c>
      <c r="H47" s="1"/>
      <c r="I47" s="1"/>
      <c r="J47" s="1"/>
    </row>
    <row r="48" spans="1:10" x14ac:dyDescent="0.75">
      <c r="A48" s="16">
        <v>43543</v>
      </c>
      <c r="B48" s="16">
        <v>43543</v>
      </c>
      <c r="C48" s="53" t="s">
        <v>28</v>
      </c>
      <c r="D48" s="54"/>
      <c r="E48" s="18" t="s">
        <v>21</v>
      </c>
      <c r="F48" s="17">
        <v>19652.2</v>
      </c>
      <c r="G48" s="17">
        <v>780146.41</v>
      </c>
      <c r="H48" s="1"/>
      <c r="I48" s="1"/>
      <c r="J48" s="1"/>
    </row>
    <row r="49" spans="1:10" x14ac:dyDescent="0.75">
      <c r="A49" s="16">
        <v>43543</v>
      </c>
      <c r="B49" s="16">
        <v>43543</v>
      </c>
      <c r="C49" s="53" t="s">
        <v>44</v>
      </c>
      <c r="D49" s="54"/>
      <c r="E49" s="17">
        <v>1264.3900000000001</v>
      </c>
      <c r="F49" s="18" t="s">
        <v>21</v>
      </c>
      <c r="G49" s="17">
        <v>778882.02</v>
      </c>
      <c r="H49" s="1"/>
      <c r="I49" s="1"/>
      <c r="J49" s="1"/>
    </row>
    <row r="50" spans="1:10" x14ac:dyDescent="0.75">
      <c r="A50" s="16">
        <v>43543</v>
      </c>
      <c r="B50" s="16">
        <v>43543</v>
      </c>
      <c r="C50" s="53" t="s">
        <v>45</v>
      </c>
      <c r="D50" s="54"/>
      <c r="E50" s="17">
        <v>3616.2</v>
      </c>
      <c r="F50" s="18" t="s">
        <v>21</v>
      </c>
      <c r="G50" s="17">
        <v>775265.82</v>
      </c>
      <c r="H50" s="1"/>
      <c r="I50" s="1"/>
      <c r="J50" s="1"/>
    </row>
    <row r="51" spans="1:10" x14ac:dyDescent="0.75">
      <c r="A51" s="16">
        <v>43543</v>
      </c>
      <c r="B51" s="16">
        <v>43543</v>
      </c>
      <c r="C51" s="53" t="s">
        <v>46</v>
      </c>
      <c r="D51" s="54"/>
      <c r="E51" s="17">
        <v>3616.2</v>
      </c>
      <c r="F51" s="18" t="s">
        <v>21</v>
      </c>
      <c r="G51" s="17">
        <v>771649.62</v>
      </c>
      <c r="H51" s="1"/>
      <c r="I51" s="1"/>
      <c r="J51" s="1"/>
    </row>
    <row r="52" spans="1:10" x14ac:dyDescent="0.75">
      <c r="A52" s="20"/>
      <c r="B52" s="20"/>
      <c r="C52" s="8"/>
      <c r="D52" s="9"/>
      <c r="E52" s="20"/>
      <c r="F52" s="20"/>
      <c r="G52" s="20"/>
      <c r="H52" s="1"/>
      <c r="I52" s="1"/>
      <c r="J52" s="1"/>
    </row>
    <row r="53" spans="1:10" x14ac:dyDescent="0.75">
      <c r="A53" s="34" t="s">
        <v>15</v>
      </c>
      <c r="B53" s="35"/>
      <c r="C53" s="35"/>
      <c r="D53" s="35"/>
      <c r="E53" s="35"/>
      <c r="F53" s="35"/>
      <c r="G53" s="36"/>
      <c r="H53" s="1"/>
      <c r="I53" s="1"/>
      <c r="J53" s="1"/>
    </row>
    <row r="54" spans="1:10" x14ac:dyDescent="0.75">
      <c r="A54" s="21" t="s">
        <v>32</v>
      </c>
      <c r="B54" s="22"/>
      <c r="C54" s="22"/>
      <c r="D54" s="23" t="s">
        <v>33</v>
      </c>
      <c r="E54" s="22"/>
      <c r="F54" s="22"/>
      <c r="G54" s="24"/>
      <c r="H54" s="1"/>
      <c r="I54" s="1"/>
      <c r="J54" s="1"/>
    </row>
    <row r="55" spans="1:10" x14ac:dyDescent="0.75">
      <c r="A55" s="37" t="s">
        <v>47</v>
      </c>
      <c r="B55" s="37"/>
      <c r="C55" s="37"/>
      <c r="D55" s="37"/>
      <c r="E55" s="37"/>
      <c r="F55" s="37"/>
      <c r="G55" s="37"/>
      <c r="H55" s="37"/>
      <c r="I55" s="1"/>
      <c r="J55" s="1"/>
    </row>
    <row r="56" spans="1:10" x14ac:dyDescent="0.75">
      <c r="A56" s="55" t="s">
        <v>0</v>
      </c>
      <c r="B56" s="55"/>
      <c r="C56" s="55"/>
      <c r="D56" s="55"/>
      <c r="E56" s="55"/>
      <c r="F56" s="55"/>
      <c r="G56" s="55"/>
      <c r="H56" s="55"/>
      <c r="I56" s="1"/>
      <c r="J56" s="1"/>
    </row>
    <row r="57" spans="1:10" x14ac:dyDescent="0.75">
      <c r="A57" s="55" t="s">
        <v>1</v>
      </c>
      <c r="B57" s="55"/>
      <c r="C57" s="55"/>
      <c r="D57" s="55"/>
      <c r="E57" s="55"/>
      <c r="F57" s="55"/>
      <c r="G57" s="55"/>
      <c r="H57" s="55"/>
      <c r="I57" s="1"/>
      <c r="J57" s="1"/>
    </row>
    <row r="58" spans="1:10" x14ac:dyDescent="0.75">
      <c r="A58" s="38" t="s">
        <v>35</v>
      </c>
      <c r="B58" s="39"/>
      <c r="C58" s="39"/>
      <c r="D58" s="39"/>
      <c r="E58" s="39"/>
      <c r="F58" s="39"/>
      <c r="G58" s="40"/>
      <c r="H58" s="1"/>
      <c r="I58" s="1"/>
      <c r="J58" s="1"/>
    </row>
    <row r="59" spans="1:10" ht="21.5" x14ac:dyDescent="0.75">
      <c r="A59" s="2" t="s">
        <v>3</v>
      </c>
      <c r="B59" s="3" t="s">
        <v>4</v>
      </c>
      <c r="C59" s="4"/>
      <c r="D59" s="5" t="s">
        <v>5</v>
      </c>
      <c r="E59" s="3" t="s">
        <v>6</v>
      </c>
      <c r="F59" s="3" t="s">
        <v>7</v>
      </c>
      <c r="G59" s="6" t="s">
        <v>8</v>
      </c>
      <c r="H59" s="1"/>
      <c r="I59" s="1"/>
      <c r="J59" s="1"/>
    </row>
    <row r="60" spans="1:10" x14ac:dyDescent="0.75">
      <c r="A60" s="10">
        <v>43543</v>
      </c>
      <c r="B60" s="11"/>
      <c r="C60" s="56" t="s">
        <v>19</v>
      </c>
      <c r="D60" s="57"/>
      <c r="E60" s="11"/>
      <c r="F60" s="11"/>
      <c r="G60" s="12">
        <v>771649.62</v>
      </c>
      <c r="H60" s="1"/>
      <c r="I60" s="1"/>
      <c r="J60" s="1"/>
    </row>
    <row r="61" spans="1:10" x14ac:dyDescent="0.75">
      <c r="A61" s="13">
        <v>43543</v>
      </c>
      <c r="B61" s="13">
        <v>43543</v>
      </c>
      <c r="C61" s="58" t="s">
        <v>48</v>
      </c>
      <c r="D61" s="59"/>
      <c r="E61" s="14">
        <v>20689.61</v>
      </c>
      <c r="F61" s="15" t="s">
        <v>21</v>
      </c>
      <c r="G61" s="14">
        <v>750960.01</v>
      </c>
      <c r="H61" s="1"/>
      <c r="I61" s="1"/>
      <c r="J61" s="1"/>
    </row>
    <row r="62" spans="1:10" x14ac:dyDescent="0.75">
      <c r="A62" s="16">
        <v>43543</v>
      </c>
      <c r="B62" s="16">
        <v>43543</v>
      </c>
      <c r="C62" s="53" t="s">
        <v>49</v>
      </c>
      <c r="D62" s="54"/>
      <c r="E62" s="17">
        <v>23935.72</v>
      </c>
      <c r="F62" s="18" t="s">
        <v>21</v>
      </c>
      <c r="G62" s="17">
        <v>727024.29</v>
      </c>
      <c r="H62" s="1"/>
      <c r="I62" s="1"/>
      <c r="J62" s="1"/>
    </row>
    <row r="63" spans="1:10" x14ac:dyDescent="0.75">
      <c r="A63" s="16">
        <v>43543</v>
      </c>
      <c r="B63" s="16">
        <v>43543</v>
      </c>
      <c r="C63" s="53" t="s">
        <v>50</v>
      </c>
      <c r="D63" s="54"/>
      <c r="E63" s="17">
        <v>28173.55</v>
      </c>
      <c r="F63" s="18" t="s">
        <v>21</v>
      </c>
      <c r="G63" s="17">
        <v>698850.74</v>
      </c>
      <c r="H63" s="1"/>
      <c r="I63" s="1"/>
      <c r="J63" s="1"/>
    </row>
    <row r="64" spans="1:10" x14ac:dyDescent="0.75">
      <c r="A64" s="16">
        <v>43543</v>
      </c>
      <c r="B64" s="16">
        <v>43543</v>
      </c>
      <c r="C64" s="53" t="s">
        <v>51</v>
      </c>
      <c r="D64" s="54"/>
      <c r="E64" s="17">
        <v>56617.45</v>
      </c>
      <c r="F64" s="18" t="s">
        <v>21</v>
      </c>
      <c r="G64" s="17">
        <v>642233.29</v>
      </c>
      <c r="H64" s="1"/>
      <c r="I64" s="1"/>
      <c r="J64" s="1"/>
    </row>
    <row r="65" spans="1:10" x14ac:dyDescent="0.75">
      <c r="A65" s="16">
        <v>43544</v>
      </c>
      <c r="B65" s="16">
        <v>43544</v>
      </c>
      <c r="C65" s="53" t="s">
        <v>28</v>
      </c>
      <c r="D65" s="54"/>
      <c r="E65" s="18" t="s">
        <v>21</v>
      </c>
      <c r="F65" s="17">
        <v>41376.83</v>
      </c>
      <c r="G65" s="17">
        <v>683610.12</v>
      </c>
      <c r="H65" s="1"/>
      <c r="I65" s="1"/>
      <c r="J65" s="1"/>
    </row>
    <row r="66" spans="1:10" x14ac:dyDescent="0.75">
      <c r="A66" s="16">
        <v>43544</v>
      </c>
      <c r="B66" s="16">
        <v>43544</v>
      </c>
      <c r="C66" s="53" t="s">
        <v>52</v>
      </c>
      <c r="D66" s="54"/>
      <c r="E66" s="19">
        <v>525.47</v>
      </c>
      <c r="F66" s="18" t="s">
        <v>21</v>
      </c>
      <c r="G66" s="17">
        <v>683084.65</v>
      </c>
      <c r="H66" s="1"/>
      <c r="I66" s="1"/>
      <c r="J66" s="1"/>
    </row>
    <row r="67" spans="1:10" x14ac:dyDescent="0.75">
      <c r="A67" s="16">
        <v>43544</v>
      </c>
      <c r="B67" s="16">
        <v>43544</v>
      </c>
      <c r="C67" s="53" t="s">
        <v>53</v>
      </c>
      <c r="D67" s="54"/>
      <c r="E67" s="19">
        <v>954.48</v>
      </c>
      <c r="F67" s="18" t="s">
        <v>21</v>
      </c>
      <c r="G67" s="17">
        <v>682130.17</v>
      </c>
      <c r="H67" s="1"/>
      <c r="I67" s="1"/>
      <c r="J67" s="1"/>
    </row>
    <row r="68" spans="1:10" x14ac:dyDescent="0.75">
      <c r="A68" s="16">
        <v>43544</v>
      </c>
      <c r="B68" s="16">
        <v>43544</v>
      </c>
      <c r="C68" s="53" t="s">
        <v>54</v>
      </c>
      <c r="D68" s="54"/>
      <c r="E68" s="17">
        <v>2910</v>
      </c>
      <c r="F68" s="18" t="s">
        <v>21</v>
      </c>
      <c r="G68" s="17">
        <v>679220.17</v>
      </c>
      <c r="H68" s="1"/>
      <c r="I68" s="1"/>
      <c r="J68" s="1"/>
    </row>
    <row r="69" spans="1:10" x14ac:dyDescent="0.75">
      <c r="A69" s="16">
        <v>43544</v>
      </c>
      <c r="B69" s="16">
        <v>43544</v>
      </c>
      <c r="C69" s="53" t="s">
        <v>55</v>
      </c>
      <c r="D69" s="54"/>
      <c r="E69" s="17">
        <v>3195.3</v>
      </c>
      <c r="F69" s="18" t="s">
        <v>21</v>
      </c>
      <c r="G69" s="17">
        <v>676024.87</v>
      </c>
      <c r="H69" s="1"/>
      <c r="I69" s="1"/>
      <c r="J69" s="1"/>
    </row>
    <row r="70" spans="1:10" x14ac:dyDescent="0.75">
      <c r="A70" s="16">
        <v>43544</v>
      </c>
      <c r="B70" s="16">
        <v>43544</v>
      </c>
      <c r="C70" s="53" t="s">
        <v>56</v>
      </c>
      <c r="D70" s="54"/>
      <c r="E70" s="17">
        <v>13382.27</v>
      </c>
      <c r="F70" s="18" t="s">
        <v>21</v>
      </c>
      <c r="G70" s="17">
        <v>662642.6</v>
      </c>
      <c r="H70" s="1"/>
      <c r="I70" s="1"/>
      <c r="J70" s="1"/>
    </row>
    <row r="71" spans="1:10" x14ac:dyDescent="0.75">
      <c r="A71" s="16">
        <v>43544</v>
      </c>
      <c r="B71" s="16">
        <v>43544</v>
      </c>
      <c r="C71" s="53" t="s">
        <v>57</v>
      </c>
      <c r="D71" s="54"/>
      <c r="E71" s="17">
        <v>15592.5</v>
      </c>
      <c r="F71" s="18" t="s">
        <v>21</v>
      </c>
      <c r="G71" s="17">
        <v>647050.1</v>
      </c>
      <c r="H71" s="1"/>
      <c r="I71" s="1"/>
      <c r="J71" s="1"/>
    </row>
    <row r="72" spans="1:10" x14ac:dyDescent="0.75">
      <c r="A72" s="16">
        <v>43545</v>
      </c>
      <c r="B72" s="16">
        <v>43545</v>
      </c>
      <c r="C72" s="53" t="s">
        <v>28</v>
      </c>
      <c r="D72" s="54"/>
      <c r="E72" s="18" t="s">
        <v>21</v>
      </c>
      <c r="F72" s="17">
        <v>91757.51</v>
      </c>
      <c r="G72" s="17">
        <v>738807.61</v>
      </c>
      <c r="H72" s="1"/>
      <c r="I72" s="1"/>
      <c r="J72" s="1"/>
    </row>
    <row r="73" spans="1:10" x14ac:dyDescent="0.75">
      <c r="A73" s="20"/>
      <c r="B73" s="20"/>
      <c r="C73" s="8"/>
      <c r="D73" s="9"/>
      <c r="E73" s="20"/>
      <c r="F73" s="20"/>
      <c r="G73" s="20"/>
      <c r="H73" s="1"/>
      <c r="I73" s="1"/>
      <c r="J73" s="1"/>
    </row>
    <row r="74" spans="1:10" x14ac:dyDescent="0.75">
      <c r="A74" s="34" t="s">
        <v>15</v>
      </c>
      <c r="B74" s="35"/>
      <c r="C74" s="35"/>
      <c r="D74" s="35"/>
      <c r="E74" s="35"/>
      <c r="F74" s="35"/>
      <c r="G74" s="36"/>
      <c r="H74" s="1"/>
      <c r="I74" s="1"/>
      <c r="J74" s="1"/>
    </row>
    <row r="75" spans="1:10" x14ac:dyDescent="0.75">
      <c r="A75" s="21" t="s">
        <v>32</v>
      </c>
      <c r="B75" s="22"/>
      <c r="C75" s="22"/>
      <c r="D75" s="23" t="s">
        <v>33</v>
      </c>
      <c r="E75" s="22"/>
      <c r="F75" s="22"/>
      <c r="G75" s="24"/>
      <c r="H75" s="1"/>
      <c r="I75" s="1"/>
      <c r="J75" s="1"/>
    </row>
    <row r="76" spans="1:10" x14ac:dyDescent="0.75">
      <c r="A76" s="37" t="s">
        <v>58</v>
      </c>
      <c r="B76" s="37"/>
      <c r="C76" s="37"/>
      <c r="D76" s="37"/>
      <c r="E76" s="37"/>
      <c r="F76" s="37"/>
      <c r="G76" s="37"/>
      <c r="H76" s="37"/>
      <c r="I76" s="1"/>
      <c r="J76" s="1"/>
    </row>
    <row r="77" spans="1:10" x14ac:dyDescent="0.75">
      <c r="A77" s="55" t="s">
        <v>0</v>
      </c>
      <c r="B77" s="55"/>
      <c r="C77" s="55"/>
      <c r="D77" s="55"/>
      <c r="E77" s="55"/>
      <c r="F77" s="55"/>
      <c r="G77" s="55"/>
      <c r="H77" s="55"/>
      <c r="I77" s="1"/>
      <c r="J77" s="1"/>
    </row>
    <row r="78" spans="1:10" x14ac:dyDescent="0.75">
      <c r="A78" s="55" t="s">
        <v>1</v>
      </c>
      <c r="B78" s="55"/>
      <c r="C78" s="55"/>
      <c r="D78" s="55"/>
      <c r="E78" s="55"/>
      <c r="F78" s="55"/>
      <c r="G78" s="55"/>
      <c r="H78" s="55"/>
      <c r="I78" s="1"/>
      <c r="J78" s="1"/>
    </row>
    <row r="79" spans="1:10" x14ac:dyDescent="0.75">
      <c r="A79" s="38" t="s">
        <v>35</v>
      </c>
      <c r="B79" s="39"/>
      <c r="C79" s="39"/>
      <c r="D79" s="39"/>
      <c r="E79" s="39"/>
      <c r="F79" s="39"/>
      <c r="G79" s="40"/>
      <c r="H79" s="1"/>
      <c r="I79" s="1"/>
      <c r="J79" s="1"/>
    </row>
    <row r="80" spans="1:10" ht="21.5" x14ac:dyDescent="0.75">
      <c r="A80" s="2" t="s">
        <v>3</v>
      </c>
      <c r="B80" s="3" t="s">
        <v>4</v>
      </c>
      <c r="C80" s="4"/>
      <c r="D80" s="5" t="s">
        <v>5</v>
      </c>
      <c r="E80" s="3" t="s">
        <v>6</v>
      </c>
      <c r="F80" s="3" t="s">
        <v>7</v>
      </c>
      <c r="G80" s="6" t="s">
        <v>8</v>
      </c>
      <c r="H80" s="1"/>
      <c r="I80" s="1"/>
      <c r="J80" s="1"/>
    </row>
    <row r="81" spans="1:10" x14ac:dyDescent="0.75">
      <c r="A81" s="10">
        <v>43545</v>
      </c>
      <c r="B81" s="11"/>
      <c r="C81" s="56" t="s">
        <v>19</v>
      </c>
      <c r="D81" s="57"/>
      <c r="E81" s="11"/>
      <c r="F81" s="11"/>
      <c r="G81" s="12">
        <v>738807.61</v>
      </c>
      <c r="H81" s="1"/>
      <c r="I81" s="1"/>
      <c r="J81" s="1"/>
    </row>
    <row r="82" spans="1:10" x14ac:dyDescent="0.75">
      <c r="A82" s="13">
        <v>43545</v>
      </c>
      <c r="B82" s="13">
        <v>43545</v>
      </c>
      <c r="C82" s="58" t="s">
        <v>59</v>
      </c>
      <c r="D82" s="59"/>
      <c r="E82" s="25">
        <v>295.31</v>
      </c>
      <c r="F82" s="15" t="s">
        <v>21</v>
      </c>
      <c r="G82" s="14">
        <v>738512.3</v>
      </c>
      <c r="H82" s="1"/>
      <c r="I82" s="1"/>
      <c r="J82" s="1"/>
    </row>
    <row r="83" spans="1:10" x14ac:dyDescent="0.75">
      <c r="A83" s="16">
        <v>43545</v>
      </c>
      <c r="B83" s="16">
        <v>43545</v>
      </c>
      <c r="C83" s="53" t="s">
        <v>60</v>
      </c>
      <c r="D83" s="54"/>
      <c r="E83" s="17">
        <v>4195.57</v>
      </c>
      <c r="F83" s="18" t="s">
        <v>21</v>
      </c>
      <c r="G83" s="17">
        <v>734316.73</v>
      </c>
      <c r="H83" s="1"/>
      <c r="I83" s="1"/>
      <c r="J83" s="1"/>
    </row>
    <row r="84" spans="1:10" x14ac:dyDescent="0.75">
      <c r="A84" s="16">
        <v>43545</v>
      </c>
      <c r="B84" s="16">
        <v>43545</v>
      </c>
      <c r="C84" s="53" t="s">
        <v>61</v>
      </c>
      <c r="D84" s="54"/>
      <c r="E84" s="17">
        <v>6671.69</v>
      </c>
      <c r="F84" s="18" t="s">
        <v>21</v>
      </c>
      <c r="G84" s="17">
        <v>727645.04</v>
      </c>
      <c r="H84" s="1"/>
      <c r="I84" s="1"/>
      <c r="J84" s="1"/>
    </row>
    <row r="85" spans="1:10" x14ac:dyDescent="0.75">
      <c r="A85" s="16">
        <v>43545</v>
      </c>
      <c r="B85" s="16">
        <v>43545</v>
      </c>
      <c r="C85" s="53" t="s">
        <v>62</v>
      </c>
      <c r="D85" s="54"/>
      <c r="E85" s="17">
        <v>18004.150000000001</v>
      </c>
      <c r="F85" s="18" t="s">
        <v>21</v>
      </c>
      <c r="G85" s="17">
        <v>709640.89</v>
      </c>
      <c r="H85" s="1"/>
      <c r="I85" s="1"/>
      <c r="J85" s="1"/>
    </row>
    <row r="86" spans="1:10" x14ac:dyDescent="0.75">
      <c r="A86" s="16">
        <v>43546</v>
      </c>
      <c r="B86" s="16">
        <v>43546</v>
      </c>
      <c r="C86" s="53" t="s">
        <v>28</v>
      </c>
      <c r="D86" s="54"/>
      <c r="E86" s="18" t="s">
        <v>21</v>
      </c>
      <c r="F86" s="17">
        <v>20910.099999999999</v>
      </c>
      <c r="G86" s="17">
        <v>730550.99</v>
      </c>
      <c r="H86" s="1"/>
      <c r="I86" s="1"/>
      <c r="J86" s="1"/>
    </row>
    <row r="87" spans="1:10" x14ac:dyDescent="0.75">
      <c r="A87" s="16">
        <v>43546</v>
      </c>
      <c r="B87" s="16">
        <v>43546</v>
      </c>
      <c r="C87" s="53" t="s">
        <v>63</v>
      </c>
      <c r="D87" s="54"/>
      <c r="E87" s="17">
        <v>2425.5</v>
      </c>
      <c r="F87" s="18" t="s">
        <v>21</v>
      </c>
      <c r="G87" s="17">
        <v>728125.49</v>
      </c>
      <c r="H87" s="1"/>
      <c r="I87" s="1"/>
      <c r="J87" s="1"/>
    </row>
    <row r="88" spans="1:10" x14ac:dyDescent="0.75">
      <c r="A88" s="16">
        <v>43549</v>
      </c>
      <c r="B88" s="16">
        <v>43549</v>
      </c>
      <c r="C88" s="53" t="s">
        <v>28</v>
      </c>
      <c r="D88" s="54"/>
      <c r="E88" s="18" t="s">
        <v>21</v>
      </c>
      <c r="F88" s="17">
        <v>19110.41</v>
      </c>
      <c r="G88" s="17">
        <v>747235.9</v>
      </c>
      <c r="H88" s="1"/>
      <c r="I88" s="1"/>
      <c r="J88" s="1"/>
    </row>
    <row r="89" spans="1:10" x14ac:dyDescent="0.75">
      <c r="A89" s="16">
        <v>43549</v>
      </c>
      <c r="B89" s="16">
        <v>43549</v>
      </c>
      <c r="C89" s="53" t="s">
        <v>64</v>
      </c>
      <c r="D89" s="54"/>
      <c r="E89" s="17">
        <v>1167.0899999999999</v>
      </c>
      <c r="F89" s="18" t="s">
        <v>21</v>
      </c>
      <c r="G89" s="17">
        <v>746068.81</v>
      </c>
      <c r="H89" s="1"/>
      <c r="I89" s="1"/>
      <c r="J89" s="1"/>
    </row>
    <row r="90" spans="1:10" x14ac:dyDescent="0.75">
      <c r="A90" s="16">
        <v>43549</v>
      </c>
      <c r="B90" s="16">
        <v>43549</v>
      </c>
      <c r="C90" s="53" t="s">
        <v>65</v>
      </c>
      <c r="D90" s="54"/>
      <c r="E90" s="17">
        <v>1914.8</v>
      </c>
      <c r="F90" s="18" t="s">
        <v>21</v>
      </c>
      <c r="G90" s="17">
        <v>744154.01</v>
      </c>
      <c r="H90" s="1"/>
      <c r="I90" s="1"/>
      <c r="J90" s="1"/>
    </row>
    <row r="91" spans="1:10" x14ac:dyDescent="0.75">
      <c r="A91" s="16">
        <v>43549</v>
      </c>
      <c r="B91" s="16">
        <v>43549</v>
      </c>
      <c r="C91" s="53" t="s">
        <v>66</v>
      </c>
      <c r="D91" s="54"/>
      <c r="E91" s="17">
        <v>2153.4</v>
      </c>
      <c r="F91" s="18" t="s">
        <v>21</v>
      </c>
      <c r="G91" s="17">
        <v>742000.61</v>
      </c>
      <c r="H91" s="1"/>
      <c r="I91" s="1"/>
      <c r="J91" s="1"/>
    </row>
    <row r="92" spans="1:10" x14ac:dyDescent="0.75">
      <c r="A92" s="16">
        <v>43549</v>
      </c>
      <c r="B92" s="16">
        <v>43549</v>
      </c>
      <c r="C92" s="53" t="s">
        <v>67</v>
      </c>
      <c r="D92" s="54"/>
      <c r="E92" s="17">
        <v>3104.44</v>
      </c>
      <c r="F92" s="18" t="s">
        <v>21</v>
      </c>
      <c r="G92" s="17">
        <v>738896.17</v>
      </c>
      <c r="H92" s="1"/>
      <c r="I92" s="1"/>
      <c r="J92" s="1"/>
    </row>
    <row r="93" spans="1:10" x14ac:dyDescent="0.75">
      <c r="A93" s="16">
        <v>43549</v>
      </c>
      <c r="B93" s="16">
        <v>43549</v>
      </c>
      <c r="C93" s="53" t="s">
        <v>68</v>
      </c>
      <c r="D93" s="54"/>
      <c r="E93" s="17">
        <v>3638.84</v>
      </c>
      <c r="F93" s="18" t="s">
        <v>21</v>
      </c>
      <c r="G93" s="17">
        <v>735257.33</v>
      </c>
      <c r="H93" s="1"/>
      <c r="I93" s="1"/>
      <c r="J93" s="1"/>
    </row>
    <row r="94" spans="1:10" x14ac:dyDescent="0.75">
      <c r="A94" s="20"/>
      <c r="B94" s="20"/>
      <c r="C94" s="8"/>
      <c r="D94" s="9"/>
      <c r="E94" s="20"/>
      <c r="F94" s="20"/>
      <c r="G94" s="20"/>
      <c r="H94" s="1"/>
      <c r="I94" s="1"/>
      <c r="J94" s="1"/>
    </row>
    <row r="95" spans="1:10" x14ac:dyDescent="0.75">
      <c r="A95" s="34" t="s">
        <v>15</v>
      </c>
      <c r="B95" s="35"/>
      <c r="C95" s="35"/>
      <c r="D95" s="35"/>
      <c r="E95" s="35"/>
      <c r="F95" s="35"/>
      <c r="G95" s="36"/>
      <c r="H95" s="1"/>
      <c r="I95" s="1"/>
      <c r="J95" s="1"/>
    </row>
    <row r="96" spans="1:10" x14ac:dyDescent="0.75">
      <c r="A96" s="21" t="s">
        <v>32</v>
      </c>
      <c r="B96" s="22"/>
      <c r="C96" s="22"/>
      <c r="D96" s="23" t="s">
        <v>33</v>
      </c>
      <c r="E96" s="22"/>
      <c r="F96" s="22"/>
      <c r="G96" s="24"/>
      <c r="H96" s="1"/>
      <c r="I96" s="1"/>
      <c r="J96" s="1"/>
    </row>
    <row r="97" spans="1:10" x14ac:dyDescent="0.75">
      <c r="A97" s="37" t="s">
        <v>69</v>
      </c>
      <c r="B97" s="37"/>
      <c r="C97" s="37"/>
      <c r="D97" s="37"/>
      <c r="E97" s="37"/>
      <c r="F97" s="37"/>
      <c r="G97" s="37"/>
      <c r="H97" s="37"/>
      <c r="I97" s="1"/>
      <c r="J97" s="1"/>
    </row>
    <row r="98" spans="1:10" x14ac:dyDescent="0.75">
      <c r="A98" s="55" t="s">
        <v>0</v>
      </c>
      <c r="B98" s="55"/>
      <c r="C98" s="55"/>
      <c r="D98" s="55"/>
      <c r="E98" s="55"/>
      <c r="F98" s="55"/>
      <c r="G98" s="55"/>
      <c r="H98" s="55"/>
      <c r="I98" s="1"/>
      <c r="J98" s="1"/>
    </row>
    <row r="99" spans="1:10" x14ac:dyDescent="0.75">
      <c r="A99" s="55" t="s">
        <v>1</v>
      </c>
      <c r="B99" s="55"/>
      <c r="C99" s="55"/>
      <c r="D99" s="55"/>
      <c r="E99" s="55"/>
      <c r="F99" s="55"/>
      <c r="G99" s="55"/>
      <c r="H99" s="55"/>
      <c r="I99" s="1"/>
      <c r="J99" s="1"/>
    </row>
    <row r="100" spans="1:10" x14ac:dyDescent="0.75">
      <c r="A100" s="38" t="s">
        <v>35</v>
      </c>
      <c r="B100" s="39"/>
      <c r="C100" s="39"/>
      <c r="D100" s="39"/>
      <c r="E100" s="39"/>
      <c r="F100" s="39"/>
      <c r="G100" s="40"/>
      <c r="H100" s="1"/>
      <c r="I100" s="1"/>
      <c r="J100" s="1"/>
    </row>
    <row r="101" spans="1:10" ht="21.5" x14ac:dyDescent="0.75">
      <c r="A101" s="2" t="s">
        <v>3</v>
      </c>
      <c r="B101" s="3" t="s">
        <v>4</v>
      </c>
      <c r="C101" s="4"/>
      <c r="D101" s="5" t="s">
        <v>5</v>
      </c>
      <c r="E101" s="3" t="s">
        <v>6</v>
      </c>
      <c r="F101" s="3" t="s">
        <v>7</v>
      </c>
      <c r="G101" s="6" t="s">
        <v>8</v>
      </c>
      <c r="H101" s="1"/>
      <c r="I101" s="1"/>
      <c r="J101" s="1"/>
    </row>
    <row r="102" spans="1:10" x14ac:dyDescent="0.75">
      <c r="A102" s="10">
        <v>43549</v>
      </c>
      <c r="B102" s="11"/>
      <c r="C102" s="56" t="s">
        <v>19</v>
      </c>
      <c r="D102" s="57"/>
      <c r="E102" s="11"/>
      <c r="F102" s="11"/>
      <c r="G102" s="12">
        <v>735257.33</v>
      </c>
      <c r="H102" s="1"/>
      <c r="I102" s="1"/>
      <c r="J102" s="1"/>
    </row>
    <row r="103" spans="1:10" x14ac:dyDescent="0.75">
      <c r="A103" s="13">
        <v>43549</v>
      </c>
      <c r="B103" s="13">
        <v>43549</v>
      </c>
      <c r="C103" s="58" t="s">
        <v>70</v>
      </c>
      <c r="D103" s="59"/>
      <c r="E103" s="14">
        <v>4892.95</v>
      </c>
      <c r="F103" s="15" t="s">
        <v>21</v>
      </c>
      <c r="G103" s="14">
        <v>730364.38</v>
      </c>
      <c r="H103" s="1"/>
      <c r="I103" s="1"/>
      <c r="J103" s="1"/>
    </row>
    <row r="104" spans="1:10" x14ac:dyDescent="0.75">
      <c r="A104" s="16">
        <v>43549</v>
      </c>
      <c r="B104" s="16">
        <v>43549</v>
      </c>
      <c r="C104" s="53" t="s">
        <v>71</v>
      </c>
      <c r="D104" s="54"/>
      <c r="E104" s="17">
        <v>24158.71</v>
      </c>
      <c r="F104" s="18" t="s">
        <v>21</v>
      </c>
      <c r="G104" s="17">
        <v>706205.67</v>
      </c>
      <c r="H104" s="1"/>
      <c r="I104" s="1"/>
      <c r="J104" s="1"/>
    </row>
    <row r="105" spans="1:10" x14ac:dyDescent="0.75">
      <c r="A105" s="16">
        <v>43549</v>
      </c>
      <c r="B105" s="16">
        <v>43549</v>
      </c>
      <c r="C105" s="53" t="s">
        <v>72</v>
      </c>
      <c r="D105" s="54"/>
      <c r="E105" s="17">
        <v>32331.15</v>
      </c>
      <c r="F105" s="18" t="s">
        <v>21</v>
      </c>
      <c r="G105" s="17">
        <v>673874.52</v>
      </c>
      <c r="H105" s="1"/>
      <c r="I105" s="1"/>
      <c r="J105" s="1"/>
    </row>
    <row r="106" spans="1:10" x14ac:dyDescent="0.75">
      <c r="A106" s="16">
        <v>43549</v>
      </c>
      <c r="B106" s="16">
        <v>43549</v>
      </c>
      <c r="C106" s="53" t="s">
        <v>73</v>
      </c>
      <c r="D106" s="54"/>
      <c r="E106" s="17">
        <v>101184.33</v>
      </c>
      <c r="F106" s="18" t="s">
        <v>21</v>
      </c>
      <c r="G106" s="17">
        <v>572690.18999999994</v>
      </c>
      <c r="H106" s="1"/>
      <c r="I106" s="1"/>
      <c r="J106" s="1"/>
    </row>
    <row r="107" spans="1:10" x14ac:dyDescent="0.75">
      <c r="A107" s="16">
        <v>43549</v>
      </c>
      <c r="B107" s="16">
        <v>43549</v>
      </c>
      <c r="C107" s="53" t="s">
        <v>74</v>
      </c>
      <c r="D107" s="54"/>
      <c r="E107" s="17">
        <v>116981.36</v>
      </c>
      <c r="F107" s="18" t="s">
        <v>21</v>
      </c>
      <c r="G107" s="17">
        <v>455708.83</v>
      </c>
      <c r="H107" s="1"/>
      <c r="I107" s="1"/>
      <c r="J107" s="1"/>
    </row>
    <row r="108" spans="1:10" x14ac:dyDescent="0.75">
      <c r="A108" s="16">
        <v>43550</v>
      </c>
      <c r="B108" s="16">
        <v>43550</v>
      </c>
      <c r="C108" s="53" t="s">
        <v>75</v>
      </c>
      <c r="D108" s="54"/>
      <c r="E108" s="17">
        <v>4620.25</v>
      </c>
      <c r="F108" s="18" t="s">
        <v>21</v>
      </c>
      <c r="G108" s="17">
        <v>451088.58</v>
      </c>
      <c r="H108" s="1"/>
      <c r="I108" s="1"/>
      <c r="J108" s="1"/>
    </row>
    <row r="109" spans="1:10" x14ac:dyDescent="0.75">
      <c r="A109" s="26"/>
      <c r="B109" s="26"/>
      <c r="C109" s="58" t="s">
        <v>76</v>
      </c>
      <c r="D109" s="59"/>
      <c r="E109" s="26"/>
      <c r="F109" s="26"/>
      <c r="G109" s="26"/>
      <c r="H109" s="1"/>
      <c r="I109" s="1"/>
      <c r="J109" s="1"/>
    </row>
    <row r="110" spans="1:10" x14ac:dyDescent="0.75">
      <c r="A110" s="13">
        <v>43550</v>
      </c>
      <c r="B110" s="13">
        <v>43550</v>
      </c>
      <c r="C110" s="58" t="s">
        <v>77</v>
      </c>
      <c r="D110" s="59"/>
      <c r="E110" s="25">
        <v>552.9</v>
      </c>
      <c r="F110" s="15" t="s">
        <v>21</v>
      </c>
      <c r="G110" s="14">
        <v>450535.67999999999</v>
      </c>
      <c r="H110" s="1"/>
      <c r="I110" s="1"/>
      <c r="J110" s="1"/>
    </row>
    <row r="111" spans="1:10" x14ac:dyDescent="0.75">
      <c r="A111" s="16">
        <v>43550</v>
      </c>
      <c r="B111" s="16">
        <v>43550</v>
      </c>
      <c r="C111" s="53" t="s">
        <v>78</v>
      </c>
      <c r="D111" s="54"/>
      <c r="E111" s="17">
        <v>2413.3200000000002</v>
      </c>
      <c r="F111" s="18" t="s">
        <v>21</v>
      </c>
      <c r="G111" s="17">
        <v>448122.36</v>
      </c>
      <c r="H111" s="1"/>
      <c r="I111" s="1"/>
      <c r="J111" s="1"/>
    </row>
    <row r="112" spans="1:10" x14ac:dyDescent="0.75">
      <c r="A112" s="16">
        <v>43550</v>
      </c>
      <c r="B112" s="16">
        <v>43550</v>
      </c>
      <c r="C112" s="53" t="s">
        <v>79</v>
      </c>
      <c r="D112" s="54"/>
      <c r="E112" s="17">
        <v>169275.4</v>
      </c>
      <c r="F112" s="18" t="s">
        <v>21</v>
      </c>
      <c r="G112" s="17">
        <v>278846.96000000002</v>
      </c>
      <c r="H112" s="1"/>
      <c r="I112" s="1"/>
      <c r="J112" s="1"/>
    </row>
    <row r="113" spans="1:10" x14ac:dyDescent="0.75">
      <c r="A113" s="16">
        <v>43551</v>
      </c>
      <c r="B113" s="16">
        <v>43551</v>
      </c>
      <c r="C113" s="53" t="s">
        <v>28</v>
      </c>
      <c r="D113" s="54"/>
      <c r="E113" s="18" t="s">
        <v>21</v>
      </c>
      <c r="F113" s="17">
        <v>44298.080000000002</v>
      </c>
      <c r="G113" s="17">
        <v>323145.03999999998</v>
      </c>
      <c r="H113" s="1"/>
      <c r="I113" s="1"/>
      <c r="J113" s="1"/>
    </row>
    <row r="114" spans="1:10" x14ac:dyDescent="0.75">
      <c r="A114" s="16">
        <v>43551</v>
      </c>
      <c r="B114" s="16">
        <v>43551</v>
      </c>
      <c r="C114" s="53" t="s">
        <v>80</v>
      </c>
      <c r="D114" s="54"/>
      <c r="E114" s="19">
        <v>656.1</v>
      </c>
      <c r="F114" s="18" t="s">
        <v>21</v>
      </c>
      <c r="G114" s="17">
        <v>322488.94</v>
      </c>
      <c r="H114" s="1"/>
      <c r="I114" s="1"/>
      <c r="J114" s="1"/>
    </row>
    <row r="115" spans="1:10" x14ac:dyDescent="0.75">
      <c r="A115" s="16">
        <v>43551</v>
      </c>
      <c r="B115" s="16">
        <v>43551</v>
      </c>
      <c r="C115" s="53" t="s">
        <v>81</v>
      </c>
      <c r="D115" s="54"/>
      <c r="E115" s="19">
        <v>1</v>
      </c>
      <c r="F115" s="18" t="s">
        <v>21</v>
      </c>
      <c r="G115" s="17">
        <v>322487.94</v>
      </c>
      <c r="H115" s="1"/>
      <c r="I115" s="1"/>
      <c r="J115" s="1"/>
    </row>
    <row r="116" spans="1:10" x14ac:dyDescent="0.75">
      <c r="A116" s="20"/>
      <c r="B116" s="20"/>
      <c r="C116" s="8"/>
      <c r="D116" s="9"/>
      <c r="E116" s="20"/>
      <c r="F116" s="20"/>
      <c r="G116" s="20"/>
      <c r="H116" s="1"/>
      <c r="I116" s="1"/>
      <c r="J116" s="1"/>
    </row>
    <row r="117" spans="1:10" x14ac:dyDescent="0.75">
      <c r="A117" s="34" t="s">
        <v>15</v>
      </c>
      <c r="B117" s="35"/>
      <c r="C117" s="35"/>
      <c r="D117" s="35"/>
      <c r="E117" s="35"/>
      <c r="F117" s="35"/>
      <c r="G117" s="36"/>
      <c r="H117" s="1"/>
      <c r="I117" s="1"/>
      <c r="J117" s="1"/>
    </row>
    <row r="118" spans="1:10" x14ac:dyDescent="0.75">
      <c r="A118" s="21" t="s">
        <v>32</v>
      </c>
      <c r="B118" s="22"/>
      <c r="C118" s="22"/>
      <c r="D118" s="23" t="s">
        <v>33</v>
      </c>
      <c r="E118" s="22"/>
      <c r="F118" s="22"/>
      <c r="G118" s="24"/>
      <c r="H118" s="1"/>
      <c r="I118" s="1"/>
      <c r="J118" s="1"/>
    </row>
    <row r="119" spans="1:10" x14ac:dyDescent="0.75">
      <c r="A119" s="37" t="s">
        <v>82</v>
      </c>
      <c r="B119" s="37"/>
      <c r="C119" s="37"/>
      <c r="D119" s="37"/>
      <c r="E119" s="37"/>
      <c r="F119" s="37"/>
      <c r="G119" s="37"/>
      <c r="H119" s="37"/>
      <c r="I119" s="1"/>
      <c r="J119" s="1"/>
    </row>
    <row r="120" spans="1:10" x14ac:dyDescent="0.75">
      <c r="A120" s="55" t="s">
        <v>0</v>
      </c>
      <c r="B120" s="55"/>
      <c r="C120" s="55"/>
      <c r="D120" s="55"/>
      <c r="E120" s="55"/>
      <c r="F120" s="55"/>
      <c r="G120" s="55"/>
      <c r="H120" s="55"/>
      <c r="I120" s="1"/>
      <c r="J120" s="1"/>
    </row>
    <row r="121" spans="1:10" x14ac:dyDescent="0.75">
      <c r="A121" s="55" t="s">
        <v>1</v>
      </c>
      <c r="B121" s="55"/>
      <c r="C121" s="55"/>
      <c r="D121" s="55"/>
      <c r="E121" s="55"/>
      <c r="F121" s="55"/>
      <c r="G121" s="55"/>
      <c r="H121" s="55"/>
      <c r="I121" s="1"/>
      <c r="J121" s="1"/>
    </row>
    <row r="122" spans="1:10" x14ac:dyDescent="0.75">
      <c r="A122" s="38" t="s">
        <v>35</v>
      </c>
      <c r="B122" s="39"/>
      <c r="C122" s="39"/>
      <c r="D122" s="39"/>
      <c r="E122" s="39"/>
      <c r="F122" s="39"/>
      <c r="G122" s="40"/>
      <c r="H122" s="1"/>
      <c r="I122" s="1"/>
      <c r="J122" s="1"/>
    </row>
    <row r="123" spans="1:10" ht="21.5" x14ac:dyDescent="0.75">
      <c r="A123" s="2" t="s">
        <v>3</v>
      </c>
      <c r="B123" s="3" t="s">
        <v>4</v>
      </c>
      <c r="C123" s="4"/>
      <c r="D123" s="5" t="s">
        <v>5</v>
      </c>
      <c r="E123" s="3" t="s">
        <v>6</v>
      </c>
      <c r="F123" s="3" t="s">
        <v>7</v>
      </c>
      <c r="G123" s="6" t="s">
        <v>8</v>
      </c>
      <c r="H123" s="1"/>
      <c r="I123" s="1"/>
      <c r="J123" s="1"/>
    </row>
    <row r="124" spans="1:10" ht="53.75" x14ac:dyDescent="0.75">
      <c r="A124" s="41" t="s">
        <v>83</v>
      </c>
      <c r="B124" s="41" t="s">
        <v>84</v>
      </c>
      <c r="C124" s="44" t="s">
        <v>85</v>
      </c>
      <c r="D124" s="45"/>
      <c r="E124" s="7" t="s">
        <v>86</v>
      </c>
      <c r="F124" s="7" t="s">
        <v>87</v>
      </c>
      <c r="G124" s="48" t="s">
        <v>88</v>
      </c>
      <c r="H124" s="1"/>
      <c r="I124" s="1"/>
      <c r="J124" s="1"/>
    </row>
    <row r="125" spans="1:10" x14ac:dyDescent="0.75">
      <c r="A125" s="42"/>
      <c r="B125" s="42"/>
      <c r="C125" s="46"/>
      <c r="D125" s="47"/>
      <c r="E125" s="51">
        <v>1017488.62</v>
      </c>
      <c r="F125" s="51">
        <v>1197069.99</v>
      </c>
      <c r="G125" s="49"/>
      <c r="H125" s="1"/>
      <c r="I125" s="1"/>
      <c r="J125" s="1"/>
    </row>
    <row r="126" spans="1:10" x14ac:dyDescent="0.75">
      <c r="A126" s="43"/>
      <c r="B126" s="43"/>
      <c r="C126" s="8"/>
      <c r="D126" s="9"/>
      <c r="E126" s="52"/>
      <c r="F126" s="52"/>
      <c r="G126" s="50"/>
      <c r="H126" s="1"/>
      <c r="I126" s="1"/>
      <c r="J126" s="1"/>
    </row>
    <row r="127" spans="1:10" x14ac:dyDescent="0.75">
      <c r="A127" s="34" t="s">
        <v>15</v>
      </c>
      <c r="B127" s="35"/>
      <c r="C127" s="35"/>
      <c r="D127" s="35"/>
      <c r="E127" s="35"/>
      <c r="F127" s="35"/>
      <c r="G127" s="36"/>
      <c r="H127" s="1"/>
      <c r="I127" s="1"/>
      <c r="J127" s="1"/>
    </row>
    <row r="128" spans="1:10" x14ac:dyDescent="0.75">
      <c r="A128" s="34" t="s">
        <v>16</v>
      </c>
      <c r="B128" s="35"/>
      <c r="C128" s="35"/>
      <c r="D128" s="35"/>
      <c r="E128" s="35"/>
      <c r="F128" s="35"/>
      <c r="G128" s="36"/>
      <c r="H128" s="1"/>
      <c r="I128" s="1"/>
      <c r="J128" s="1"/>
    </row>
    <row r="129" spans="1:10" x14ac:dyDescent="0.75">
      <c r="A129" s="37" t="s">
        <v>89</v>
      </c>
      <c r="B129" s="37"/>
      <c r="C129" s="37"/>
      <c r="D129" s="37"/>
      <c r="E129" s="37"/>
      <c r="F129" s="37"/>
      <c r="G129" s="37"/>
      <c r="H129" s="37"/>
      <c r="I129" s="1"/>
      <c r="J129" s="1"/>
    </row>
    <row r="130" spans="1:10" x14ac:dyDescent="0.75">
      <c r="A130" s="55" t="s">
        <v>0</v>
      </c>
      <c r="B130" s="55"/>
      <c r="C130" s="55"/>
      <c r="D130" s="55"/>
      <c r="E130" s="55"/>
      <c r="F130" s="55"/>
      <c r="G130" s="55"/>
      <c r="H130" s="55"/>
      <c r="I130" s="1"/>
      <c r="J130" s="1"/>
    </row>
    <row r="131" spans="1:10" x14ac:dyDescent="0.75">
      <c r="A131" s="55" t="s">
        <v>1</v>
      </c>
      <c r="B131" s="55"/>
      <c r="C131" s="55"/>
      <c r="D131" s="55"/>
      <c r="E131" s="55"/>
      <c r="F131" s="55"/>
      <c r="G131" s="55"/>
      <c r="H131" s="55"/>
      <c r="I131" s="1"/>
      <c r="J131" s="1"/>
    </row>
    <row r="132" spans="1:10" x14ac:dyDescent="0.75">
      <c r="A132" s="34" t="s">
        <v>90</v>
      </c>
      <c r="B132" s="35"/>
      <c r="C132" s="35"/>
      <c r="D132" s="35"/>
      <c r="E132" s="35"/>
      <c r="F132" s="35"/>
      <c r="G132" s="36"/>
      <c r="H132" s="1"/>
      <c r="I132" s="1"/>
      <c r="J132" s="1"/>
    </row>
    <row r="133" spans="1:10" ht="21.5" x14ac:dyDescent="0.75">
      <c r="A133" s="2" t="s">
        <v>3</v>
      </c>
      <c r="B133" s="3" t="s">
        <v>4</v>
      </c>
      <c r="C133" s="4"/>
      <c r="D133" s="5" t="s">
        <v>5</v>
      </c>
      <c r="E133" s="3" t="s">
        <v>6</v>
      </c>
      <c r="F133" s="3" t="s">
        <v>7</v>
      </c>
      <c r="G133" s="6" t="s">
        <v>8</v>
      </c>
      <c r="H133" s="1"/>
      <c r="I133" s="1"/>
      <c r="J133" s="1"/>
    </row>
    <row r="134" spans="1:10" x14ac:dyDescent="0.75">
      <c r="A134" s="10">
        <v>43553</v>
      </c>
      <c r="B134" s="11"/>
      <c r="C134" s="56" t="s">
        <v>19</v>
      </c>
      <c r="D134" s="57"/>
      <c r="E134" s="11"/>
      <c r="F134" s="11"/>
      <c r="G134" s="12">
        <v>240467.88</v>
      </c>
      <c r="H134" s="1"/>
      <c r="I134" s="1"/>
      <c r="J134" s="1"/>
    </row>
    <row r="135" spans="1:10" x14ac:dyDescent="0.75">
      <c r="A135" s="13">
        <v>43556</v>
      </c>
      <c r="B135" s="13">
        <v>43556</v>
      </c>
      <c r="C135" s="58" t="s">
        <v>28</v>
      </c>
      <c r="D135" s="59"/>
      <c r="E135" s="15" t="s">
        <v>21</v>
      </c>
      <c r="F135" s="14">
        <v>89565.85</v>
      </c>
      <c r="G135" s="14">
        <v>330033.73</v>
      </c>
      <c r="H135" s="1"/>
      <c r="I135" s="1"/>
      <c r="J135" s="1"/>
    </row>
    <row r="136" spans="1:10" x14ac:dyDescent="0.75">
      <c r="A136" s="16">
        <v>43556</v>
      </c>
      <c r="B136" s="16">
        <v>43556</v>
      </c>
      <c r="C136" s="53" t="s">
        <v>91</v>
      </c>
      <c r="D136" s="54"/>
      <c r="E136" s="17">
        <v>3000</v>
      </c>
      <c r="F136" s="18" t="s">
        <v>21</v>
      </c>
      <c r="G136" s="17">
        <v>327033.73</v>
      </c>
      <c r="H136" s="1"/>
      <c r="I136" s="1"/>
      <c r="J136" s="1"/>
    </row>
    <row r="137" spans="1:10" x14ac:dyDescent="0.75">
      <c r="A137" s="16">
        <v>43556</v>
      </c>
      <c r="B137" s="16">
        <v>43556</v>
      </c>
      <c r="C137" s="53" t="s">
        <v>92</v>
      </c>
      <c r="D137" s="54"/>
      <c r="E137" s="17">
        <v>14357.54</v>
      </c>
      <c r="F137" s="18" t="s">
        <v>21</v>
      </c>
      <c r="G137" s="17">
        <v>312676.19</v>
      </c>
      <c r="H137" s="1"/>
      <c r="I137" s="1"/>
      <c r="J137" s="1"/>
    </row>
    <row r="138" spans="1:10" x14ac:dyDescent="0.75">
      <c r="A138" s="16">
        <v>43556</v>
      </c>
      <c r="B138" s="16">
        <v>43556</v>
      </c>
      <c r="C138" s="53" t="s">
        <v>93</v>
      </c>
      <c r="D138" s="54"/>
      <c r="E138" s="17">
        <v>1680</v>
      </c>
      <c r="F138" s="18" t="s">
        <v>21</v>
      </c>
      <c r="G138" s="17">
        <v>310996.19</v>
      </c>
      <c r="H138" s="1"/>
      <c r="I138" s="1"/>
      <c r="J138" s="1"/>
    </row>
    <row r="139" spans="1:10" x14ac:dyDescent="0.75">
      <c r="A139" s="16">
        <v>43556</v>
      </c>
      <c r="B139" s="16">
        <v>43556</v>
      </c>
      <c r="C139" s="53" t="s">
        <v>94</v>
      </c>
      <c r="D139" s="54"/>
      <c r="E139" s="17">
        <v>3774</v>
      </c>
      <c r="F139" s="18" t="s">
        <v>21</v>
      </c>
      <c r="G139" s="17">
        <v>307222.19</v>
      </c>
      <c r="H139" s="1"/>
      <c r="I139" s="1"/>
      <c r="J139" s="1"/>
    </row>
    <row r="140" spans="1:10" x14ac:dyDescent="0.75">
      <c r="A140" s="16">
        <v>43557</v>
      </c>
      <c r="B140" s="16">
        <v>43557</v>
      </c>
      <c r="C140" s="53" t="s">
        <v>28</v>
      </c>
      <c r="D140" s="54"/>
      <c r="E140" s="18" t="s">
        <v>21</v>
      </c>
      <c r="F140" s="17">
        <v>33418.839999999997</v>
      </c>
      <c r="G140" s="17">
        <v>340641.03</v>
      </c>
      <c r="H140" s="1"/>
      <c r="I140" s="1"/>
      <c r="J140" s="1"/>
    </row>
    <row r="141" spans="1:10" x14ac:dyDescent="0.75">
      <c r="A141" s="16">
        <v>43558</v>
      </c>
      <c r="B141" s="16">
        <v>43558</v>
      </c>
      <c r="C141" s="53" t="s">
        <v>28</v>
      </c>
      <c r="D141" s="54"/>
      <c r="E141" s="18" t="s">
        <v>21</v>
      </c>
      <c r="F141" s="17">
        <v>13534.72</v>
      </c>
      <c r="G141" s="17">
        <v>354175.75</v>
      </c>
      <c r="H141" s="1"/>
      <c r="I141" s="1"/>
      <c r="J141" s="1"/>
    </row>
    <row r="142" spans="1:10" x14ac:dyDescent="0.75">
      <c r="A142" s="16">
        <v>43558</v>
      </c>
      <c r="B142" s="16">
        <v>43558</v>
      </c>
      <c r="C142" s="53" t="s">
        <v>95</v>
      </c>
      <c r="D142" s="54"/>
      <c r="E142" s="19">
        <v>675.39</v>
      </c>
      <c r="F142" s="18" t="s">
        <v>21</v>
      </c>
      <c r="G142" s="17">
        <v>353500.36</v>
      </c>
      <c r="H142" s="1"/>
      <c r="I142" s="1"/>
      <c r="J142" s="1"/>
    </row>
    <row r="143" spans="1:10" x14ac:dyDescent="0.75">
      <c r="A143" s="16">
        <v>43558</v>
      </c>
      <c r="B143" s="16">
        <v>43558</v>
      </c>
      <c r="C143" s="53" t="s">
        <v>96</v>
      </c>
      <c r="D143" s="54"/>
      <c r="E143" s="17">
        <v>4526.01</v>
      </c>
      <c r="F143" s="18" t="s">
        <v>21</v>
      </c>
      <c r="G143" s="17">
        <v>348974.35</v>
      </c>
      <c r="H143" s="1"/>
      <c r="I143" s="1"/>
      <c r="J143" s="1"/>
    </row>
    <row r="144" spans="1:10" x14ac:dyDescent="0.75">
      <c r="A144" s="16">
        <v>43558</v>
      </c>
      <c r="B144" s="16">
        <v>43558</v>
      </c>
      <c r="C144" s="53" t="s">
        <v>97</v>
      </c>
      <c r="D144" s="54"/>
      <c r="E144" s="17">
        <v>27522.05</v>
      </c>
      <c r="F144" s="18" t="s">
        <v>21</v>
      </c>
      <c r="G144" s="17">
        <v>321452.3</v>
      </c>
      <c r="H144" s="1"/>
      <c r="I144" s="1"/>
      <c r="J144" s="1"/>
    </row>
    <row r="145" spans="1:10" x14ac:dyDescent="0.75">
      <c r="A145" s="16">
        <v>43558</v>
      </c>
      <c r="B145" s="16">
        <v>43558</v>
      </c>
      <c r="C145" s="53" t="s">
        <v>98</v>
      </c>
      <c r="D145" s="54"/>
      <c r="E145" s="17">
        <v>9846.67</v>
      </c>
      <c r="F145" s="18" t="s">
        <v>21</v>
      </c>
      <c r="G145" s="17">
        <v>311605.63</v>
      </c>
      <c r="H145" s="1"/>
      <c r="I145" s="1"/>
      <c r="J145" s="1"/>
    </row>
    <row r="146" spans="1:10" x14ac:dyDescent="0.75">
      <c r="A146" s="16">
        <v>43559</v>
      </c>
      <c r="B146" s="16">
        <v>43559</v>
      </c>
      <c r="C146" s="53" t="s">
        <v>28</v>
      </c>
      <c r="D146" s="54"/>
      <c r="E146" s="18" t="s">
        <v>21</v>
      </c>
      <c r="F146" s="17">
        <v>448141.93</v>
      </c>
      <c r="G146" s="17">
        <v>759747.56</v>
      </c>
      <c r="H146" s="1"/>
      <c r="I146" s="1"/>
      <c r="J146" s="1"/>
    </row>
    <row r="147" spans="1:10" x14ac:dyDescent="0.75">
      <c r="A147" s="20"/>
      <c r="B147" s="20"/>
      <c r="C147" s="8"/>
      <c r="D147" s="9"/>
      <c r="E147" s="20"/>
      <c r="F147" s="20"/>
      <c r="G147" s="20"/>
      <c r="H147" s="1"/>
      <c r="I147" s="1"/>
      <c r="J147" s="1"/>
    </row>
    <row r="148" spans="1:10" x14ac:dyDescent="0.75">
      <c r="A148" s="34" t="s">
        <v>15</v>
      </c>
      <c r="B148" s="35"/>
      <c r="C148" s="35"/>
      <c r="D148" s="35"/>
      <c r="E148" s="35"/>
      <c r="F148" s="35"/>
      <c r="G148" s="36"/>
      <c r="H148" s="1"/>
      <c r="I148" s="1"/>
      <c r="J148" s="1"/>
    </row>
    <row r="149" spans="1:10" x14ac:dyDescent="0.75">
      <c r="A149" s="21" t="s">
        <v>32</v>
      </c>
      <c r="B149" s="22"/>
      <c r="C149" s="22"/>
      <c r="D149" s="23" t="s">
        <v>33</v>
      </c>
      <c r="E149" s="22"/>
      <c r="F149" s="22"/>
      <c r="G149" s="24"/>
      <c r="H149" s="1"/>
      <c r="I149" s="1"/>
      <c r="J149" s="1"/>
    </row>
    <row r="150" spans="1:10" x14ac:dyDescent="0.75">
      <c r="A150" s="37" t="s">
        <v>99</v>
      </c>
      <c r="B150" s="37"/>
      <c r="C150" s="37"/>
      <c r="D150" s="37"/>
      <c r="E150" s="37"/>
      <c r="F150" s="37"/>
      <c r="G150" s="37"/>
      <c r="H150" s="37"/>
      <c r="I150" s="1"/>
      <c r="J150" s="1"/>
    </row>
    <row r="151" spans="1:10" x14ac:dyDescent="0.75">
      <c r="A151" s="55" t="s">
        <v>0</v>
      </c>
      <c r="B151" s="55"/>
      <c r="C151" s="55"/>
      <c r="D151" s="55"/>
      <c r="E151" s="55"/>
      <c r="F151" s="55"/>
      <c r="G151" s="55"/>
      <c r="H151" s="55"/>
      <c r="I151" s="1"/>
      <c r="J151" s="1"/>
    </row>
    <row r="152" spans="1:10" x14ac:dyDescent="0.75">
      <c r="A152" s="55" t="s">
        <v>1</v>
      </c>
      <c r="B152" s="55"/>
      <c r="C152" s="55"/>
      <c r="D152" s="55"/>
      <c r="E152" s="55"/>
      <c r="F152" s="55"/>
      <c r="G152" s="55"/>
      <c r="H152" s="55"/>
      <c r="I152" s="1"/>
      <c r="J152" s="1"/>
    </row>
    <row r="153" spans="1:10" x14ac:dyDescent="0.75">
      <c r="A153" s="38" t="s">
        <v>35</v>
      </c>
      <c r="B153" s="39"/>
      <c r="C153" s="39"/>
      <c r="D153" s="39"/>
      <c r="E153" s="39"/>
      <c r="F153" s="39"/>
      <c r="G153" s="40"/>
      <c r="H153" s="1"/>
      <c r="I153" s="1"/>
      <c r="J153" s="1"/>
    </row>
    <row r="154" spans="1:10" ht="21.5" x14ac:dyDescent="0.75">
      <c r="A154" s="2" t="s">
        <v>3</v>
      </c>
      <c r="B154" s="3" t="s">
        <v>4</v>
      </c>
      <c r="C154" s="4"/>
      <c r="D154" s="5" t="s">
        <v>5</v>
      </c>
      <c r="E154" s="3" t="s">
        <v>6</v>
      </c>
      <c r="F154" s="3" t="s">
        <v>7</v>
      </c>
      <c r="G154" s="6" t="s">
        <v>8</v>
      </c>
      <c r="H154" s="1"/>
      <c r="I154" s="1"/>
      <c r="J154" s="1"/>
    </row>
    <row r="155" spans="1:10" x14ac:dyDescent="0.75">
      <c r="A155" s="10">
        <v>43559</v>
      </c>
      <c r="B155" s="11"/>
      <c r="C155" s="56" t="s">
        <v>19</v>
      </c>
      <c r="D155" s="57"/>
      <c r="E155" s="11"/>
      <c r="F155" s="11"/>
      <c r="G155" s="12">
        <v>759747.56</v>
      </c>
      <c r="H155" s="1"/>
      <c r="I155" s="1"/>
      <c r="J155" s="1"/>
    </row>
    <row r="156" spans="1:10" x14ac:dyDescent="0.75">
      <c r="A156" s="13">
        <v>43559</v>
      </c>
      <c r="B156" s="13">
        <v>43559</v>
      </c>
      <c r="C156" s="58" t="s">
        <v>100</v>
      </c>
      <c r="D156" s="59"/>
      <c r="E156" s="14">
        <v>10721.62</v>
      </c>
      <c r="F156" s="15" t="s">
        <v>21</v>
      </c>
      <c r="G156" s="14">
        <v>749025.94</v>
      </c>
      <c r="H156" s="1"/>
      <c r="I156" s="1"/>
      <c r="J156" s="1"/>
    </row>
    <row r="157" spans="1:10" x14ac:dyDescent="0.75">
      <c r="A157" s="16">
        <v>43559</v>
      </c>
      <c r="B157" s="16">
        <v>43559</v>
      </c>
      <c r="C157" s="53" t="s">
        <v>101</v>
      </c>
      <c r="D157" s="54"/>
      <c r="E157" s="17">
        <v>1765.4</v>
      </c>
      <c r="F157" s="18" t="s">
        <v>21</v>
      </c>
      <c r="G157" s="17">
        <v>747260.54</v>
      </c>
      <c r="H157" s="1"/>
      <c r="I157" s="1"/>
      <c r="J157" s="1"/>
    </row>
    <row r="158" spans="1:10" x14ac:dyDescent="0.75">
      <c r="A158" s="16">
        <v>43560</v>
      </c>
      <c r="B158" s="16">
        <v>43560</v>
      </c>
      <c r="C158" s="53" t="s">
        <v>28</v>
      </c>
      <c r="D158" s="54"/>
      <c r="E158" s="18" t="s">
        <v>21</v>
      </c>
      <c r="F158" s="17">
        <v>11388.02</v>
      </c>
      <c r="G158" s="17">
        <v>758648.56</v>
      </c>
      <c r="H158" s="1"/>
      <c r="I158" s="1"/>
      <c r="J158" s="1"/>
    </row>
    <row r="159" spans="1:10" x14ac:dyDescent="0.75">
      <c r="A159" s="16">
        <v>43560</v>
      </c>
      <c r="B159" s="16">
        <v>43560</v>
      </c>
      <c r="C159" s="53" t="s">
        <v>102</v>
      </c>
      <c r="D159" s="54"/>
      <c r="E159" s="19">
        <v>1</v>
      </c>
      <c r="F159" s="18" t="s">
        <v>21</v>
      </c>
      <c r="G159" s="17">
        <v>758647.56</v>
      </c>
      <c r="H159" s="1"/>
      <c r="I159" s="1"/>
      <c r="J159" s="1"/>
    </row>
    <row r="160" spans="1:10" x14ac:dyDescent="0.75">
      <c r="A160" s="16">
        <v>43560</v>
      </c>
      <c r="B160" s="16">
        <v>43560</v>
      </c>
      <c r="C160" s="53" t="s">
        <v>103</v>
      </c>
      <c r="D160" s="54"/>
      <c r="E160" s="17">
        <v>2350</v>
      </c>
      <c r="F160" s="18" t="s">
        <v>21</v>
      </c>
      <c r="G160" s="17">
        <v>756297.56</v>
      </c>
      <c r="H160" s="1"/>
      <c r="I160" s="1"/>
      <c r="J160" s="1"/>
    </row>
    <row r="161" spans="1:10" x14ac:dyDescent="0.75">
      <c r="A161" s="16">
        <v>43560</v>
      </c>
      <c r="B161" s="16">
        <v>43560</v>
      </c>
      <c r="C161" s="53" t="s">
        <v>104</v>
      </c>
      <c r="D161" s="54"/>
      <c r="E161" s="17">
        <v>16972.71</v>
      </c>
      <c r="F161" s="18" t="s">
        <v>21</v>
      </c>
      <c r="G161" s="17">
        <v>739324.85</v>
      </c>
      <c r="H161" s="1"/>
      <c r="I161" s="1"/>
      <c r="J161" s="1"/>
    </row>
    <row r="162" spans="1:10" x14ac:dyDescent="0.75">
      <c r="A162" s="16">
        <v>43563</v>
      </c>
      <c r="B162" s="16">
        <v>43563</v>
      </c>
      <c r="C162" s="53" t="s">
        <v>28</v>
      </c>
      <c r="D162" s="54"/>
      <c r="E162" s="18" t="s">
        <v>21</v>
      </c>
      <c r="F162" s="17">
        <v>125315.44</v>
      </c>
      <c r="G162" s="17">
        <v>864640.29</v>
      </c>
      <c r="H162" s="1"/>
      <c r="I162" s="1"/>
      <c r="J162" s="1"/>
    </row>
    <row r="163" spans="1:10" x14ac:dyDescent="0.75">
      <c r="A163" s="16">
        <v>43563</v>
      </c>
      <c r="B163" s="16">
        <v>43563</v>
      </c>
      <c r="C163" s="53" t="s">
        <v>105</v>
      </c>
      <c r="D163" s="54"/>
      <c r="E163" s="17">
        <v>2334.23</v>
      </c>
      <c r="F163" s="18" t="s">
        <v>21</v>
      </c>
      <c r="G163" s="17">
        <v>862306.06</v>
      </c>
      <c r="H163" s="1"/>
      <c r="I163" s="1"/>
      <c r="J163" s="1"/>
    </row>
    <row r="164" spans="1:10" x14ac:dyDescent="0.75">
      <c r="A164" s="16">
        <v>43564</v>
      </c>
      <c r="B164" s="16">
        <v>43564</v>
      </c>
      <c r="C164" s="53" t="s">
        <v>28</v>
      </c>
      <c r="D164" s="54"/>
      <c r="E164" s="18" t="s">
        <v>21</v>
      </c>
      <c r="F164" s="17">
        <v>18453.77</v>
      </c>
      <c r="G164" s="17">
        <v>880759.83</v>
      </c>
      <c r="H164" s="1"/>
      <c r="I164" s="1"/>
      <c r="J164" s="1"/>
    </row>
    <row r="165" spans="1:10" x14ac:dyDescent="0.75">
      <c r="A165" s="16">
        <v>43565</v>
      </c>
      <c r="B165" s="16">
        <v>43565</v>
      </c>
      <c r="C165" s="53" t="s">
        <v>28</v>
      </c>
      <c r="D165" s="54"/>
      <c r="E165" s="18" t="s">
        <v>21</v>
      </c>
      <c r="F165" s="17">
        <v>28199.35</v>
      </c>
      <c r="G165" s="17">
        <v>908959.18</v>
      </c>
      <c r="H165" s="1"/>
      <c r="I165" s="1"/>
      <c r="J165" s="1"/>
    </row>
    <row r="166" spans="1:10" x14ac:dyDescent="0.75">
      <c r="A166" s="16">
        <v>43565</v>
      </c>
      <c r="B166" s="16">
        <v>43565</v>
      </c>
      <c r="C166" s="53" t="s">
        <v>106</v>
      </c>
      <c r="D166" s="54"/>
      <c r="E166" s="17">
        <v>13766.28</v>
      </c>
      <c r="F166" s="18" t="s">
        <v>21</v>
      </c>
      <c r="G166" s="17">
        <v>895192.9</v>
      </c>
      <c r="H166" s="1"/>
      <c r="I166" s="1"/>
      <c r="J166" s="1"/>
    </row>
    <row r="167" spans="1:10" x14ac:dyDescent="0.75">
      <c r="A167" s="16">
        <v>43566</v>
      </c>
      <c r="B167" s="16">
        <v>43566</v>
      </c>
      <c r="C167" s="53" t="s">
        <v>28</v>
      </c>
      <c r="D167" s="54"/>
      <c r="E167" s="18" t="s">
        <v>21</v>
      </c>
      <c r="F167" s="17">
        <v>62272.49</v>
      </c>
      <c r="G167" s="17">
        <v>957465.39</v>
      </c>
      <c r="H167" s="1"/>
      <c r="I167" s="1"/>
      <c r="J167" s="1"/>
    </row>
    <row r="168" spans="1:10" x14ac:dyDescent="0.75">
      <c r="A168" s="20"/>
      <c r="B168" s="20"/>
      <c r="C168" s="8"/>
      <c r="D168" s="9"/>
      <c r="E168" s="20"/>
      <c r="F168" s="20"/>
      <c r="G168" s="20"/>
      <c r="H168" s="1"/>
      <c r="I168" s="1"/>
      <c r="J168" s="1"/>
    </row>
    <row r="169" spans="1:10" x14ac:dyDescent="0.75">
      <c r="A169" s="34" t="s">
        <v>15</v>
      </c>
      <c r="B169" s="35"/>
      <c r="C169" s="35"/>
      <c r="D169" s="35"/>
      <c r="E169" s="35"/>
      <c r="F169" s="35"/>
      <c r="G169" s="36"/>
      <c r="H169" s="1"/>
      <c r="I169" s="1"/>
      <c r="J169" s="1"/>
    </row>
    <row r="170" spans="1:10" x14ac:dyDescent="0.75">
      <c r="A170" s="21" t="s">
        <v>32</v>
      </c>
      <c r="B170" s="22"/>
      <c r="C170" s="22"/>
      <c r="D170" s="23" t="s">
        <v>33</v>
      </c>
      <c r="E170" s="22"/>
      <c r="F170" s="22"/>
      <c r="G170" s="24"/>
      <c r="H170" s="1"/>
      <c r="I170" s="1"/>
      <c r="J170" s="1"/>
    </row>
    <row r="171" spans="1:10" x14ac:dyDescent="0.75">
      <c r="A171" s="37" t="s">
        <v>107</v>
      </c>
      <c r="B171" s="37"/>
      <c r="C171" s="37"/>
      <c r="D171" s="37"/>
      <c r="E171" s="37"/>
      <c r="F171" s="37"/>
      <c r="G171" s="37"/>
      <c r="H171" s="37"/>
      <c r="I171" s="1"/>
      <c r="J171" s="1"/>
    </row>
    <row r="172" spans="1:10" x14ac:dyDescent="0.75">
      <c r="A172" s="55" t="s">
        <v>0</v>
      </c>
      <c r="B172" s="55"/>
      <c r="C172" s="55"/>
      <c r="D172" s="55"/>
      <c r="E172" s="55"/>
      <c r="F172" s="55"/>
      <c r="G172" s="55"/>
      <c r="H172" s="55"/>
      <c r="I172" s="1"/>
      <c r="J172" s="1"/>
    </row>
    <row r="173" spans="1:10" x14ac:dyDescent="0.75">
      <c r="A173" s="55" t="s">
        <v>1</v>
      </c>
      <c r="B173" s="55"/>
      <c r="C173" s="55"/>
      <c r="D173" s="55"/>
      <c r="E173" s="55"/>
      <c r="F173" s="55"/>
      <c r="G173" s="55"/>
      <c r="H173" s="55"/>
      <c r="I173" s="1"/>
      <c r="J173" s="1"/>
    </row>
    <row r="174" spans="1:10" x14ac:dyDescent="0.75">
      <c r="A174" s="38" t="s">
        <v>35</v>
      </c>
      <c r="B174" s="39"/>
      <c r="C174" s="39"/>
      <c r="D174" s="39"/>
      <c r="E174" s="39"/>
      <c r="F174" s="39"/>
      <c r="G174" s="40"/>
      <c r="H174" s="1"/>
      <c r="I174" s="1"/>
      <c r="J174" s="1"/>
    </row>
    <row r="175" spans="1:10" ht="21.5" x14ac:dyDescent="0.75">
      <c r="A175" s="2" t="s">
        <v>3</v>
      </c>
      <c r="B175" s="3" t="s">
        <v>4</v>
      </c>
      <c r="C175" s="4"/>
      <c r="D175" s="5" t="s">
        <v>5</v>
      </c>
      <c r="E175" s="3" t="s">
        <v>6</v>
      </c>
      <c r="F175" s="3" t="s">
        <v>7</v>
      </c>
      <c r="G175" s="6" t="s">
        <v>8</v>
      </c>
      <c r="H175" s="1"/>
      <c r="I175" s="1"/>
      <c r="J175" s="1"/>
    </row>
    <row r="176" spans="1:10" x14ac:dyDescent="0.75">
      <c r="A176" s="10">
        <v>43566</v>
      </c>
      <c r="B176" s="11"/>
      <c r="C176" s="56" t="s">
        <v>19</v>
      </c>
      <c r="D176" s="57"/>
      <c r="E176" s="11"/>
      <c r="F176" s="11"/>
      <c r="G176" s="12">
        <v>957465.39</v>
      </c>
      <c r="H176" s="1"/>
      <c r="I176" s="1"/>
      <c r="J176" s="1"/>
    </row>
    <row r="177" spans="1:10" x14ac:dyDescent="0.75">
      <c r="A177" s="13">
        <v>43566</v>
      </c>
      <c r="B177" s="13">
        <v>43566</v>
      </c>
      <c r="C177" s="58" t="s">
        <v>108</v>
      </c>
      <c r="D177" s="59"/>
      <c r="E177" s="14">
        <v>17895.78</v>
      </c>
      <c r="F177" s="15" t="s">
        <v>21</v>
      </c>
      <c r="G177" s="14">
        <v>939569.61</v>
      </c>
      <c r="H177" s="1"/>
      <c r="I177" s="1"/>
      <c r="J177" s="1"/>
    </row>
    <row r="178" spans="1:10" x14ac:dyDescent="0.75">
      <c r="A178" s="16">
        <v>43567</v>
      </c>
      <c r="B178" s="16">
        <v>43567</v>
      </c>
      <c r="C178" s="53" t="s">
        <v>28</v>
      </c>
      <c r="D178" s="54"/>
      <c r="E178" s="18" t="s">
        <v>21</v>
      </c>
      <c r="F178" s="17">
        <v>8571</v>
      </c>
      <c r="G178" s="17">
        <v>948140.61</v>
      </c>
      <c r="H178" s="1"/>
      <c r="I178" s="1"/>
      <c r="J178" s="1"/>
    </row>
    <row r="179" spans="1:10" x14ac:dyDescent="0.75">
      <c r="A179" s="16">
        <v>43570</v>
      </c>
      <c r="B179" s="16">
        <v>43570</v>
      </c>
      <c r="C179" s="53" t="s">
        <v>28</v>
      </c>
      <c r="D179" s="54"/>
      <c r="E179" s="18" t="s">
        <v>21</v>
      </c>
      <c r="F179" s="17">
        <v>98203.11</v>
      </c>
      <c r="G179" s="17">
        <v>1046343.72</v>
      </c>
      <c r="H179" s="1"/>
      <c r="I179" s="1"/>
      <c r="J179" s="1"/>
    </row>
    <row r="180" spans="1:10" x14ac:dyDescent="0.75">
      <c r="A180" s="16">
        <v>43570</v>
      </c>
      <c r="B180" s="16">
        <v>43570</v>
      </c>
      <c r="C180" s="53" t="s">
        <v>109</v>
      </c>
      <c r="D180" s="54"/>
      <c r="E180" s="17">
        <v>1455.83</v>
      </c>
      <c r="F180" s="18" t="s">
        <v>21</v>
      </c>
      <c r="G180" s="17">
        <v>1044887.89</v>
      </c>
      <c r="H180" s="1"/>
      <c r="I180" s="1"/>
      <c r="J180" s="1"/>
    </row>
    <row r="181" spans="1:10" x14ac:dyDescent="0.75">
      <c r="A181" s="16">
        <v>43570</v>
      </c>
      <c r="B181" s="16">
        <v>43570</v>
      </c>
      <c r="C181" s="53" t="s">
        <v>110</v>
      </c>
      <c r="D181" s="54"/>
      <c r="E181" s="17">
        <v>1974</v>
      </c>
      <c r="F181" s="18" t="s">
        <v>21</v>
      </c>
      <c r="G181" s="17">
        <v>1042913.89</v>
      </c>
      <c r="H181" s="1"/>
      <c r="I181" s="1"/>
      <c r="J181" s="1"/>
    </row>
    <row r="182" spans="1:10" x14ac:dyDescent="0.75">
      <c r="A182" s="16">
        <v>43570</v>
      </c>
      <c r="B182" s="16">
        <v>43570</v>
      </c>
      <c r="C182" s="53" t="s">
        <v>111</v>
      </c>
      <c r="D182" s="54"/>
      <c r="E182" s="17">
        <v>3880</v>
      </c>
      <c r="F182" s="18" t="s">
        <v>21</v>
      </c>
      <c r="G182" s="17">
        <v>1039033.89</v>
      </c>
      <c r="H182" s="1"/>
      <c r="I182" s="1"/>
      <c r="J182" s="1"/>
    </row>
    <row r="183" spans="1:10" x14ac:dyDescent="0.75">
      <c r="A183" s="16">
        <v>43570</v>
      </c>
      <c r="B183" s="16">
        <v>43570</v>
      </c>
      <c r="C183" s="53" t="s">
        <v>112</v>
      </c>
      <c r="D183" s="54"/>
      <c r="E183" s="17">
        <v>3675.91</v>
      </c>
      <c r="F183" s="18" t="s">
        <v>21</v>
      </c>
      <c r="G183" s="17">
        <v>1035357.98</v>
      </c>
      <c r="H183" s="1"/>
      <c r="I183" s="1"/>
      <c r="J183" s="1"/>
    </row>
    <row r="184" spans="1:10" x14ac:dyDescent="0.75">
      <c r="A184" s="16">
        <v>43571</v>
      </c>
      <c r="B184" s="16">
        <v>43571</v>
      </c>
      <c r="C184" s="53" t="s">
        <v>28</v>
      </c>
      <c r="D184" s="54"/>
      <c r="E184" s="18" t="s">
        <v>21</v>
      </c>
      <c r="F184" s="17">
        <v>21540.6</v>
      </c>
      <c r="G184" s="17">
        <v>1056898.58</v>
      </c>
      <c r="H184" s="1"/>
      <c r="I184" s="1"/>
      <c r="J184" s="1"/>
    </row>
    <row r="185" spans="1:10" x14ac:dyDescent="0.75">
      <c r="A185" s="16">
        <v>43571</v>
      </c>
      <c r="B185" s="16">
        <v>43571</v>
      </c>
      <c r="C185" s="53" t="s">
        <v>113</v>
      </c>
      <c r="D185" s="54"/>
      <c r="E185" s="17">
        <v>3733.2</v>
      </c>
      <c r="F185" s="18" t="s">
        <v>21</v>
      </c>
      <c r="G185" s="17">
        <v>1053165.3799999999</v>
      </c>
      <c r="H185" s="1"/>
      <c r="I185" s="1"/>
      <c r="J185" s="1"/>
    </row>
    <row r="186" spans="1:10" x14ac:dyDescent="0.75">
      <c r="A186" s="16">
        <v>43571</v>
      </c>
      <c r="B186" s="16">
        <v>43571</v>
      </c>
      <c r="C186" s="53" t="s">
        <v>114</v>
      </c>
      <c r="D186" s="54"/>
      <c r="E186" s="17">
        <v>9398.0499999999993</v>
      </c>
      <c r="F186" s="18" t="s">
        <v>21</v>
      </c>
      <c r="G186" s="17">
        <v>1043767.33</v>
      </c>
      <c r="H186" s="1"/>
      <c r="I186" s="1"/>
      <c r="J186" s="1"/>
    </row>
    <row r="187" spans="1:10" x14ac:dyDescent="0.75">
      <c r="A187" s="16">
        <v>43572</v>
      </c>
      <c r="B187" s="16">
        <v>43572</v>
      </c>
      <c r="C187" s="53" t="s">
        <v>115</v>
      </c>
      <c r="D187" s="54"/>
      <c r="E187" s="18" t="s">
        <v>21</v>
      </c>
      <c r="F187" s="19">
        <v>538.35</v>
      </c>
      <c r="G187" s="17">
        <v>1044305.68</v>
      </c>
      <c r="H187" s="1"/>
      <c r="I187" s="1"/>
      <c r="J187" s="1"/>
    </row>
    <row r="188" spans="1:10" x14ac:dyDescent="0.75">
      <c r="A188" s="26"/>
      <c r="B188" s="26"/>
      <c r="C188" s="75">
        <v>10</v>
      </c>
      <c r="D188" s="76"/>
      <c r="E188" s="26"/>
      <c r="F188" s="26"/>
      <c r="G188" s="26"/>
      <c r="H188" s="1"/>
      <c r="I188" s="1"/>
      <c r="J188" s="1"/>
    </row>
    <row r="189" spans="1:10" x14ac:dyDescent="0.75">
      <c r="A189" s="16">
        <v>43572</v>
      </c>
      <c r="B189" s="16">
        <v>43572</v>
      </c>
      <c r="C189" s="53" t="s">
        <v>116</v>
      </c>
      <c r="D189" s="54"/>
      <c r="E189" s="18" t="s">
        <v>21</v>
      </c>
      <c r="F189" s="17">
        <v>11314.6</v>
      </c>
      <c r="G189" s="17">
        <v>1055620.28</v>
      </c>
      <c r="H189" s="1"/>
      <c r="I189" s="1"/>
      <c r="J189" s="1"/>
    </row>
    <row r="190" spans="1:10" x14ac:dyDescent="0.75">
      <c r="A190" s="26"/>
      <c r="B190" s="26"/>
      <c r="C190" s="58" t="s">
        <v>117</v>
      </c>
      <c r="D190" s="59"/>
      <c r="E190" s="26"/>
      <c r="F190" s="26"/>
      <c r="G190" s="26"/>
      <c r="H190" s="1"/>
      <c r="I190" s="1"/>
      <c r="J190" s="1"/>
    </row>
    <row r="191" spans="1:10" x14ac:dyDescent="0.75">
      <c r="A191" s="20"/>
      <c r="B191" s="20"/>
      <c r="C191" s="8"/>
      <c r="D191" s="9"/>
      <c r="E191" s="20"/>
      <c r="F191" s="20"/>
      <c r="G191" s="20"/>
      <c r="H191" s="1"/>
      <c r="I191" s="1"/>
      <c r="J191" s="1"/>
    </row>
    <row r="192" spans="1:10" x14ac:dyDescent="0.75">
      <c r="A192" s="34" t="s">
        <v>15</v>
      </c>
      <c r="B192" s="35"/>
      <c r="C192" s="35"/>
      <c r="D192" s="35"/>
      <c r="E192" s="35"/>
      <c r="F192" s="35"/>
      <c r="G192" s="36"/>
      <c r="H192" s="1"/>
      <c r="I192" s="1"/>
      <c r="J192" s="1"/>
    </row>
    <row r="193" spans="1:10" x14ac:dyDescent="0.75">
      <c r="A193" s="21" t="s">
        <v>32</v>
      </c>
      <c r="B193" s="22"/>
      <c r="C193" s="22"/>
      <c r="D193" s="23" t="s">
        <v>33</v>
      </c>
      <c r="E193" s="22"/>
      <c r="F193" s="22"/>
      <c r="G193" s="24"/>
      <c r="H193" s="1"/>
      <c r="I193" s="1"/>
      <c r="J193" s="1"/>
    </row>
    <row r="194" spans="1:10" x14ac:dyDescent="0.75">
      <c r="A194" s="37" t="s">
        <v>118</v>
      </c>
      <c r="B194" s="37"/>
      <c r="C194" s="37"/>
      <c r="D194" s="37"/>
      <c r="E194" s="37"/>
      <c r="F194" s="37"/>
      <c r="G194" s="37"/>
      <c r="H194" s="37"/>
      <c r="I194" s="1"/>
      <c r="J194" s="1"/>
    </row>
    <row r="195" spans="1:10" x14ac:dyDescent="0.75">
      <c r="A195" s="55" t="s">
        <v>0</v>
      </c>
      <c r="B195" s="55"/>
      <c r="C195" s="55"/>
      <c r="D195" s="55"/>
      <c r="E195" s="55"/>
      <c r="F195" s="55"/>
      <c r="G195" s="55"/>
      <c r="H195" s="55"/>
      <c r="I195" s="1"/>
      <c r="J195" s="1"/>
    </row>
    <row r="196" spans="1:10" x14ac:dyDescent="0.75">
      <c r="A196" s="55" t="s">
        <v>1</v>
      </c>
      <c r="B196" s="55"/>
      <c r="C196" s="55"/>
      <c r="D196" s="55"/>
      <c r="E196" s="55"/>
      <c r="F196" s="55"/>
      <c r="G196" s="55"/>
      <c r="H196" s="55"/>
      <c r="I196" s="1"/>
      <c r="J196" s="1"/>
    </row>
    <row r="197" spans="1:10" x14ac:dyDescent="0.75">
      <c r="A197" s="38" t="s">
        <v>35</v>
      </c>
      <c r="B197" s="39"/>
      <c r="C197" s="39"/>
      <c r="D197" s="39"/>
      <c r="E197" s="39"/>
      <c r="F197" s="39"/>
      <c r="G197" s="40"/>
      <c r="H197" s="1"/>
      <c r="I197" s="1"/>
      <c r="J197" s="1"/>
    </row>
    <row r="198" spans="1:10" ht="21.5" x14ac:dyDescent="0.75">
      <c r="A198" s="2" t="s">
        <v>3</v>
      </c>
      <c r="B198" s="3" t="s">
        <v>4</v>
      </c>
      <c r="C198" s="4"/>
      <c r="D198" s="5" t="s">
        <v>5</v>
      </c>
      <c r="E198" s="3" t="s">
        <v>6</v>
      </c>
      <c r="F198" s="3" t="s">
        <v>7</v>
      </c>
      <c r="G198" s="6" t="s">
        <v>8</v>
      </c>
      <c r="H198" s="1"/>
      <c r="I198" s="1"/>
      <c r="J198" s="1"/>
    </row>
    <row r="199" spans="1:10" x14ac:dyDescent="0.75">
      <c r="A199" s="10">
        <v>43572</v>
      </c>
      <c r="B199" s="11"/>
      <c r="C199" s="56" t="s">
        <v>19</v>
      </c>
      <c r="D199" s="57"/>
      <c r="E199" s="11"/>
      <c r="F199" s="11"/>
      <c r="G199" s="12">
        <v>1055620.28</v>
      </c>
      <c r="H199" s="1"/>
      <c r="I199" s="1"/>
      <c r="J199" s="1"/>
    </row>
    <row r="200" spans="1:10" x14ac:dyDescent="0.75">
      <c r="A200" s="13">
        <v>43572</v>
      </c>
      <c r="B200" s="13">
        <v>43572</v>
      </c>
      <c r="C200" s="58" t="s">
        <v>119</v>
      </c>
      <c r="D200" s="59"/>
      <c r="E200" s="15" t="s">
        <v>21</v>
      </c>
      <c r="F200" s="14">
        <v>12908.76</v>
      </c>
      <c r="G200" s="14">
        <v>1068529.04</v>
      </c>
      <c r="H200" s="1"/>
      <c r="I200" s="1"/>
      <c r="J200" s="1"/>
    </row>
    <row r="201" spans="1:10" x14ac:dyDescent="0.75">
      <c r="A201" s="26"/>
      <c r="B201" s="26"/>
      <c r="C201" s="58" t="s">
        <v>117</v>
      </c>
      <c r="D201" s="59"/>
      <c r="E201" s="26"/>
      <c r="F201" s="26"/>
      <c r="G201" s="26"/>
      <c r="H201" s="1"/>
      <c r="I201" s="1"/>
      <c r="J201" s="1"/>
    </row>
    <row r="202" spans="1:10" x14ac:dyDescent="0.75">
      <c r="A202" s="13">
        <v>43572</v>
      </c>
      <c r="B202" s="13">
        <v>43572</v>
      </c>
      <c r="C202" s="58" t="s">
        <v>28</v>
      </c>
      <c r="D202" s="59"/>
      <c r="E202" s="15" t="s">
        <v>21</v>
      </c>
      <c r="F202" s="14">
        <v>26472.54</v>
      </c>
      <c r="G202" s="14">
        <v>1095001.58</v>
      </c>
      <c r="H202" s="1"/>
      <c r="I202" s="1"/>
      <c r="J202" s="1"/>
    </row>
    <row r="203" spans="1:10" x14ac:dyDescent="0.75">
      <c r="A203" s="16">
        <v>43572</v>
      </c>
      <c r="B203" s="16">
        <v>43572</v>
      </c>
      <c r="C203" s="53" t="s">
        <v>120</v>
      </c>
      <c r="D203" s="54"/>
      <c r="E203" s="19">
        <v>538.35</v>
      </c>
      <c r="F203" s="18" t="s">
        <v>21</v>
      </c>
      <c r="G203" s="17">
        <v>1094463.23</v>
      </c>
      <c r="H203" s="1"/>
      <c r="I203" s="1"/>
      <c r="J203" s="1"/>
    </row>
    <row r="204" spans="1:10" x14ac:dyDescent="0.75">
      <c r="A204" s="16">
        <v>43572</v>
      </c>
      <c r="B204" s="16">
        <v>43572</v>
      </c>
      <c r="C204" s="53" t="s">
        <v>121</v>
      </c>
      <c r="D204" s="54"/>
      <c r="E204" s="17">
        <v>11314.6</v>
      </c>
      <c r="F204" s="18" t="s">
        <v>21</v>
      </c>
      <c r="G204" s="17">
        <v>1083148.6299999999</v>
      </c>
      <c r="H204" s="1"/>
      <c r="I204" s="1"/>
      <c r="J204" s="1"/>
    </row>
    <row r="205" spans="1:10" x14ac:dyDescent="0.75">
      <c r="A205" s="16">
        <v>43572</v>
      </c>
      <c r="B205" s="16">
        <v>43572</v>
      </c>
      <c r="C205" s="53" t="s">
        <v>122</v>
      </c>
      <c r="D205" s="54"/>
      <c r="E205" s="17">
        <v>12908.76</v>
      </c>
      <c r="F205" s="18" t="s">
        <v>21</v>
      </c>
      <c r="G205" s="17">
        <v>1070239.8700000001</v>
      </c>
      <c r="H205" s="1"/>
      <c r="I205" s="1"/>
      <c r="J205" s="1"/>
    </row>
    <row r="206" spans="1:10" x14ac:dyDescent="0.75">
      <c r="A206" s="16">
        <v>43573</v>
      </c>
      <c r="B206" s="16">
        <v>43573</v>
      </c>
      <c r="C206" s="53" t="s">
        <v>28</v>
      </c>
      <c r="D206" s="54"/>
      <c r="E206" s="18" t="s">
        <v>21</v>
      </c>
      <c r="F206" s="17">
        <v>12135.25</v>
      </c>
      <c r="G206" s="17">
        <v>1082375.1200000001</v>
      </c>
      <c r="H206" s="1"/>
      <c r="I206" s="1"/>
      <c r="J206" s="1"/>
    </row>
    <row r="207" spans="1:10" x14ac:dyDescent="0.75">
      <c r="A207" s="16">
        <v>43573</v>
      </c>
      <c r="B207" s="16">
        <v>43573</v>
      </c>
      <c r="C207" s="53" t="s">
        <v>123</v>
      </c>
      <c r="D207" s="54"/>
      <c r="E207" s="17">
        <v>163720.91</v>
      </c>
      <c r="F207" s="18" t="s">
        <v>21</v>
      </c>
      <c r="G207" s="17">
        <v>918654.21</v>
      </c>
      <c r="H207" s="1"/>
      <c r="I207" s="1"/>
      <c r="J207" s="1"/>
    </row>
    <row r="208" spans="1:10" x14ac:dyDescent="0.75">
      <c r="A208" s="16">
        <v>43578</v>
      </c>
      <c r="B208" s="16">
        <v>43578</v>
      </c>
      <c r="C208" s="53" t="s">
        <v>28</v>
      </c>
      <c r="D208" s="54"/>
      <c r="E208" s="18" t="s">
        <v>21</v>
      </c>
      <c r="F208" s="17">
        <v>1521.62</v>
      </c>
      <c r="G208" s="17">
        <v>920175.83</v>
      </c>
      <c r="H208" s="1"/>
      <c r="I208" s="1"/>
      <c r="J208" s="1"/>
    </row>
    <row r="209" spans="1:10" x14ac:dyDescent="0.75">
      <c r="A209" s="16">
        <v>43578</v>
      </c>
      <c r="B209" s="16">
        <v>43578</v>
      </c>
      <c r="C209" s="53" t="s">
        <v>124</v>
      </c>
      <c r="D209" s="54"/>
      <c r="E209" s="19">
        <v>363.75</v>
      </c>
      <c r="F209" s="18" t="s">
        <v>21</v>
      </c>
      <c r="G209" s="17">
        <v>919812.08</v>
      </c>
      <c r="H209" s="1"/>
      <c r="I209" s="1"/>
      <c r="J209" s="1"/>
    </row>
    <row r="210" spans="1:10" x14ac:dyDescent="0.75">
      <c r="A210" s="16">
        <v>43578</v>
      </c>
      <c r="B210" s="16">
        <v>43578</v>
      </c>
      <c r="C210" s="53" t="s">
        <v>125</v>
      </c>
      <c r="D210" s="54"/>
      <c r="E210" s="19">
        <v>388</v>
      </c>
      <c r="F210" s="18" t="s">
        <v>21</v>
      </c>
      <c r="G210" s="17">
        <v>919424.08</v>
      </c>
      <c r="H210" s="1"/>
      <c r="I210" s="1"/>
      <c r="J210" s="1"/>
    </row>
    <row r="211" spans="1:10" x14ac:dyDescent="0.75">
      <c r="A211" s="16">
        <v>43578</v>
      </c>
      <c r="B211" s="16">
        <v>43578</v>
      </c>
      <c r="C211" s="53" t="s">
        <v>126</v>
      </c>
      <c r="D211" s="54"/>
      <c r="E211" s="17">
        <v>3411</v>
      </c>
      <c r="F211" s="18" t="s">
        <v>21</v>
      </c>
      <c r="G211" s="17">
        <v>916013.08</v>
      </c>
      <c r="H211" s="1"/>
      <c r="I211" s="1"/>
      <c r="J211" s="1"/>
    </row>
    <row r="212" spans="1:10" x14ac:dyDescent="0.75">
      <c r="A212" s="16">
        <v>43578</v>
      </c>
      <c r="B212" s="16">
        <v>43578</v>
      </c>
      <c r="C212" s="53" t="s">
        <v>127</v>
      </c>
      <c r="D212" s="54"/>
      <c r="E212" s="17">
        <v>8455.82</v>
      </c>
      <c r="F212" s="18" t="s">
        <v>21</v>
      </c>
      <c r="G212" s="17">
        <v>907557.26</v>
      </c>
      <c r="H212" s="1"/>
      <c r="I212" s="1"/>
      <c r="J212" s="1"/>
    </row>
    <row r="213" spans="1:10" x14ac:dyDescent="0.75">
      <c r="A213" s="20"/>
      <c r="B213" s="20"/>
      <c r="C213" s="8"/>
      <c r="D213" s="9"/>
      <c r="E213" s="20"/>
      <c r="F213" s="20"/>
      <c r="G213" s="20"/>
      <c r="H213" s="1"/>
      <c r="I213" s="1"/>
      <c r="J213" s="1"/>
    </row>
    <row r="214" spans="1:10" x14ac:dyDescent="0.75">
      <c r="A214" s="34" t="s">
        <v>15</v>
      </c>
      <c r="B214" s="35"/>
      <c r="C214" s="35"/>
      <c r="D214" s="35"/>
      <c r="E214" s="35"/>
      <c r="F214" s="35"/>
      <c r="G214" s="36"/>
      <c r="H214" s="1"/>
      <c r="I214" s="1"/>
      <c r="J214" s="1"/>
    </row>
    <row r="215" spans="1:10" x14ac:dyDescent="0.75">
      <c r="A215" s="21" t="s">
        <v>32</v>
      </c>
      <c r="B215" s="22"/>
      <c r="C215" s="22"/>
      <c r="D215" s="23" t="s">
        <v>33</v>
      </c>
      <c r="E215" s="22"/>
      <c r="F215" s="22"/>
      <c r="G215" s="24"/>
      <c r="H215" s="1"/>
      <c r="I215" s="1"/>
      <c r="J215" s="1"/>
    </row>
    <row r="216" spans="1:10" x14ac:dyDescent="0.75">
      <c r="A216" s="37" t="s">
        <v>128</v>
      </c>
      <c r="B216" s="37"/>
      <c r="C216" s="37"/>
      <c r="D216" s="37"/>
      <c r="E216" s="37"/>
      <c r="F216" s="37"/>
      <c r="G216" s="37"/>
      <c r="H216" s="37"/>
      <c r="I216" s="1"/>
      <c r="J216" s="1"/>
    </row>
    <row r="217" spans="1:10" x14ac:dyDescent="0.75">
      <c r="A217" s="55" t="s">
        <v>0</v>
      </c>
      <c r="B217" s="55"/>
      <c r="C217" s="55"/>
      <c r="D217" s="55"/>
      <c r="E217" s="55"/>
      <c r="F217" s="55"/>
      <c r="G217" s="55"/>
      <c r="H217" s="55"/>
      <c r="I217" s="1"/>
      <c r="J217" s="1"/>
    </row>
    <row r="218" spans="1:10" x14ac:dyDescent="0.75">
      <c r="A218" s="55" t="s">
        <v>1</v>
      </c>
      <c r="B218" s="55"/>
      <c r="C218" s="55"/>
      <c r="D218" s="55"/>
      <c r="E218" s="55"/>
      <c r="F218" s="55"/>
      <c r="G218" s="55"/>
      <c r="H218" s="55"/>
      <c r="I218" s="1"/>
      <c r="J218" s="1"/>
    </row>
    <row r="219" spans="1:10" x14ac:dyDescent="0.75">
      <c r="A219" s="38" t="s">
        <v>35</v>
      </c>
      <c r="B219" s="39"/>
      <c r="C219" s="39"/>
      <c r="D219" s="39"/>
      <c r="E219" s="39"/>
      <c r="F219" s="39"/>
      <c r="G219" s="40"/>
      <c r="H219" s="1"/>
      <c r="I219" s="1"/>
      <c r="J219" s="1"/>
    </row>
    <row r="220" spans="1:10" ht="21.5" x14ac:dyDescent="0.75">
      <c r="A220" s="2" t="s">
        <v>3</v>
      </c>
      <c r="B220" s="3" t="s">
        <v>4</v>
      </c>
      <c r="C220" s="4"/>
      <c r="D220" s="5" t="s">
        <v>5</v>
      </c>
      <c r="E220" s="3" t="s">
        <v>6</v>
      </c>
      <c r="F220" s="3" t="s">
        <v>7</v>
      </c>
      <c r="G220" s="6" t="s">
        <v>8</v>
      </c>
      <c r="H220" s="1"/>
      <c r="I220" s="1"/>
      <c r="J220" s="1"/>
    </row>
    <row r="221" spans="1:10" x14ac:dyDescent="0.75">
      <c r="A221" s="10">
        <v>43578</v>
      </c>
      <c r="B221" s="11"/>
      <c r="C221" s="56" t="s">
        <v>19</v>
      </c>
      <c r="D221" s="57"/>
      <c r="E221" s="11"/>
      <c r="F221" s="11"/>
      <c r="G221" s="12">
        <v>907557.26</v>
      </c>
      <c r="H221" s="1"/>
      <c r="I221" s="1"/>
      <c r="J221" s="1"/>
    </row>
    <row r="222" spans="1:10" x14ac:dyDescent="0.75">
      <c r="A222" s="13">
        <v>43579</v>
      </c>
      <c r="B222" s="13">
        <v>43579</v>
      </c>
      <c r="C222" s="58" t="s">
        <v>129</v>
      </c>
      <c r="D222" s="59"/>
      <c r="E222" s="15" t="s">
        <v>21</v>
      </c>
      <c r="F222" s="14">
        <v>1222.2</v>
      </c>
      <c r="G222" s="14">
        <v>908779.46</v>
      </c>
      <c r="H222" s="1"/>
      <c r="I222" s="1"/>
      <c r="J222" s="1"/>
    </row>
    <row r="223" spans="1:10" x14ac:dyDescent="0.75">
      <c r="A223" s="26"/>
      <c r="B223" s="26"/>
      <c r="C223" s="58" t="s">
        <v>130</v>
      </c>
      <c r="D223" s="59"/>
      <c r="E223" s="26"/>
      <c r="F223" s="26"/>
      <c r="G223" s="26"/>
      <c r="H223" s="1"/>
      <c r="I223" s="1"/>
      <c r="J223" s="1"/>
    </row>
    <row r="224" spans="1:10" x14ac:dyDescent="0.75">
      <c r="A224" s="16">
        <v>43579</v>
      </c>
      <c r="B224" s="16">
        <v>43579</v>
      </c>
      <c r="C224" s="53" t="s">
        <v>131</v>
      </c>
      <c r="D224" s="54"/>
      <c r="E224" s="18" t="s">
        <v>21</v>
      </c>
      <c r="F224" s="17">
        <v>3200</v>
      </c>
      <c r="G224" s="17">
        <v>911979.46</v>
      </c>
      <c r="H224" s="1"/>
      <c r="I224" s="1"/>
      <c r="J224" s="1"/>
    </row>
    <row r="225" spans="1:10" x14ac:dyDescent="0.75">
      <c r="A225" s="26"/>
      <c r="B225" s="26"/>
      <c r="C225" s="58" t="s">
        <v>130</v>
      </c>
      <c r="D225" s="59"/>
      <c r="E225" s="26"/>
      <c r="F225" s="26"/>
      <c r="G225" s="26"/>
      <c r="H225" s="1"/>
      <c r="I225" s="1"/>
      <c r="J225" s="1"/>
    </row>
    <row r="226" spans="1:10" x14ac:dyDescent="0.75">
      <c r="A226" s="16">
        <v>43579</v>
      </c>
      <c r="B226" s="16">
        <v>43579</v>
      </c>
      <c r="C226" s="53" t="s">
        <v>132</v>
      </c>
      <c r="D226" s="54"/>
      <c r="E226" s="18" t="s">
        <v>21</v>
      </c>
      <c r="F226" s="17">
        <v>5890.81</v>
      </c>
      <c r="G226" s="17">
        <v>917870.27</v>
      </c>
      <c r="H226" s="1"/>
      <c r="I226" s="1"/>
      <c r="J226" s="1"/>
    </row>
    <row r="227" spans="1:10" x14ac:dyDescent="0.75">
      <c r="A227" s="26"/>
      <c r="B227" s="26"/>
      <c r="C227" s="58" t="s">
        <v>133</v>
      </c>
      <c r="D227" s="59"/>
      <c r="E227" s="26"/>
      <c r="F227" s="26"/>
      <c r="G227" s="26"/>
      <c r="H227" s="1"/>
      <c r="I227" s="1"/>
      <c r="J227" s="1"/>
    </row>
    <row r="228" spans="1:10" x14ac:dyDescent="0.75">
      <c r="A228" s="16">
        <v>43579</v>
      </c>
      <c r="B228" s="16">
        <v>43579</v>
      </c>
      <c r="C228" s="53" t="s">
        <v>134</v>
      </c>
      <c r="D228" s="54"/>
      <c r="E228" s="18" t="s">
        <v>21</v>
      </c>
      <c r="F228" s="17">
        <v>11314.6</v>
      </c>
      <c r="G228" s="17">
        <v>929184.87</v>
      </c>
      <c r="H228" s="1"/>
      <c r="I228" s="1"/>
      <c r="J228" s="1"/>
    </row>
    <row r="229" spans="1:10" x14ac:dyDescent="0.75">
      <c r="A229" s="26"/>
      <c r="B229" s="26"/>
      <c r="C229" s="58" t="s">
        <v>133</v>
      </c>
      <c r="D229" s="59"/>
      <c r="E229" s="26"/>
      <c r="F229" s="26"/>
      <c r="G229" s="26"/>
      <c r="H229" s="1"/>
      <c r="I229" s="1"/>
      <c r="J229" s="1"/>
    </row>
    <row r="230" spans="1:10" x14ac:dyDescent="0.75">
      <c r="A230" s="13">
        <v>43579</v>
      </c>
      <c r="B230" s="13">
        <v>43579</v>
      </c>
      <c r="C230" s="58" t="s">
        <v>28</v>
      </c>
      <c r="D230" s="59"/>
      <c r="E230" s="15" t="s">
        <v>21</v>
      </c>
      <c r="F230" s="14">
        <v>49332.7</v>
      </c>
      <c r="G230" s="14">
        <v>978517.57</v>
      </c>
      <c r="H230" s="1"/>
      <c r="I230" s="1"/>
      <c r="J230" s="1"/>
    </row>
    <row r="231" spans="1:10" x14ac:dyDescent="0.75">
      <c r="A231" s="16">
        <v>43579</v>
      </c>
      <c r="B231" s="16">
        <v>43579</v>
      </c>
      <c r="C231" s="53" t="s">
        <v>135</v>
      </c>
      <c r="D231" s="54"/>
      <c r="E231" s="17">
        <v>11314.6</v>
      </c>
      <c r="F231" s="18" t="s">
        <v>21</v>
      </c>
      <c r="G231" s="17">
        <v>967202.97</v>
      </c>
      <c r="H231" s="1"/>
      <c r="I231" s="1"/>
      <c r="J231" s="1"/>
    </row>
    <row r="232" spans="1:10" x14ac:dyDescent="0.75">
      <c r="A232" s="26"/>
      <c r="B232" s="26"/>
      <c r="C232" s="58" t="s">
        <v>136</v>
      </c>
      <c r="D232" s="59"/>
      <c r="E232" s="26"/>
      <c r="F232" s="26"/>
      <c r="G232" s="26"/>
      <c r="H232" s="1"/>
      <c r="I232" s="1"/>
      <c r="J232" s="1"/>
    </row>
    <row r="233" spans="1:10" x14ac:dyDescent="0.75">
      <c r="A233" s="13">
        <v>43579</v>
      </c>
      <c r="B233" s="13">
        <v>43579</v>
      </c>
      <c r="C233" s="58" t="s">
        <v>137</v>
      </c>
      <c r="D233" s="59"/>
      <c r="E233" s="25">
        <v>247.35</v>
      </c>
      <c r="F233" s="15" t="s">
        <v>21</v>
      </c>
      <c r="G233" s="14">
        <v>966955.62</v>
      </c>
      <c r="H233" s="1"/>
      <c r="I233" s="1"/>
      <c r="J233" s="1"/>
    </row>
    <row r="234" spans="1:10" x14ac:dyDescent="0.75">
      <c r="A234" s="16">
        <v>43579</v>
      </c>
      <c r="B234" s="16">
        <v>43579</v>
      </c>
      <c r="C234" s="53" t="s">
        <v>138</v>
      </c>
      <c r="D234" s="54"/>
      <c r="E234" s="19">
        <v>613.11</v>
      </c>
      <c r="F234" s="18" t="s">
        <v>21</v>
      </c>
      <c r="G234" s="17">
        <v>966342.51</v>
      </c>
      <c r="H234" s="1"/>
      <c r="I234" s="1"/>
      <c r="J234" s="1"/>
    </row>
    <row r="235" spans="1:10" x14ac:dyDescent="0.75">
      <c r="A235" s="16">
        <v>43579</v>
      </c>
      <c r="B235" s="16">
        <v>43579</v>
      </c>
      <c r="C235" s="53" t="s">
        <v>139</v>
      </c>
      <c r="D235" s="54"/>
      <c r="E235" s="17">
        <v>1222.2</v>
      </c>
      <c r="F235" s="18" t="s">
        <v>21</v>
      </c>
      <c r="G235" s="17">
        <v>965120.31</v>
      </c>
      <c r="H235" s="1"/>
      <c r="I235" s="1"/>
      <c r="J235" s="1"/>
    </row>
    <row r="236" spans="1:10" x14ac:dyDescent="0.75">
      <c r="A236" s="16">
        <v>43579</v>
      </c>
      <c r="B236" s="16">
        <v>43579</v>
      </c>
      <c r="C236" s="53" t="s">
        <v>140</v>
      </c>
      <c r="D236" s="54"/>
      <c r="E236" s="17">
        <v>3200</v>
      </c>
      <c r="F236" s="18" t="s">
        <v>21</v>
      </c>
      <c r="G236" s="17">
        <v>961920.31</v>
      </c>
      <c r="H236" s="1"/>
      <c r="I236" s="1"/>
      <c r="J236" s="1"/>
    </row>
    <row r="237" spans="1:10" x14ac:dyDescent="0.75">
      <c r="A237" s="16">
        <v>43579</v>
      </c>
      <c r="B237" s="16">
        <v>43579</v>
      </c>
      <c r="C237" s="53" t="s">
        <v>141</v>
      </c>
      <c r="D237" s="54"/>
      <c r="E237" s="17">
        <v>5890.81</v>
      </c>
      <c r="F237" s="18" t="s">
        <v>21</v>
      </c>
      <c r="G237" s="17">
        <v>956029.5</v>
      </c>
      <c r="H237" s="1"/>
      <c r="I237" s="1"/>
      <c r="J237" s="1"/>
    </row>
    <row r="238" spans="1:10" x14ac:dyDescent="0.75">
      <c r="A238" s="16">
        <v>43579</v>
      </c>
      <c r="B238" s="16">
        <v>43579</v>
      </c>
      <c r="C238" s="53" t="s">
        <v>142</v>
      </c>
      <c r="D238" s="54"/>
      <c r="E238" s="19">
        <v>12</v>
      </c>
      <c r="F238" s="18" t="s">
        <v>21</v>
      </c>
      <c r="G238" s="17">
        <v>956017.5</v>
      </c>
      <c r="H238" s="1"/>
      <c r="I238" s="1"/>
      <c r="J238" s="1"/>
    </row>
    <row r="239" spans="1:10" x14ac:dyDescent="0.75">
      <c r="A239" s="26"/>
      <c r="B239" s="26"/>
      <c r="C239" s="58" t="s">
        <v>143</v>
      </c>
      <c r="D239" s="59"/>
      <c r="E239" s="26"/>
      <c r="F239" s="26"/>
      <c r="G239" s="26"/>
      <c r="H239" s="1"/>
      <c r="I239" s="1"/>
      <c r="J239" s="1"/>
    </row>
    <row r="240" spans="1:10" x14ac:dyDescent="0.75">
      <c r="A240" s="20"/>
      <c r="B240" s="20"/>
      <c r="C240" s="8"/>
      <c r="D240" s="9"/>
      <c r="E240" s="20"/>
      <c r="F240" s="20"/>
      <c r="G240" s="20"/>
      <c r="H240" s="1"/>
      <c r="I240" s="1"/>
      <c r="J240" s="1"/>
    </row>
    <row r="241" spans="1:10" x14ac:dyDescent="0.75">
      <c r="A241" s="34" t="s">
        <v>15</v>
      </c>
      <c r="B241" s="35"/>
      <c r="C241" s="35"/>
      <c r="D241" s="35"/>
      <c r="E241" s="35"/>
      <c r="F241" s="35"/>
      <c r="G241" s="36"/>
      <c r="H241" s="1"/>
      <c r="I241" s="1"/>
      <c r="J241" s="1"/>
    </row>
    <row r="242" spans="1:10" x14ac:dyDescent="0.75">
      <c r="A242" s="21" t="s">
        <v>32</v>
      </c>
      <c r="B242" s="22"/>
      <c r="C242" s="22"/>
      <c r="D242" s="23" t="s">
        <v>33</v>
      </c>
      <c r="E242" s="22"/>
      <c r="F242" s="22"/>
      <c r="G242" s="24"/>
      <c r="H242" s="1"/>
      <c r="I242" s="1"/>
      <c r="J242" s="1"/>
    </row>
    <row r="243" spans="1:10" x14ac:dyDescent="0.75">
      <c r="A243" s="37" t="s">
        <v>144</v>
      </c>
      <c r="B243" s="37"/>
      <c r="C243" s="37"/>
      <c r="D243" s="37"/>
      <c r="E243" s="37"/>
      <c r="F243" s="37"/>
      <c r="G243" s="37"/>
      <c r="H243" s="37"/>
      <c r="I243" s="1"/>
      <c r="J243" s="1"/>
    </row>
    <row r="244" spans="1:10" x14ac:dyDescent="0.75">
      <c r="A244" s="55" t="s">
        <v>0</v>
      </c>
      <c r="B244" s="55"/>
      <c r="C244" s="55"/>
      <c r="D244" s="55"/>
      <c r="E244" s="55"/>
      <c r="F244" s="55"/>
      <c r="G244" s="55"/>
      <c r="H244" s="55"/>
      <c r="I244" s="1"/>
      <c r="J244" s="1"/>
    </row>
    <row r="245" spans="1:10" x14ac:dyDescent="0.75">
      <c r="A245" s="55" t="s">
        <v>1</v>
      </c>
      <c r="B245" s="55"/>
      <c r="C245" s="55"/>
      <c r="D245" s="55"/>
      <c r="E245" s="55"/>
      <c r="F245" s="55"/>
      <c r="G245" s="55"/>
      <c r="H245" s="55"/>
      <c r="I245" s="1"/>
      <c r="J245" s="1"/>
    </row>
    <row r="246" spans="1:10" x14ac:dyDescent="0.75">
      <c r="A246" s="38" t="s">
        <v>35</v>
      </c>
      <c r="B246" s="39"/>
      <c r="C246" s="39"/>
      <c r="D246" s="39"/>
      <c r="E246" s="39"/>
      <c r="F246" s="39"/>
      <c r="G246" s="40"/>
      <c r="H246" s="1"/>
      <c r="I246" s="1"/>
      <c r="J246" s="1"/>
    </row>
    <row r="247" spans="1:10" ht="21.5" x14ac:dyDescent="0.75">
      <c r="A247" s="2" t="s">
        <v>3</v>
      </c>
      <c r="B247" s="3" t="s">
        <v>4</v>
      </c>
      <c r="C247" s="4"/>
      <c r="D247" s="5" t="s">
        <v>5</v>
      </c>
      <c r="E247" s="3" t="s">
        <v>6</v>
      </c>
      <c r="F247" s="3" t="s">
        <v>7</v>
      </c>
      <c r="G247" s="6" t="s">
        <v>8</v>
      </c>
      <c r="H247" s="1"/>
      <c r="I247" s="1"/>
      <c r="J247" s="1"/>
    </row>
    <row r="248" spans="1:10" x14ac:dyDescent="0.75">
      <c r="A248" s="10">
        <v>43579</v>
      </c>
      <c r="B248" s="11"/>
      <c r="C248" s="56" t="s">
        <v>19</v>
      </c>
      <c r="D248" s="57"/>
      <c r="E248" s="11"/>
      <c r="F248" s="11"/>
      <c r="G248" s="12">
        <v>956017.5</v>
      </c>
      <c r="H248" s="1"/>
      <c r="I248" s="1"/>
      <c r="J248" s="1"/>
    </row>
    <row r="249" spans="1:10" x14ac:dyDescent="0.75">
      <c r="A249" s="13">
        <v>43579</v>
      </c>
      <c r="B249" s="13">
        <v>43579</v>
      </c>
      <c r="C249" s="58" t="s">
        <v>145</v>
      </c>
      <c r="D249" s="59"/>
      <c r="E249" s="25">
        <v>12</v>
      </c>
      <c r="F249" s="15" t="s">
        <v>21</v>
      </c>
      <c r="G249" s="14">
        <v>956005.5</v>
      </c>
      <c r="H249" s="1"/>
      <c r="I249" s="1"/>
      <c r="J249" s="1"/>
    </row>
    <row r="250" spans="1:10" x14ac:dyDescent="0.75">
      <c r="A250" s="26"/>
      <c r="B250" s="26"/>
      <c r="C250" s="58" t="s">
        <v>143</v>
      </c>
      <c r="D250" s="59"/>
      <c r="E250" s="26"/>
      <c r="F250" s="26"/>
      <c r="G250" s="26"/>
      <c r="H250" s="1"/>
      <c r="I250" s="1"/>
      <c r="J250" s="1"/>
    </row>
    <row r="251" spans="1:10" x14ac:dyDescent="0.75">
      <c r="A251" s="16">
        <v>43579</v>
      </c>
      <c r="B251" s="16">
        <v>43579</v>
      </c>
      <c r="C251" s="53" t="s">
        <v>146</v>
      </c>
      <c r="D251" s="54"/>
      <c r="E251" s="19">
        <v>12</v>
      </c>
      <c r="F251" s="18" t="s">
        <v>21</v>
      </c>
      <c r="G251" s="17">
        <v>955993.5</v>
      </c>
      <c r="H251" s="1"/>
      <c r="I251" s="1"/>
      <c r="J251" s="1"/>
    </row>
    <row r="252" spans="1:10" x14ac:dyDescent="0.75">
      <c r="A252" s="26"/>
      <c r="B252" s="26"/>
      <c r="C252" s="58" t="s">
        <v>143</v>
      </c>
      <c r="D252" s="59"/>
      <c r="E252" s="26"/>
      <c r="F252" s="26"/>
      <c r="G252" s="26"/>
      <c r="H252" s="1"/>
      <c r="I252" s="1"/>
      <c r="J252" s="1"/>
    </row>
    <row r="253" spans="1:10" x14ac:dyDescent="0.75">
      <c r="A253" s="16">
        <v>43579</v>
      </c>
      <c r="B253" s="16">
        <v>43579</v>
      </c>
      <c r="C253" s="53" t="s">
        <v>147</v>
      </c>
      <c r="D253" s="54"/>
      <c r="E253" s="19">
        <v>12</v>
      </c>
      <c r="F253" s="18" t="s">
        <v>21</v>
      </c>
      <c r="G253" s="17">
        <v>955981.5</v>
      </c>
      <c r="H253" s="1"/>
      <c r="I253" s="1"/>
      <c r="J253" s="1"/>
    </row>
    <row r="254" spans="1:10" x14ac:dyDescent="0.75">
      <c r="A254" s="26"/>
      <c r="B254" s="26"/>
      <c r="C254" s="58" t="s">
        <v>143</v>
      </c>
      <c r="D254" s="59"/>
      <c r="E254" s="26"/>
      <c r="F254" s="26"/>
      <c r="G254" s="26"/>
      <c r="H254" s="1"/>
      <c r="I254" s="1"/>
      <c r="J254" s="1"/>
    </row>
    <row r="255" spans="1:10" x14ac:dyDescent="0.75">
      <c r="A255" s="16">
        <v>43580</v>
      </c>
      <c r="B255" s="16">
        <v>43580</v>
      </c>
      <c r="C255" s="53" t="s">
        <v>148</v>
      </c>
      <c r="D255" s="54"/>
      <c r="E255" s="18" t="s">
        <v>21</v>
      </c>
      <c r="F255" s="17">
        <v>500000</v>
      </c>
      <c r="G255" s="17">
        <v>1455981.5</v>
      </c>
      <c r="H255" s="1"/>
      <c r="I255" s="1"/>
      <c r="J255" s="1"/>
    </row>
    <row r="256" spans="1:10" x14ac:dyDescent="0.75">
      <c r="A256" s="26"/>
      <c r="B256" s="26"/>
      <c r="C256" s="58" t="s">
        <v>39</v>
      </c>
      <c r="D256" s="59"/>
      <c r="E256" s="26"/>
      <c r="F256" s="26"/>
      <c r="G256" s="26"/>
      <c r="H256" s="1"/>
      <c r="I256" s="1"/>
      <c r="J256" s="1"/>
    </row>
    <row r="257" spans="1:10" x14ac:dyDescent="0.75">
      <c r="A257" s="13">
        <v>43580</v>
      </c>
      <c r="B257" s="13">
        <v>43580</v>
      </c>
      <c r="C257" s="58" t="s">
        <v>28</v>
      </c>
      <c r="D257" s="59"/>
      <c r="E257" s="15" t="s">
        <v>21</v>
      </c>
      <c r="F257" s="14">
        <v>15202.77</v>
      </c>
      <c r="G257" s="14">
        <v>1471184.27</v>
      </c>
      <c r="H257" s="1"/>
      <c r="I257" s="1"/>
      <c r="J257" s="1"/>
    </row>
    <row r="258" spans="1:10" x14ac:dyDescent="0.75">
      <c r="A258" s="16">
        <v>43580</v>
      </c>
      <c r="B258" s="16">
        <v>43580</v>
      </c>
      <c r="C258" s="53" t="s">
        <v>149</v>
      </c>
      <c r="D258" s="54"/>
      <c r="E258" s="19">
        <v>538.35</v>
      </c>
      <c r="F258" s="18" t="s">
        <v>21</v>
      </c>
      <c r="G258" s="17">
        <v>1470645.92</v>
      </c>
      <c r="H258" s="1"/>
      <c r="I258" s="1"/>
      <c r="J258" s="1"/>
    </row>
    <row r="259" spans="1:10" x14ac:dyDescent="0.75">
      <c r="A259" s="16">
        <v>43580</v>
      </c>
      <c r="B259" s="16">
        <v>43580</v>
      </c>
      <c r="C259" s="53" t="s">
        <v>150</v>
      </c>
      <c r="D259" s="54"/>
      <c r="E259" s="17">
        <v>5890.81</v>
      </c>
      <c r="F259" s="18" t="s">
        <v>21</v>
      </c>
      <c r="G259" s="17">
        <v>1464755.11</v>
      </c>
      <c r="H259" s="1"/>
      <c r="I259" s="1"/>
      <c r="J259" s="1"/>
    </row>
    <row r="260" spans="1:10" x14ac:dyDescent="0.75">
      <c r="A260" s="16">
        <v>43580</v>
      </c>
      <c r="B260" s="16">
        <v>43580</v>
      </c>
      <c r="C260" s="53" t="s">
        <v>151</v>
      </c>
      <c r="D260" s="54"/>
      <c r="E260" s="17">
        <v>11314.6</v>
      </c>
      <c r="F260" s="18" t="s">
        <v>21</v>
      </c>
      <c r="G260" s="17">
        <v>1453440.51</v>
      </c>
      <c r="H260" s="1"/>
      <c r="I260" s="1"/>
      <c r="J260" s="1"/>
    </row>
    <row r="261" spans="1:10" x14ac:dyDescent="0.75">
      <c r="A261" s="16">
        <v>43580</v>
      </c>
      <c r="B261" s="16">
        <v>43580</v>
      </c>
      <c r="C261" s="53" t="s">
        <v>152</v>
      </c>
      <c r="D261" s="54"/>
      <c r="E261" s="17">
        <v>12908.76</v>
      </c>
      <c r="F261" s="18" t="s">
        <v>21</v>
      </c>
      <c r="G261" s="17">
        <v>1440531.75</v>
      </c>
      <c r="H261" s="1"/>
      <c r="I261" s="1"/>
      <c r="J261" s="1"/>
    </row>
    <row r="262" spans="1:10" x14ac:dyDescent="0.75">
      <c r="A262" s="16">
        <v>43580</v>
      </c>
      <c r="B262" s="16">
        <v>43580</v>
      </c>
      <c r="C262" s="53" t="s">
        <v>153</v>
      </c>
      <c r="D262" s="54"/>
      <c r="E262" s="19">
        <v>815.53</v>
      </c>
      <c r="F262" s="18" t="s">
        <v>21</v>
      </c>
      <c r="G262" s="17">
        <v>1439716.22</v>
      </c>
      <c r="H262" s="1"/>
      <c r="I262" s="1"/>
      <c r="J262" s="1"/>
    </row>
    <row r="263" spans="1:10" x14ac:dyDescent="0.75">
      <c r="A263" s="16">
        <v>43580</v>
      </c>
      <c r="B263" s="16">
        <v>43580</v>
      </c>
      <c r="C263" s="53" t="s">
        <v>154</v>
      </c>
      <c r="D263" s="54"/>
      <c r="E263" s="17">
        <v>3330</v>
      </c>
      <c r="F263" s="18" t="s">
        <v>21</v>
      </c>
      <c r="G263" s="17">
        <v>1436386.22</v>
      </c>
      <c r="H263" s="1"/>
      <c r="I263" s="1"/>
      <c r="J263" s="1"/>
    </row>
    <row r="264" spans="1:10" x14ac:dyDescent="0.75">
      <c r="A264" s="16">
        <v>43580</v>
      </c>
      <c r="B264" s="16">
        <v>43580</v>
      </c>
      <c r="C264" s="53" t="s">
        <v>155</v>
      </c>
      <c r="D264" s="54"/>
      <c r="E264" s="17">
        <v>4656</v>
      </c>
      <c r="F264" s="18" t="s">
        <v>21</v>
      </c>
      <c r="G264" s="17">
        <v>1431730.22</v>
      </c>
      <c r="H264" s="1"/>
      <c r="I264" s="1"/>
      <c r="J264" s="1"/>
    </row>
    <row r="265" spans="1:10" x14ac:dyDescent="0.75">
      <c r="A265" s="20"/>
      <c r="B265" s="20"/>
      <c r="C265" s="8"/>
      <c r="D265" s="9"/>
      <c r="E265" s="20"/>
      <c r="F265" s="20"/>
      <c r="G265" s="20"/>
      <c r="H265" s="1"/>
      <c r="I265" s="1"/>
      <c r="J265" s="1"/>
    </row>
    <row r="266" spans="1:10" x14ac:dyDescent="0.75">
      <c r="A266" s="34" t="s">
        <v>15</v>
      </c>
      <c r="B266" s="35"/>
      <c r="C266" s="35"/>
      <c r="D266" s="35"/>
      <c r="E266" s="35"/>
      <c r="F266" s="35"/>
      <c r="G266" s="36"/>
      <c r="H266" s="1"/>
      <c r="I266" s="1"/>
      <c r="J266" s="1"/>
    </row>
    <row r="267" spans="1:10" x14ac:dyDescent="0.75">
      <c r="A267" s="21" t="s">
        <v>32</v>
      </c>
      <c r="B267" s="22"/>
      <c r="C267" s="22"/>
      <c r="D267" s="23" t="s">
        <v>33</v>
      </c>
      <c r="E267" s="22"/>
      <c r="F267" s="22"/>
      <c r="G267" s="24"/>
      <c r="H267" s="1"/>
      <c r="I267" s="1"/>
      <c r="J267" s="1"/>
    </row>
    <row r="268" spans="1:10" x14ac:dyDescent="0.75">
      <c r="A268" s="37" t="s">
        <v>156</v>
      </c>
      <c r="B268" s="37"/>
      <c r="C268" s="37"/>
      <c r="D268" s="37"/>
      <c r="E268" s="37"/>
      <c r="F268" s="37"/>
      <c r="G268" s="37"/>
      <c r="H268" s="37"/>
      <c r="I268" s="1"/>
      <c r="J268" s="1"/>
    </row>
    <row r="269" spans="1:10" x14ac:dyDescent="0.75">
      <c r="A269" s="55" t="s">
        <v>0</v>
      </c>
      <c r="B269" s="55"/>
      <c r="C269" s="55"/>
      <c r="D269" s="55"/>
      <c r="E269" s="55"/>
      <c r="F269" s="55"/>
      <c r="G269" s="55"/>
      <c r="H269" s="55"/>
      <c r="I269" s="1"/>
      <c r="J269" s="1"/>
    </row>
    <row r="270" spans="1:10" x14ac:dyDescent="0.75">
      <c r="A270" s="55" t="s">
        <v>1</v>
      </c>
      <c r="B270" s="55"/>
      <c r="C270" s="55"/>
      <c r="D270" s="55"/>
      <c r="E270" s="55"/>
      <c r="F270" s="55"/>
      <c r="G270" s="55"/>
      <c r="H270" s="55"/>
      <c r="I270" s="1"/>
      <c r="J270" s="1"/>
    </row>
    <row r="271" spans="1:10" x14ac:dyDescent="0.75">
      <c r="A271" s="38" t="s">
        <v>35</v>
      </c>
      <c r="B271" s="39"/>
      <c r="C271" s="39"/>
      <c r="D271" s="39"/>
      <c r="E271" s="39"/>
      <c r="F271" s="39"/>
      <c r="G271" s="40"/>
      <c r="H271" s="1"/>
      <c r="I271" s="1"/>
      <c r="J271" s="1"/>
    </row>
    <row r="272" spans="1:10" ht="21.5" x14ac:dyDescent="0.75">
      <c r="A272" s="2" t="s">
        <v>3</v>
      </c>
      <c r="B272" s="3" t="s">
        <v>4</v>
      </c>
      <c r="C272" s="4"/>
      <c r="D272" s="5" t="s">
        <v>5</v>
      </c>
      <c r="E272" s="3" t="s">
        <v>6</v>
      </c>
      <c r="F272" s="3" t="s">
        <v>7</v>
      </c>
      <c r="G272" s="6" t="s">
        <v>8</v>
      </c>
      <c r="H272" s="1"/>
      <c r="I272" s="1"/>
      <c r="J272" s="1"/>
    </row>
    <row r="273" spans="1:10" x14ac:dyDescent="0.75">
      <c r="A273" s="10">
        <v>43580</v>
      </c>
      <c r="B273" s="11"/>
      <c r="C273" s="56" t="s">
        <v>19</v>
      </c>
      <c r="D273" s="57"/>
      <c r="E273" s="11"/>
      <c r="F273" s="11"/>
      <c r="G273" s="12">
        <v>1431730.22</v>
      </c>
      <c r="H273" s="1"/>
      <c r="I273" s="1"/>
      <c r="J273" s="1"/>
    </row>
    <row r="274" spans="1:10" x14ac:dyDescent="0.75">
      <c r="A274" s="13">
        <v>43580</v>
      </c>
      <c r="B274" s="13">
        <v>43580</v>
      </c>
      <c r="C274" s="58" t="s">
        <v>157</v>
      </c>
      <c r="D274" s="59"/>
      <c r="E274" s="14">
        <v>6451.88</v>
      </c>
      <c r="F274" s="15" t="s">
        <v>21</v>
      </c>
      <c r="G274" s="14">
        <v>1425278.34</v>
      </c>
      <c r="H274" s="1"/>
      <c r="I274" s="1"/>
      <c r="J274" s="1"/>
    </row>
    <row r="275" spans="1:10" x14ac:dyDescent="0.75">
      <c r="A275" s="16">
        <v>43580</v>
      </c>
      <c r="B275" s="16">
        <v>43580</v>
      </c>
      <c r="C275" s="53" t="s">
        <v>158</v>
      </c>
      <c r="D275" s="54"/>
      <c r="E275" s="17">
        <v>12436.38</v>
      </c>
      <c r="F275" s="18" t="s">
        <v>21</v>
      </c>
      <c r="G275" s="17">
        <v>1412841.96</v>
      </c>
      <c r="H275" s="1"/>
      <c r="I275" s="1"/>
      <c r="J275" s="1"/>
    </row>
    <row r="276" spans="1:10" x14ac:dyDescent="0.75">
      <c r="A276" s="16">
        <v>43580</v>
      </c>
      <c r="B276" s="16">
        <v>43580</v>
      </c>
      <c r="C276" s="53" t="s">
        <v>159</v>
      </c>
      <c r="D276" s="54"/>
      <c r="E276" s="17">
        <v>15208.65</v>
      </c>
      <c r="F276" s="18" t="s">
        <v>21</v>
      </c>
      <c r="G276" s="17">
        <v>1397633.31</v>
      </c>
      <c r="H276" s="1"/>
      <c r="I276" s="1"/>
      <c r="J276" s="1"/>
    </row>
    <row r="277" spans="1:10" x14ac:dyDescent="0.75">
      <c r="A277" s="16">
        <v>43580</v>
      </c>
      <c r="B277" s="16">
        <v>43580</v>
      </c>
      <c r="C277" s="53" t="s">
        <v>160</v>
      </c>
      <c r="D277" s="54"/>
      <c r="E277" s="17">
        <v>50801.72</v>
      </c>
      <c r="F277" s="18" t="s">
        <v>21</v>
      </c>
      <c r="G277" s="17">
        <v>1346831.59</v>
      </c>
      <c r="H277" s="1"/>
      <c r="I277" s="1"/>
      <c r="J277" s="1"/>
    </row>
    <row r="278" spans="1:10" x14ac:dyDescent="0.75">
      <c r="A278" s="16">
        <v>43580</v>
      </c>
      <c r="B278" s="16">
        <v>43580</v>
      </c>
      <c r="C278" s="53" t="s">
        <v>161</v>
      </c>
      <c r="D278" s="54"/>
      <c r="E278" s="17">
        <v>143538.81</v>
      </c>
      <c r="F278" s="18" t="s">
        <v>21</v>
      </c>
      <c r="G278" s="17">
        <v>1203292.78</v>
      </c>
      <c r="H278" s="1"/>
      <c r="I278" s="1"/>
      <c r="J278" s="1"/>
    </row>
    <row r="279" spans="1:10" x14ac:dyDescent="0.75">
      <c r="A279" s="16">
        <v>43580</v>
      </c>
      <c r="B279" s="16">
        <v>43580</v>
      </c>
      <c r="C279" s="53" t="s">
        <v>162</v>
      </c>
      <c r="D279" s="54"/>
      <c r="E279" s="17">
        <v>247822.73</v>
      </c>
      <c r="F279" s="18" t="s">
        <v>21</v>
      </c>
      <c r="G279" s="17">
        <v>955470.05</v>
      </c>
      <c r="H279" s="1"/>
      <c r="I279" s="1"/>
      <c r="J279" s="1"/>
    </row>
    <row r="280" spans="1:10" x14ac:dyDescent="0.75">
      <c r="A280" s="16">
        <v>43580</v>
      </c>
      <c r="B280" s="16">
        <v>43580</v>
      </c>
      <c r="C280" s="53" t="s">
        <v>163</v>
      </c>
      <c r="D280" s="54"/>
      <c r="E280" s="17">
        <v>336089.13</v>
      </c>
      <c r="F280" s="18" t="s">
        <v>21</v>
      </c>
      <c r="G280" s="17">
        <v>619380.92000000004</v>
      </c>
      <c r="H280" s="1"/>
      <c r="I280" s="1"/>
      <c r="J280" s="1"/>
    </row>
    <row r="281" spans="1:10" x14ac:dyDescent="0.75">
      <c r="A281" s="16">
        <v>43581</v>
      </c>
      <c r="B281" s="16">
        <v>43581</v>
      </c>
      <c r="C281" s="53" t="s">
        <v>164</v>
      </c>
      <c r="D281" s="54"/>
      <c r="E281" s="19">
        <v>633.79</v>
      </c>
      <c r="F281" s="18" t="s">
        <v>21</v>
      </c>
      <c r="G281" s="17">
        <v>618747.13</v>
      </c>
      <c r="H281" s="1"/>
      <c r="I281" s="1"/>
      <c r="J281" s="1"/>
    </row>
    <row r="282" spans="1:10" x14ac:dyDescent="0.75">
      <c r="A282" s="16">
        <v>43581</v>
      </c>
      <c r="B282" s="16">
        <v>43581</v>
      </c>
      <c r="C282" s="53" t="s">
        <v>165</v>
      </c>
      <c r="D282" s="54"/>
      <c r="E282" s="19">
        <v>720</v>
      </c>
      <c r="F282" s="18" t="s">
        <v>21</v>
      </c>
      <c r="G282" s="17">
        <v>618027.13</v>
      </c>
      <c r="H282" s="1"/>
      <c r="I282" s="1"/>
      <c r="J282" s="1"/>
    </row>
    <row r="283" spans="1:10" x14ac:dyDescent="0.75">
      <c r="A283" s="16">
        <v>43581</v>
      </c>
      <c r="B283" s="16">
        <v>43581</v>
      </c>
      <c r="C283" s="53" t="s">
        <v>166</v>
      </c>
      <c r="D283" s="54"/>
      <c r="E283" s="19">
        <v>737.2</v>
      </c>
      <c r="F283" s="18" t="s">
        <v>21</v>
      </c>
      <c r="G283" s="17">
        <v>617289.93000000005</v>
      </c>
      <c r="H283" s="1"/>
      <c r="I283" s="1"/>
      <c r="J283" s="1"/>
    </row>
    <row r="284" spans="1:10" x14ac:dyDescent="0.75">
      <c r="A284" s="16">
        <v>43581</v>
      </c>
      <c r="B284" s="16">
        <v>43581</v>
      </c>
      <c r="C284" s="53" t="s">
        <v>167</v>
      </c>
      <c r="D284" s="54"/>
      <c r="E284" s="19">
        <v>785.4</v>
      </c>
      <c r="F284" s="18" t="s">
        <v>21</v>
      </c>
      <c r="G284" s="17">
        <v>616504.53</v>
      </c>
      <c r="H284" s="1"/>
      <c r="I284" s="1"/>
      <c r="J284" s="1"/>
    </row>
    <row r="285" spans="1:10" x14ac:dyDescent="0.75">
      <c r="A285" s="16">
        <v>43581</v>
      </c>
      <c r="B285" s="16">
        <v>43581</v>
      </c>
      <c r="C285" s="53" t="s">
        <v>168</v>
      </c>
      <c r="D285" s="54"/>
      <c r="E285" s="19">
        <v>823.93</v>
      </c>
      <c r="F285" s="18" t="s">
        <v>21</v>
      </c>
      <c r="G285" s="17">
        <v>615680.6</v>
      </c>
      <c r="H285" s="1"/>
      <c r="I285" s="1"/>
      <c r="J285" s="1"/>
    </row>
    <row r="286" spans="1:10" x14ac:dyDescent="0.75">
      <c r="A286" s="20"/>
      <c r="B286" s="20"/>
      <c r="C286" s="8"/>
      <c r="D286" s="9"/>
      <c r="E286" s="20"/>
      <c r="F286" s="20"/>
      <c r="G286" s="20"/>
      <c r="H286" s="1"/>
      <c r="I286" s="1"/>
      <c r="J286" s="1"/>
    </row>
    <row r="287" spans="1:10" x14ac:dyDescent="0.75">
      <c r="A287" s="34" t="s">
        <v>15</v>
      </c>
      <c r="B287" s="35"/>
      <c r="C287" s="35"/>
      <c r="D287" s="35"/>
      <c r="E287" s="35"/>
      <c r="F287" s="35"/>
      <c r="G287" s="36"/>
      <c r="H287" s="1"/>
      <c r="I287" s="1"/>
      <c r="J287" s="1"/>
    </row>
    <row r="288" spans="1:10" x14ac:dyDescent="0.75">
      <c r="A288" s="21" t="s">
        <v>32</v>
      </c>
      <c r="B288" s="22"/>
      <c r="C288" s="22"/>
      <c r="D288" s="23" t="s">
        <v>33</v>
      </c>
      <c r="E288" s="22"/>
      <c r="F288" s="22"/>
      <c r="G288" s="24"/>
      <c r="H288" s="1"/>
      <c r="I288" s="1"/>
      <c r="J288" s="1"/>
    </row>
    <row r="289" spans="1:10" x14ac:dyDescent="0.75">
      <c r="A289" s="37" t="s">
        <v>169</v>
      </c>
      <c r="B289" s="37"/>
      <c r="C289" s="37"/>
      <c r="D289" s="37"/>
      <c r="E289" s="37"/>
      <c r="F289" s="37"/>
      <c r="G289" s="37"/>
      <c r="H289" s="37"/>
      <c r="I289" s="1"/>
      <c r="J289" s="1"/>
    </row>
    <row r="290" spans="1:10" x14ac:dyDescent="0.75">
      <c r="A290" s="55" t="s">
        <v>0</v>
      </c>
      <c r="B290" s="55"/>
      <c r="C290" s="55"/>
      <c r="D290" s="55"/>
      <c r="E290" s="55"/>
      <c r="F290" s="55"/>
      <c r="G290" s="55"/>
      <c r="H290" s="55"/>
      <c r="I290" s="1"/>
      <c r="J290" s="1"/>
    </row>
    <row r="291" spans="1:10" x14ac:dyDescent="0.75">
      <c r="A291" s="55" t="s">
        <v>1</v>
      </c>
      <c r="B291" s="55"/>
      <c r="C291" s="55"/>
      <c r="D291" s="55"/>
      <c r="E291" s="55"/>
      <c r="F291" s="55"/>
      <c r="G291" s="55"/>
      <c r="H291" s="55"/>
      <c r="I291" s="1"/>
      <c r="J291" s="1"/>
    </row>
    <row r="292" spans="1:10" x14ac:dyDescent="0.75">
      <c r="A292" s="38" t="s">
        <v>35</v>
      </c>
      <c r="B292" s="39"/>
      <c r="C292" s="39"/>
      <c r="D292" s="39"/>
      <c r="E292" s="39"/>
      <c r="F292" s="39"/>
      <c r="G292" s="40"/>
      <c r="H292" s="1"/>
      <c r="I292" s="1"/>
      <c r="J292" s="1"/>
    </row>
    <row r="293" spans="1:10" ht="21.5" x14ac:dyDescent="0.75">
      <c r="A293" s="2" t="s">
        <v>3</v>
      </c>
      <c r="B293" s="3" t="s">
        <v>4</v>
      </c>
      <c r="C293" s="4"/>
      <c r="D293" s="5" t="s">
        <v>5</v>
      </c>
      <c r="E293" s="3" t="s">
        <v>6</v>
      </c>
      <c r="F293" s="3" t="s">
        <v>7</v>
      </c>
      <c r="G293" s="6" t="s">
        <v>8</v>
      </c>
      <c r="H293" s="1"/>
      <c r="I293" s="1"/>
      <c r="J293" s="1"/>
    </row>
    <row r="294" spans="1:10" ht="96.75" x14ac:dyDescent="0.75">
      <c r="A294" s="41" t="s">
        <v>170</v>
      </c>
      <c r="B294" s="41" t="s">
        <v>171</v>
      </c>
      <c r="C294" s="44" t="s">
        <v>172</v>
      </c>
      <c r="D294" s="45"/>
      <c r="E294" s="7" t="s">
        <v>173</v>
      </c>
      <c r="F294" s="7" t="s">
        <v>174</v>
      </c>
      <c r="G294" s="48" t="s">
        <v>175</v>
      </c>
      <c r="H294" s="1"/>
      <c r="I294" s="1"/>
      <c r="J294" s="1"/>
    </row>
    <row r="295" spans="1:10" x14ac:dyDescent="0.75">
      <c r="A295" s="42"/>
      <c r="B295" s="42"/>
      <c r="C295" s="46"/>
      <c r="D295" s="47"/>
      <c r="E295" s="51">
        <v>1263805.83</v>
      </c>
      <c r="F295" s="51">
        <v>1663153.82</v>
      </c>
      <c r="G295" s="49"/>
      <c r="H295" s="1"/>
      <c r="I295" s="1"/>
      <c r="J295" s="1"/>
    </row>
    <row r="296" spans="1:10" x14ac:dyDescent="0.75">
      <c r="A296" s="43"/>
      <c r="B296" s="43"/>
      <c r="C296" s="8"/>
      <c r="D296" s="9"/>
      <c r="E296" s="52"/>
      <c r="F296" s="52"/>
      <c r="G296" s="50"/>
      <c r="H296" s="1"/>
      <c r="I296" s="1"/>
      <c r="J296" s="1"/>
    </row>
    <row r="297" spans="1:10" x14ac:dyDescent="0.75">
      <c r="A297" s="34" t="s">
        <v>15</v>
      </c>
      <c r="B297" s="35"/>
      <c r="C297" s="35"/>
      <c r="D297" s="35"/>
      <c r="E297" s="35"/>
      <c r="F297" s="35"/>
      <c r="G297" s="36"/>
      <c r="H297" s="1"/>
      <c r="I297" s="1"/>
      <c r="J297" s="1"/>
    </row>
    <row r="298" spans="1:10" x14ac:dyDescent="0.75">
      <c r="A298" s="34" t="s">
        <v>16</v>
      </c>
      <c r="B298" s="35"/>
      <c r="C298" s="35"/>
      <c r="D298" s="35"/>
      <c r="E298" s="35"/>
      <c r="F298" s="35"/>
      <c r="G298" s="36"/>
      <c r="H298" s="1"/>
      <c r="I298" s="1"/>
      <c r="J298" s="1"/>
    </row>
    <row r="299" spans="1:10" x14ac:dyDescent="0.75">
      <c r="A299" s="37" t="s">
        <v>176</v>
      </c>
      <c r="B299" s="37"/>
      <c r="C299" s="37"/>
      <c r="D299" s="37"/>
      <c r="E299" s="37"/>
      <c r="F299" s="37"/>
      <c r="G299" s="37"/>
      <c r="H299" s="37"/>
      <c r="I299" s="1"/>
      <c r="J299" s="1"/>
    </row>
    <row r="300" spans="1:10" x14ac:dyDescent="0.75">
      <c r="A300" s="55" t="s">
        <v>0</v>
      </c>
      <c r="B300" s="55"/>
      <c r="C300" s="55"/>
      <c r="D300" s="55"/>
      <c r="E300" s="55"/>
      <c r="F300" s="55"/>
      <c r="G300" s="55"/>
      <c r="H300" s="55"/>
      <c r="I300" s="1"/>
      <c r="J300" s="1"/>
    </row>
    <row r="301" spans="1:10" x14ac:dyDescent="0.75">
      <c r="A301" s="55" t="s">
        <v>1</v>
      </c>
      <c r="B301" s="55"/>
      <c r="C301" s="55"/>
      <c r="D301" s="55"/>
      <c r="E301" s="55"/>
      <c r="F301" s="55"/>
      <c r="G301" s="55"/>
      <c r="H301" s="55"/>
      <c r="I301" s="1"/>
      <c r="J301" s="1"/>
    </row>
    <row r="302" spans="1:10" x14ac:dyDescent="0.75">
      <c r="A302" s="34" t="s">
        <v>177</v>
      </c>
      <c r="B302" s="35"/>
      <c r="C302" s="35"/>
      <c r="D302" s="35"/>
      <c r="E302" s="35"/>
      <c r="F302" s="35"/>
      <c r="G302" s="36"/>
      <c r="H302" s="1"/>
      <c r="I302" s="1"/>
      <c r="J302" s="1"/>
    </row>
    <row r="303" spans="1:10" ht="21.5" x14ac:dyDescent="0.75">
      <c r="A303" s="2" t="s">
        <v>3</v>
      </c>
      <c r="B303" s="3" t="s">
        <v>4</v>
      </c>
      <c r="C303" s="4"/>
      <c r="D303" s="5" t="s">
        <v>5</v>
      </c>
      <c r="E303" s="3" t="s">
        <v>6</v>
      </c>
      <c r="F303" s="3" t="s">
        <v>7</v>
      </c>
      <c r="G303" s="6" t="s">
        <v>8</v>
      </c>
      <c r="H303" s="1"/>
      <c r="I303" s="1"/>
      <c r="J303" s="1"/>
    </row>
    <row r="304" spans="1:10" x14ac:dyDescent="0.75">
      <c r="A304" s="10">
        <v>43585</v>
      </c>
      <c r="B304" s="11"/>
      <c r="C304" s="56" t="s">
        <v>19</v>
      </c>
      <c r="D304" s="57"/>
      <c r="E304" s="11"/>
      <c r="F304" s="11"/>
      <c r="G304" s="12">
        <v>639815.87</v>
      </c>
      <c r="H304" s="1"/>
      <c r="I304" s="1"/>
      <c r="J304" s="1"/>
    </row>
    <row r="305" spans="1:10" x14ac:dyDescent="0.75">
      <c r="A305" s="13">
        <v>43587</v>
      </c>
      <c r="B305" s="13">
        <v>43587</v>
      </c>
      <c r="C305" s="58" t="s">
        <v>28</v>
      </c>
      <c r="D305" s="59"/>
      <c r="E305" s="15" t="s">
        <v>21</v>
      </c>
      <c r="F305" s="14">
        <v>29366.639999999999</v>
      </c>
      <c r="G305" s="14">
        <v>669182.51</v>
      </c>
      <c r="H305" s="1"/>
      <c r="I305" s="1"/>
      <c r="J305" s="1"/>
    </row>
    <row r="306" spans="1:10" x14ac:dyDescent="0.75">
      <c r="A306" s="16">
        <v>43587</v>
      </c>
      <c r="B306" s="16">
        <v>43587</v>
      </c>
      <c r="C306" s="53" t="s">
        <v>178</v>
      </c>
      <c r="D306" s="54"/>
      <c r="E306" s="17">
        <v>6782.89</v>
      </c>
      <c r="F306" s="18" t="s">
        <v>21</v>
      </c>
      <c r="G306" s="17">
        <v>662399.62</v>
      </c>
      <c r="H306" s="1"/>
      <c r="I306" s="1"/>
      <c r="J306" s="1"/>
    </row>
    <row r="307" spans="1:10" x14ac:dyDescent="0.75">
      <c r="A307" s="16">
        <v>43588</v>
      </c>
      <c r="B307" s="16">
        <v>43588</v>
      </c>
      <c r="C307" s="53" t="s">
        <v>28</v>
      </c>
      <c r="D307" s="54"/>
      <c r="E307" s="18" t="s">
        <v>21</v>
      </c>
      <c r="F307" s="17">
        <v>3681.5</v>
      </c>
      <c r="G307" s="17">
        <v>666081.12</v>
      </c>
      <c r="H307" s="1"/>
      <c r="I307" s="1"/>
      <c r="J307" s="1"/>
    </row>
    <row r="308" spans="1:10" x14ac:dyDescent="0.75">
      <c r="A308" s="16">
        <v>43588</v>
      </c>
      <c r="B308" s="16">
        <v>43588</v>
      </c>
      <c r="C308" s="53" t="s">
        <v>179</v>
      </c>
      <c r="D308" s="54"/>
      <c r="E308" s="17">
        <v>2815.24</v>
      </c>
      <c r="F308" s="18" t="s">
        <v>21</v>
      </c>
      <c r="G308" s="17">
        <v>663265.88</v>
      </c>
      <c r="H308" s="1"/>
      <c r="I308" s="1"/>
      <c r="J308" s="1"/>
    </row>
    <row r="309" spans="1:10" x14ac:dyDescent="0.75">
      <c r="A309" s="16">
        <v>43588</v>
      </c>
      <c r="B309" s="16">
        <v>43588</v>
      </c>
      <c r="C309" s="53" t="s">
        <v>180</v>
      </c>
      <c r="D309" s="54"/>
      <c r="E309" s="17">
        <v>3000</v>
      </c>
      <c r="F309" s="18" t="s">
        <v>21</v>
      </c>
      <c r="G309" s="17">
        <v>660265.88</v>
      </c>
      <c r="H309" s="1"/>
      <c r="I309" s="1"/>
      <c r="J309" s="1"/>
    </row>
    <row r="310" spans="1:10" x14ac:dyDescent="0.75">
      <c r="A310" s="16">
        <v>43591</v>
      </c>
      <c r="B310" s="16">
        <v>43591</v>
      </c>
      <c r="C310" s="53" t="s">
        <v>28</v>
      </c>
      <c r="D310" s="54"/>
      <c r="E310" s="18" t="s">
        <v>21</v>
      </c>
      <c r="F310" s="17">
        <v>6336.09</v>
      </c>
      <c r="G310" s="17">
        <v>666601.97</v>
      </c>
      <c r="H310" s="1"/>
      <c r="I310" s="1"/>
      <c r="J310" s="1"/>
    </row>
    <row r="311" spans="1:10" x14ac:dyDescent="0.75">
      <c r="A311" s="16">
        <v>43591</v>
      </c>
      <c r="B311" s="16">
        <v>43591</v>
      </c>
      <c r="C311" s="53" t="s">
        <v>181</v>
      </c>
      <c r="D311" s="54"/>
      <c r="E311" s="17">
        <v>1018.5</v>
      </c>
      <c r="F311" s="18" t="s">
        <v>21</v>
      </c>
      <c r="G311" s="17">
        <v>665583.47</v>
      </c>
      <c r="H311" s="1"/>
      <c r="I311" s="1"/>
      <c r="J311" s="1"/>
    </row>
    <row r="312" spans="1:10" x14ac:dyDescent="0.75">
      <c r="A312" s="16">
        <v>43591</v>
      </c>
      <c r="B312" s="16">
        <v>43591</v>
      </c>
      <c r="C312" s="53" t="s">
        <v>182</v>
      </c>
      <c r="D312" s="54"/>
      <c r="E312" s="17">
        <v>5633.76</v>
      </c>
      <c r="F312" s="18" t="s">
        <v>21</v>
      </c>
      <c r="G312" s="17">
        <v>659949.71</v>
      </c>
      <c r="H312" s="1"/>
      <c r="I312" s="1"/>
      <c r="J312" s="1"/>
    </row>
    <row r="313" spans="1:10" x14ac:dyDescent="0.75">
      <c r="A313" s="16">
        <v>43591</v>
      </c>
      <c r="B313" s="16">
        <v>43591</v>
      </c>
      <c r="C313" s="53" t="s">
        <v>183</v>
      </c>
      <c r="D313" s="54"/>
      <c r="E313" s="17">
        <v>11885.41</v>
      </c>
      <c r="F313" s="18" t="s">
        <v>21</v>
      </c>
      <c r="G313" s="17">
        <v>648064.30000000005</v>
      </c>
      <c r="H313" s="1"/>
      <c r="I313" s="1"/>
      <c r="J313" s="1"/>
    </row>
    <row r="314" spans="1:10" x14ac:dyDescent="0.75">
      <c r="A314" s="16">
        <v>43591</v>
      </c>
      <c r="B314" s="16">
        <v>43591</v>
      </c>
      <c r="C314" s="53" t="s">
        <v>184</v>
      </c>
      <c r="D314" s="54"/>
      <c r="E314" s="17">
        <v>12578.31</v>
      </c>
      <c r="F314" s="18" t="s">
        <v>21</v>
      </c>
      <c r="G314" s="17">
        <v>635485.99</v>
      </c>
      <c r="H314" s="1"/>
      <c r="I314" s="1"/>
      <c r="J314" s="1"/>
    </row>
    <row r="315" spans="1:10" x14ac:dyDescent="0.75">
      <c r="A315" s="16">
        <v>43592</v>
      </c>
      <c r="B315" s="16">
        <v>43592</v>
      </c>
      <c r="C315" s="53" t="s">
        <v>185</v>
      </c>
      <c r="D315" s="54"/>
      <c r="E315" s="17">
        <v>169047.96</v>
      </c>
      <c r="F315" s="18" t="s">
        <v>21</v>
      </c>
      <c r="G315" s="17">
        <v>466438.03</v>
      </c>
      <c r="H315" s="1"/>
      <c r="I315" s="1"/>
      <c r="J315" s="1"/>
    </row>
    <row r="316" spans="1:10" x14ac:dyDescent="0.75">
      <c r="A316" s="16">
        <v>43592</v>
      </c>
      <c r="B316" s="16">
        <v>43592</v>
      </c>
      <c r="C316" s="53" t="s">
        <v>186</v>
      </c>
      <c r="D316" s="54"/>
      <c r="E316" s="17">
        <v>50632.56</v>
      </c>
      <c r="F316" s="18" t="s">
        <v>21</v>
      </c>
      <c r="G316" s="17">
        <v>415805.47</v>
      </c>
      <c r="H316" s="1"/>
      <c r="I316" s="1"/>
      <c r="J316" s="1"/>
    </row>
    <row r="317" spans="1:10" x14ac:dyDescent="0.75">
      <c r="A317" s="20"/>
      <c r="B317" s="20"/>
      <c r="C317" s="8"/>
      <c r="D317" s="9"/>
      <c r="E317" s="20"/>
      <c r="F317" s="20"/>
      <c r="G317" s="20"/>
      <c r="H317" s="1"/>
      <c r="I317" s="1"/>
      <c r="J317" s="1"/>
    </row>
    <row r="318" spans="1:10" x14ac:dyDescent="0.75">
      <c r="A318" s="34" t="s">
        <v>15</v>
      </c>
      <c r="B318" s="35"/>
      <c r="C318" s="35"/>
      <c r="D318" s="35"/>
      <c r="E318" s="35"/>
      <c r="F318" s="35"/>
      <c r="G318" s="36"/>
      <c r="H318" s="1"/>
      <c r="I318" s="1"/>
      <c r="J318" s="1"/>
    </row>
    <row r="319" spans="1:10" x14ac:dyDescent="0.75">
      <c r="A319" s="21" t="s">
        <v>32</v>
      </c>
      <c r="B319" s="22"/>
      <c r="C319" s="22"/>
      <c r="D319" s="23" t="s">
        <v>33</v>
      </c>
      <c r="E319" s="22"/>
      <c r="F319" s="22"/>
      <c r="G319" s="24"/>
      <c r="H319" s="1"/>
      <c r="I319" s="1"/>
      <c r="J319" s="1"/>
    </row>
    <row r="320" spans="1:10" x14ac:dyDescent="0.75">
      <c r="A320" s="37" t="s">
        <v>187</v>
      </c>
      <c r="B320" s="37"/>
      <c r="C320" s="37"/>
      <c r="D320" s="37"/>
      <c r="E320" s="37"/>
      <c r="F320" s="37"/>
      <c r="G320" s="37"/>
      <c r="H320" s="37"/>
      <c r="I320" s="1"/>
      <c r="J320" s="1"/>
    </row>
    <row r="321" spans="1:10" x14ac:dyDescent="0.75">
      <c r="A321" s="55" t="s">
        <v>0</v>
      </c>
      <c r="B321" s="55"/>
      <c r="C321" s="55"/>
      <c r="D321" s="55"/>
      <c r="E321" s="55"/>
      <c r="F321" s="55"/>
      <c r="G321" s="55"/>
      <c r="H321" s="55"/>
      <c r="I321" s="1"/>
      <c r="J321" s="1"/>
    </row>
    <row r="322" spans="1:10" x14ac:dyDescent="0.75">
      <c r="A322" s="55" t="s">
        <v>1</v>
      </c>
      <c r="B322" s="55"/>
      <c r="C322" s="55"/>
      <c r="D322" s="55"/>
      <c r="E322" s="55"/>
      <c r="F322" s="55"/>
      <c r="G322" s="55"/>
      <c r="H322" s="55"/>
      <c r="I322" s="1"/>
      <c r="J322" s="1"/>
    </row>
    <row r="323" spans="1:10" x14ac:dyDescent="0.75">
      <c r="A323" s="38" t="s">
        <v>35</v>
      </c>
      <c r="B323" s="39"/>
      <c r="C323" s="39"/>
      <c r="D323" s="39"/>
      <c r="E323" s="39"/>
      <c r="F323" s="39"/>
      <c r="G323" s="40"/>
      <c r="H323" s="1"/>
      <c r="I323" s="1"/>
      <c r="J323" s="1"/>
    </row>
    <row r="324" spans="1:10" ht="21.5" x14ac:dyDescent="0.75">
      <c r="A324" s="2" t="s">
        <v>3</v>
      </c>
      <c r="B324" s="3" t="s">
        <v>4</v>
      </c>
      <c r="C324" s="4"/>
      <c r="D324" s="5" t="s">
        <v>5</v>
      </c>
      <c r="E324" s="3" t="s">
        <v>6</v>
      </c>
      <c r="F324" s="3" t="s">
        <v>7</v>
      </c>
      <c r="G324" s="6" t="s">
        <v>8</v>
      </c>
      <c r="H324" s="1"/>
      <c r="I324" s="1"/>
      <c r="J324" s="1"/>
    </row>
    <row r="325" spans="1:10" x14ac:dyDescent="0.75">
      <c r="A325" s="10">
        <v>43592</v>
      </c>
      <c r="B325" s="11"/>
      <c r="C325" s="56" t="s">
        <v>19</v>
      </c>
      <c r="D325" s="57"/>
      <c r="E325" s="11"/>
      <c r="F325" s="11"/>
      <c r="G325" s="12">
        <v>415805.47</v>
      </c>
      <c r="H325" s="1"/>
      <c r="I325" s="1"/>
      <c r="J325" s="1"/>
    </row>
    <row r="326" spans="1:10" x14ac:dyDescent="0.75">
      <c r="A326" s="13">
        <v>43592</v>
      </c>
      <c r="B326" s="13">
        <v>43592</v>
      </c>
      <c r="C326" s="58" t="s">
        <v>188</v>
      </c>
      <c r="D326" s="59"/>
      <c r="E326" s="14">
        <v>398531.01</v>
      </c>
      <c r="F326" s="15" t="s">
        <v>21</v>
      </c>
      <c r="G326" s="14">
        <v>17274.46</v>
      </c>
      <c r="H326" s="1"/>
      <c r="I326" s="1"/>
      <c r="J326" s="1"/>
    </row>
    <row r="327" spans="1:10" x14ac:dyDescent="0.75">
      <c r="A327" s="16">
        <v>43593</v>
      </c>
      <c r="B327" s="16">
        <v>43593</v>
      </c>
      <c r="C327" s="53" t="s">
        <v>28</v>
      </c>
      <c r="D327" s="54"/>
      <c r="E327" s="18" t="s">
        <v>21</v>
      </c>
      <c r="F327" s="17">
        <v>29774.6</v>
      </c>
      <c r="G327" s="17">
        <v>47049.06</v>
      </c>
      <c r="H327" s="1"/>
      <c r="I327" s="1"/>
      <c r="J327" s="1"/>
    </row>
    <row r="328" spans="1:10" x14ac:dyDescent="0.75">
      <c r="A328" s="16">
        <v>43593</v>
      </c>
      <c r="B328" s="16">
        <v>43593</v>
      </c>
      <c r="C328" s="53" t="s">
        <v>189</v>
      </c>
      <c r="D328" s="54"/>
      <c r="E328" s="17">
        <v>1048.07</v>
      </c>
      <c r="F328" s="18" t="s">
        <v>21</v>
      </c>
      <c r="G328" s="17">
        <v>46000.99</v>
      </c>
      <c r="H328" s="1"/>
      <c r="I328" s="1"/>
      <c r="J328" s="1"/>
    </row>
    <row r="329" spans="1:10" x14ac:dyDescent="0.75">
      <c r="A329" s="16">
        <v>43593</v>
      </c>
      <c r="B329" s="16">
        <v>43593</v>
      </c>
      <c r="C329" s="53" t="s">
        <v>190</v>
      </c>
      <c r="D329" s="54"/>
      <c r="E329" s="17">
        <v>1999.92</v>
      </c>
      <c r="F329" s="18" t="s">
        <v>21</v>
      </c>
      <c r="G329" s="17">
        <v>44001.07</v>
      </c>
      <c r="H329" s="1"/>
      <c r="I329" s="1"/>
      <c r="J329" s="1"/>
    </row>
    <row r="330" spans="1:10" x14ac:dyDescent="0.75">
      <c r="A330" s="16">
        <v>43593</v>
      </c>
      <c r="B330" s="16">
        <v>43593</v>
      </c>
      <c r="C330" s="53" t="s">
        <v>191</v>
      </c>
      <c r="D330" s="54"/>
      <c r="E330" s="17">
        <v>3538.4</v>
      </c>
      <c r="F330" s="18" t="s">
        <v>21</v>
      </c>
      <c r="G330" s="17">
        <v>40462.67</v>
      </c>
      <c r="H330" s="1"/>
      <c r="I330" s="1"/>
      <c r="J330" s="1"/>
    </row>
    <row r="331" spans="1:10" x14ac:dyDescent="0.75">
      <c r="A331" s="16">
        <v>43593</v>
      </c>
      <c r="B331" s="16">
        <v>43593</v>
      </c>
      <c r="C331" s="53" t="s">
        <v>192</v>
      </c>
      <c r="D331" s="54"/>
      <c r="E331" s="17">
        <v>6736.54</v>
      </c>
      <c r="F331" s="18" t="s">
        <v>21</v>
      </c>
      <c r="G331" s="17">
        <v>33726.129999999997</v>
      </c>
      <c r="H331" s="1"/>
      <c r="I331" s="1"/>
      <c r="J331" s="1"/>
    </row>
    <row r="332" spans="1:10" x14ac:dyDescent="0.75">
      <c r="A332" s="16">
        <v>43593</v>
      </c>
      <c r="B332" s="16">
        <v>43593</v>
      </c>
      <c r="C332" s="53" t="s">
        <v>193</v>
      </c>
      <c r="D332" s="54"/>
      <c r="E332" s="17">
        <v>10563.31</v>
      </c>
      <c r="F332" s="18" t="s">
        <v>21</v>
      </c>
      <c r="G332" s="17">
        <v>23162.82</v>
      </c>
      <c r="H332" s="1"/>
      <c r="I332" s="1"/>
      <c r="J332" s="1"/>
    </row>
    <row r="333" spans="1:10" x14ac:dyDescent="0.75">
      <c r="A333" s="16">
        <v>43593</v>
      </c>
      <c r="B333" s="16">
        <v>43593</v>
      </c>
      <c r="C333" s="53" t="s">
        <v>194</v>
      </c>
      <c r="D333" s="54"/>
      <c r="E333" s="17">
        <v>11321.55</v>
      </c>
      <c r="F333" s="18" t="s">
        <v>21</v>
      </c>
      <c r="G333" s="17">
        <v>11841.27</v>
      </c>
      <c r="H333" s="1"/>
      <c r="I333" s="1"/>
      <c r="J333" s="1"/>
    </row>
    <row r="334" spans="1:10" x14ac:dyDescent="0.75">
      <c r="A334" s="16">
        <v>43594</v>
      </c>
      <c r="B334" s="16">
        <v>43594</v>
      </c>
      <c r="C334" s="53" t="s">
        <v>28</v>
      </c>
      <c r="D334" s="54"/>
      <c r="E334" s="18" t="s">
        <v>21</v>
      </c>
      <c r="F334" s="17">
        <v>240933.53</v>
      </c>
      <c r="G334" s="17">
        <v>252774.8</v>
      </c>
      <c r="H334" s="1"/>
      <c r="I334" s="1"/>
      <c r="J334" s="1"/>
    </row>
    <row r="335" spans="1:10" x14ac:dyDescent="0.75">
      <c r="A335" s="16">
        <v>43594</v>
      </c>
      <c r="B335" s="16">
        <v>43594</v>
      </c>
      <c r="C335" s="53" t="s">
        <v>195</v>
      </c>
      <c r="D335" s="54"/>
      <c r="E335" s="17">
        <v>2328</v>
      </c>
      <c r="F335" s="18" t="s">
        <v>21</v>
      </c>
      <c r="G335" s="17">
        <v>250446.8</v>
      </c>
      <c r="H335" s="1"/>
      <c r="I335" s="1"/>
      <c r="J335" s="1"/>
    </row>
    <row r="336" spans="1:10" x14ac:dyDescent="0.75">
      <c r="A336" s="16">
        <v>43594</v>
      </c>
      <c r="B336" s="16">
        <v>43594</v>
      </c>
      <c r="C336" s="53" t="s">
        <v>196</v>
      </c>
      <c r="D336" s="54"/>
      <c r="E336" s="17">
        <v>2339.81</v>
      </c>
      <c r="F336" s="18" t="s">
        <v>21</v>
      </c>
      <c r="G336" s="17">
        <v>248106.99</v>
      </c>
      <c r="H336" s="1"/>
      <c r="I336" s="1"/>
      <c r="J336" s="1"/>
    </row>
    <row r="337" spans="1:10" x14ac:dyDescent="0.75">
      <c r="A337" s="16">
        <v>43594</v>
      </c>
      <c r="B337" s="16">
        <v>43594</v>
      </c>
      <c r="C337" s="53" t="s">
        <v>197</v>
      </c>
      <c r="D337" s="54"/>
      <c r="E337" s="17">
        <v>9740.85</v>
      </c>
      <c r="F337" s="18" t="s">
        <v>21</v>
      </c>
      <c r="G337" s="17">
        <v>238366.14</v>
      </c>
      <c r="H337" s="1"/>
      <c r="I337" s="1"/>
      <c r="J337" s="1"/>
    </row>
    <row r="338" spans="1:10" x14ac:dyDescent="0.75">
      <c r="A338" s="20"/>
      <c r="B338" s="20"/>
      <c r="C338" s="8"/>
      <c r="D338" s="9"/>
      <c r="E338" s="20"/>
      <c r="F338" s="20"/>
      <c r="G338" s="20"/>
      <c r="H338" s="1"/>
      <c r="I338" s="1"/>
      <c r="J338" s="1"/>
    </row>
    <row r="339" spans="1:10" x14ac:dyDescent="0.75">
      <c r="A339" s="34" t="s">
        <v>15</v>
      </c>
      <c r="B339" s="35"/>
      <c r="C339" s="35"/>
      <c r="D339" s="35"/>
      <c r="E339" s="35"/>
      <c r="F339" s="35"/>
      <c r="G339" s="36"/>
      <c r="H339" s="1"/>
      <c r="I339" s="1"/>
      <c r="J339" s="1"/>
    </row>
    <row r="340" spans="1:10" x14ac:dyDescent="0.75">
      <c r="A340" s="21" t="s">
        <v>32</v>
      </c>
      <c r="B340" s="22"/>
      <c r="C340" s="22"/>
      <c r="D340" s="23" t="s">
        <v>33</v>
      </c>
      <c r="E340" s="22"/>
      <c r="F340" s="22"/>
      <c r="G340" s="24"/>
      <c r="H340" s="1"/>
      <c r="I340" s="1"/>
      <c r="J340" s="1"/>
    </row>
    <row r="341" spans="1:10" x14ac:dyDescent="0.75">
      <c r="A341" s="37" t="s">
        <v>198</v>
      </c>
      <c r="B341" s="37"/>
      <c r="C341" s="37"/>
      <c r="D341" s="37"/>
      <c r="E341" s="37"/>
      <c r="F341" s="37"/>
      <c r="G341" s="37"/>
      <c r="H341" s="37"/>
      <c r="I341" s="1"/>
      <c r="J341" s="1"/>
    </row>
    <row r="342" spans="1:10" x14ac:dyDescent="0.75">
      <c r="A342" s="55" t="s">
        <v>0</v>
      </c>
      <c r="B342" s="55"/>
      <c r="C342" s="55"/>
      <c r="D342" s="55"/>
      <c r="E342" s="55"/>
      <c r="F342" s="55"/>
      <c r="G342" s="55"/>
      <c r="H342" s="55"/>
      <c r="I342" s="1"/>
      <c r="J342" s="1"/>
    </row>
    <row r="343" spans="1:10" x14ac:dyDescent="0.75">
      <c r="A343" s="55" t="s">
        <v>1</v>
      </c>
      <c r="B343" s="55"/>
      <c r="C343" s="55"/>
      <c r="D343" s="55"/>
      <c r="E343" s="55"/>
      <c r="F343" s="55"/>
      <c r="G343" s="55"/>
      <c r="H343" s="55"/>
      <c r="I343" s="1"/>
      <c r="J343" s="1"/>
    </row>
    <row r="344" spans="1:10" x14ac:dyDescent="0.75">
      <c r="A344" s="38" t="s">
        <v>35</v>
      </c>
      <c r="B344" s="39"/>
      <c r="C344" s="39"/>
      <c r="D344" s="39"/>
      <c r="E344" s="39"/>
      <c r="F344" s="39"/>
      <c r="G344" s="40"/>
      <c r="H344" s="1"/>
      <c r="I344" s="1"/>
      <c r="J344" s="1"/>
    </row>
    <row r="345" spans="1:10" ht="21.5" x14ac:dyDescent="0.75">
      <c r="A345" s="2" t="s">
        <v>3</v>
      </c>
      <c r="B345" s="3" t="s">
        <v>4</v>
      </c>
      <c r="C345" s="4"/>
      <c r="D345" s="5" t="s">
        <v>5</v>
      </c>
      <c r="E345" s="3" t="s">
        <v>6</v>
      </c>
      <c r="F345" s="3" t="s">
        <v>7</v>
      </c>
      <c r="G345" s="6" t="s">
        <v>8</v>
      </c>
      <c r="H345" s="1"/>
      <c r="I345" s="1"/>
      <c r="J345" s="1"/>
    </row>
    <row r="346" spans="1:10" x14ac:dyDescent="0.75">
      <c r="A346" s="10">
        <v>43594</v>
      </c>
      <c r="B346" s="11"/>
      <c r="C346" s="56" t="s">
        <v>19</v>
      </c>
      <c r="D346" s="57"/>
      <c r="E346" s="11"/>
      <c r="F346" s="11"/>
      <c r="G346" s="12">
        <v>238366.14</v>
      </c>
      <c r="H346" s="1"/>
      <c r="I346" s="1"/>
      <c r="J346" s="1"/>
    </row>
    <row r="347" spans="1:10" x14ac:dyDescent="0.75">
      <c r="A347" s="13">
        <v>43595</v>
      </c>
      <c r="B347" s="13">
        <v>43595</v>
      </c>
      <c r="C347" s="58" t="s">
        <v>28</v>
      </c>
      <c r="D347" s="59"/>
      <c r="E347" s="15" t="s">
        <v>21</v>
      </c>
      <c r="F347" s="14">
        <v>19466.009999999998</v>
      </c>
      <c r="G347" s="14">
        <v>257832.15</v>
      </c>
      <c r="H347" s="1"/>
      <c r="I347" s="1"/>
      <c r="J347" s="1"/>
    </row>
    <row r="348" spans="1:10" x14ac:dyDescent="0.75">
      <c r="A348" s="16">
        <v>43595</v>
      </c>
      <c r="B348" s="16">
        <v>43595</v>
      </c>
      <c r="C348" s="53" t="s">
        <v>199</v>
      </c>
      <c r="D348" s="54"/>
      <c r="E348" s="19">
        <v>470</v>
      </c>
      <c r="F348" s="18" t="s">
        <v>21</v>
      </c>
      <c r="G348" s="17">
        <v>257362.15</v>
      </c>
      <c r="H348" s="1"/>
      <c r="I348" s="1"/>
      <c r="J348" s="1"/>
    </row>
    <row r="349" spans="1:10" x14ac:dyDescent="0.75">
      <c r="A349" s="16">
        <v>43595</v>
      </c>
      <c r="B349" s="16">
        <v>43595</v>
      </c>
      <c r="C349" s="53" t="s">
        <v>200</v>
      </c>
      <c r="D349" s="54"/>
      <c r="E349" s="17">
        <v>1130</v>
      </c>
      <c r="F349" s="18" t="s">
        <v>21</v>
      </c>
      <c r="G349" s="17">
        <v>256232.15</v>
      </c>
      <c r="H349" s="1"/>
      <c r="I349" s="1"/>
      <c r="J349" s="1"/>
    </row>
    <row r="350" spans="1:10" x14ac:dyDescent="0.75">
      <c r="A350" s="16">
        <v>43595</v>
      </c>
      <c r="B350" s="16">
        <v>43595</v>
      </c>
      <c r="C350" s="53" t="s">
        <v>201</v>
      </c>
      <c r="D350" s="54"/>
      <c r="E350" s="17">
        <v>1200</v>
      </c>
      <c r="F350" s="18" t="s">
        <v>21</v>
      </c>
      <c r="G350" s="17">
        <v>255032.15</v>
      </c>
      <c r="H350" s="1"/>
      <c r="I350" s="1"/>
      <c r="J350" s="1"/>
    </row>
    <row r="351" spans="1:10" x14ac:dyDescent="0.75">
      <c r="A351" s="16">
        <v>43595</v>
      </c>
      <c r="B351" s="16">
        <v>43595</v>
      </c>
      <c r="C351" s="53" t="s">
        <v>202</v>
      </c>
      <c r="D351" s="54"/>
      <c r="E351" s="17">
        <v>1500</v>
      </c>
      <c r="F351" s="18" t="s">
        <v>21</v>
      </c>
      <c r="G351" s="17">
        <v>253532.15</v>
      </c>
      <c r="H351" s="1"/>
      <c r="I351" s="1"/>
      <c r="J351" s="1"/>
    </row>
    <row r="352" spans="1:10" x14ac:dyDescent="0.75">
      <c r="A352" s="16">
        <v>43595</v>
      </c>
      <c r="B352" s="16">
        <v>43595</v>
      </c>
      <c r="C352" s="53" t="s">
        <v>203</v>
      </c>
      <c r="D352" s="54"/>
      <c r="E352" s="17">
        <v>1670</v>
      </c>
      <c r="F352" s="18" t="s">
        <v>21</v>
      </c>
      <c r="G352" s="17">
        <v>251862.15</v>
      </c>
      <c r="H352" s="1"/>
      <c r="I352" s="1"/>
      <c r="J352" s="1"/>
    </row>
    <row r="353" spans="1:10" x14ac:dyDescent="0.75">
      <c r="A353" s="16">
        <v>43595</v>
      </c>
      <c r="B353" s="16">
        <v>43595</v>
      </c>
      <c r="C353" s="53" t="s">
        <v>204</v>
      </c>
      <c r="D353" s="54"/>
      <c r="E353" s="17">
        <v>1800</v>
      </c>
      <c r="F353" s="18" t="s">
        <v>21</v>
      </c>
      <c r="G353" s="17">
        <v>250062.15</v>
      </c>
      <c r="H353" s="1"/>
      <c r="I353" s="1"/>
      <c r="J353" s="1"/>
    </row>
    <row r="354" spans="1:10" x14ac:dyDescent="0.75">
      <c r="A354" s="16">
        <v>43595</v>
      </c>
      <c r="B354" s="16">
        <v>43595</v>
      </c>
      <c r="C354" s="53" t="s">
        <v>205</v>
      </c>
      <c r="D354" s="54"/>
      <c r="E354" s="17">
        <v>2210.21</v>
      </c>
      <c r="F354" s="18" t="s">
        <v>21</v>
      </c>
      <c r="G354" s="17">
        <v>247851.94</v>
      </c>
      <c r="H354" s="1"/>
      <c r="I354" s="1"/>
      <c r="J354" s="1"/>
    </row>
    <row r="355" spans="1:10" x14ac:dyDescent="0.75">
      <c r="A355" s="16">
        <v>43595</v>
      </c>
      <c r="B355" s="16">
        <v>43595</v>
      </c>
      <c r="C355" s="53" t="s">
        <v>206</v>
      </c>
      <c r="D355" s="54"/>
      <c r="E355" s="17">
        <v>2990.55</v>
      </c>
      <c r="F355" s="18" t="s">
        <v>21</v>
      </c>
      <c r="G355" s="17">
        <v>244861.39</v>
      </c>
      <c r="H355" s="1"/>
      <c r="I355" s="1"/>
      <c r="J355" s="1"/>
    </row>
    <row r="356" spans="1:10" x14ac:dyDescent="0.75">
      <c r="A356" s="16">
        <v>43595</v>
      </c>
      <c r="B356" s="16">
        <v>43595</v>
      </c>
      <c r="C356" s="53" t="s">
        <v>207</v>
      </c>
      <c r="D356" s="54"/>
      <c r="E356" s="17">
        <v>3000</v>
      </c>
      <c r="F356" s="18" t="s">
        <v>21</v>
      </c>
      <c r="G356" s="17">
        <v>241861.39</v>
      </c>
      <c r="H356" s="1"/>
      <c r="I356" s="1"/>
      <c r="J356" s="1"/>
    </row>
    <row r="357" spans="1:10" x14ac:dyDescent="0.75">
      <c r="A357" s="16">
        <v>43595</v>
      </c>
      <c r="B357" s="16">
        <v>43595</v>
      </c>
      <c r="C357" s="53" t="s">
        <v>208</v>
      </c>
      <c r="D357" s="54"/>
      <c r="E357" s="19">
        <v>552.9</v>
      </c>
      <c r="F357" s="18" t="s">
        <v>21</v>
      </c>
      <c r="G357" s="17">
        <v>241308.49</v>
      </c>
      <c r="H357" s="1"/>
      <c r="I357" s="1"/>
      <c r="J357" s="1"/>
    </row>
    <row r="358" spans="1:10" x14ac:dyDescent="0.75">
      <c r="A358" s="16">
        <v>43595</v>
      </c>
      <c r="B358" s="16">
        <v>43595</v>
      </c>
      <c r="C358" s="53" t="s">
        <v>209</v>
      </c>
      <c r="D358" s="54"/>
      <c r="E358" s="17">
        <v>3395</v>
      </c>
      <c r="F358" s="18" t="s">
        <v>21</v>
      </c>
      <c r="G358" s="17">
        <v>237913.49</v>
      </c>
      <c r="H358" s="1"/>
      <c r="I358" s="1"/>
      <c r="J358" s="1"/>
    </row>
    <row r="359" spans="1:10" x14ac:dyDescent="0.75">
      <c r="A359" s="20"/>
      <c r="B359" s="20"/>
      <c r="C359" s="8"/>
      <c r="D359" s="9"/>
      <c r="E359" s="20"/>
      <c r="F359" s="20"/>
      <c r="G359" s="20"/>
      <c r="H359" s="1"/>
      <c r="I359" s="1"/>
      <c r="J359" s="1"/>
    </row>
    <row r="360" spans="1:10" x14ac:dyDescent="0.75">
      <c r="A360" s="34" t="s">
        <v>15</v>
      </c>
      <c r="B360" s="35"/>
      <c r="C360" s="35"/>
      <c r="D360" s="35"/>
      <c r="E360" s="35"/>
      <c r="F360" s="35"/>
      <c r="G360" s="36"/>
      <c r="H360" s="1"/>
      <c r="I360" s="1"/>
      <c r="J360" s="1"/>
    </row>
    <row r="361" spans="1:10" x14ac:dyDescent="0.75">
      <c r="A361" s="21" t="s">
        <v>32</v>
      </c>
      <c r="B361" s="22"/>
      <c r="C361" s="22"/>
      <c r="D361" s="23" t="s">
        <v>33</v>
      </c>
      <c r="E361" s="22"/>
      <c r="F361" s="22"/>
      <c r="G361" s="24"/>
      <c r="H361" s="1"/>
      <c r="I361" s="1"/>
      <c r="J361" s="1"/>
    </row>
    <row r="362" spans="1:10" x14ac:dyDescent="0.75">
      <c r="A362" s="37" t="s">
        <v>210</v>
      </c>
      <c r="B362" s="37"/>
      <c r="C362" s="37"/>
      <c r="D362" s="37"/>
      <c r="E362" s="37"/>
      <c r="F362" s="37"/>
      <c r="G362" s="37"/>
      <c r="H362" s="37"/>
      <c r="I362" s="1"/>
      <c r="J362" s="1"/>
    </row>
    <row r="363" spans="1:10" x14ac:dyDescent="0.75">
      <c r="A363" s="55" t="s">
        <v>0</v>
      </c>
      <c r="B363" s="55"/>
      <c r="C363" s="55"/>
      <c r="D363" s="55"/>
      <c r="E363" s="55"/>
      <c r="F363" s="55"/>
      <c r="G363" s="55"/>
      <c r="H363" s="55"/>
      <c r="I363" s="1"/>
      <c r="J363" s="1"/>
    </row>
    <row r="364" spans="1:10" x14ac:dyDescent="0.75">
      <c r="A364" s="55" t="s">
        <v>1</v>
      </c>
      <c r="B364" s="55"/>
      <c r="C364" s="55"/>
      <c r="D364" s="55"/>
      <c r="E364" s="55"/>
      <c r="F364" s="55"/>
      <c r="G364" s="55"/>
      <c r="H364" s="55"/>
      <c r="I364" s="1"/>
      <c r="J364" s="1"/>
    </row>
    <row r="365" spans="1:10" x14ac:dyDescent="0.75">
      <c r="A365" s="38" t="s">
        <v>35</v>
      </c>
      <c r="B365" s="39"/>
      <c r="C365" s="39"/>
      <c r="D365" s="39"/>
      <c r="E365" s="39"/>
      <c r="F365" s="39"/>
      <c r="G365" s="40"/>
      <c r="H365" s="1"/>
      <c r="I365" s="1"/>
      <c r="J365" s="1"/>
    </row>
    <row r="366" spans="1:10" ht="21.5" x14ac:dyDescent="0.75">
      <c r="A366" s="2" t="s">
        <v>3</v>
      </c>
      <c r="B366" s="3" t="s">
        <v>4</v>
      </c>
      <c r="C366" s="4"/>
      <c r="D366" s="5" t="s">
        <v>5</v>
      </c>
      <c r="E366" s="3" t="s">
        <v>6</v>
      </c>
      <c r="F366" s="3" t="s">
        <v>7</v>
      </c>
      <c r="G366" s="6" t="s">
        <v>8</v>
      </c>
      <c r="H366" s="1"/>
      <c r="I366" s="1"/>
      <c r="J366" s="1"/>
    </row>
    <row r="367" spans="1:10" x14ac:dyDescent="0.75">
      <c r="A367" s="10">
        <v>43595</v>
      </c>
      <c r="B367" s="11"/>
      <c r="C367" s="56" t="s">
        <v>19</v>
      </c>
      <c r="D367" s="57"/>
      <c r="E367" s="11"/>
      <c r="F367" s="11"/>
      <c r="G367" s="12">
        <v>237913.49</v>
      </c>
      <c r="H367" s="1"/>
      <c r="I367" s="1"/>
      <c r="J367" s="1"/>
    </row>
    <row r="368" spans="1:10" x14ac:dyDescent="0.75">
      <c r="A368" s="13">
        <v>43595</v>
      </c>
      <c r="B368" s="13">
        <v>43595</v>
      </c>
      <c r="C368" s="58" t="s">
        <v>211</v>
      </c>
      <c r="D368" s="59"/>
      <c r="E368" s="14">
        <v>4321.5600000000004</v>
      </c>
      <c r="F368" s="15" t="s">
        <v>21</v>
      </c>
      <c r="G368" s="14">
        <v>233591.93</v>
      </c>
      <c r="H368" s="1"/>
      <c r="I368" s="1"/>
      <c r="J368" s="1"/>
    </row>
    <row r="369" spans="1:10" x14ac:dyDescent="0.75">
      <c r="A369" s="16">
        <v>43595</v>
      </c>
      <c r="B369" s="16">
        <v>43595</v>
      </c>
      <c r="C369" s="53" t="s">
        <v>212</v>
      </c>
      <c r="D369" s="54"/>
      <c r="E369" s="17">
        <v>11559.74</v>
      </c>
      <c r="F369" s="18" t="s">
        <v>21</v>
      </c>
      <c r="G369" s="17">
        <v>222032.19</v>
      </c>
      <c r="H369" s="1"/>
      <c r="I369" s="1"/>
      <c r="J369" s="1"/>
    </row>
    <row r="370" spans="1:10" x14ac:dyDescent="0.75">
      <c r="A370" s="16">
        <v>43595</v>
      </c>
      <c r="B370" s="16">
        <v>43595</v>
      </c>
      <c r="C370" s="53" t="s">
        <v>213</v>
      </c>
      <c r="D370" s="54"/>
      <c r="E370" s="17">
        <v>31355.54</v>
      </c>
      <c r="F370" s="18" t="s">
        <v>21</v>
      </c>
      <c r="G370" s="17">
        <v>190676.65</v>
      </c>
      <c r="H370" s="1"/>
      <c r="I370" s="1"/>
      <c r="J370" s="1"/>
    </row>
    <row r="371" spans="1:10" x14ac:dyDescent="0.75">
      <c r="A371" s="16">
        <v>43595</v>
      </c>
      <c r="B371" s="16">
        <v>43595</v>
      </c>
      <c r="C371" s="53" t="s">
        <v>214</v>
      </c>
      <c r="D371" s="54"/>
      <c r="E371" s="17">
        <v>180493.37</v>
      </c>
      <c r="F371" s="18" t="s">
        <v>21</v>
      </c>
      <c r="G371" s="17">
        <v>10183.280000000001</v>
      </c>
      <c r="H371" s="1"/>
      <c r="I371" s="1"/>
      <c r="J371" s="1"/>
    </row>
    <row r="372" spans="1:10" x14ac:dyDescent="0.75">
      <c r="A372" s="16">
        <v>43598</v>
      </c>
      <c r="B372" s="16">
        <v>43598</v>
      </c>
      <c r="C372" s="53" t="s">
        <v>28</v>
      </c>
      <c r="D372" s="54"/>
      <c r="E372" s="18" t="s">
        <v>21</v>
      </c>
      <c r="F372" s="17">
        <v>89832.55</v>
      </c>
      <c r="G372" s="17">
        <v>100015.83</v>
      </c>
      <c r="H372" s="1"/>
      <c r="I372" s="1"/>
      <c r="J372" s="1"/>
    </row>
    <row r="373" spans="1:10" x14ac:dyDescent="0.75">
      <c r="A373" s="16">
        <v>43598</v>
      </c>
      <c r="B373" s="16">
        <v>43598</v>
      </c>
      <c r="C373" s="53" t="s">
        <v>215</v>
      </c>
      <c r="D373" s="54"/>
      <c r="E373" s="19">
        <v>416.25</v>
      </c>
      <c r="F373" s="18" t="s">
        <v>21</v>
      </c>
      <c r="G373" s="17">
        <v>99599.58</v>
      </c>
      <c r="H373" s="1"/>
      <c r="I373" s="1"/>
      <c r="J373" s="1"/>
    </row>
    <row r="374" spans="1:10" x14ac:dyDescent="0.75">
      <c r="A374" s="16">
        <v>43598</v>
      </c>
      <c r="B374" s="16">
        <v>43598</v>
      </c>
      <c r="C374" s="53" t="s">
        <v>216</v>
      </c>
      <c r="D374" s="54"/>
      <c r="E374" s="19">
        <v>605.28</v>
      </c>
      <c r="F374" s="18" t="s">
        <v>21</v>
      </c>
      <c r="G374" s="17">
        <v>98994.3</v>
      </c>
      <c r="H374" s="1"/>
      <c r="I374" s="1"/>
      <c r="J374" s="1"/>
    </row>
    <row r="375" spans="1:10" x14ac:dyDescent="0.75">
      <c r="A375" s="16">
        <v>43598</v>
      </c>
      <c r="B375" s="16">
        <v>43598</v>
      </c>
      <c r="C375" s="53" t="s">
        <v>217</v>
      </c>
      <c r="D375" s="54"/>
      <c r="E375" s="17">
        <v>1875.01</v>
      </c>
      <c r="F375" s="18" t="s">
        <v>21</v>
      </c>
      <c r="G375" s="17">
        <v>97119.29</v>
      </c>
      <c r="H375" s="1"/>
      <c r="I375" s="1"/>
      <c r="J375" s="1"/>
    </row>
    <row r="376" spans="1:10" x14ac:dyDescent="0.75">
      <c r="A376" s="16">
        <v>43598</v>
      </c>
      <c r="B376" s="16">
        <v>43598</v>
      </c>
      <c r="C376" s="53" t="s">
        <v>218</v>
      </c>
      <c r="D376" s="54"/>
      <c r="E376" s="17">
        <v>4206.5</v>
      </c>
      <c r="F376" s="18" t="s">
        <v>21</v>
      </c>
      <c r="G376" s="17">
        <v>92912.79</v>
      </c>
      <c r="H376" s="1"/>
      <c r="I376" s="1"/>
      <c r="J376" s="1"/>
    </row>
    <row r="377" spans="1:10" x14ac:dyDescent="0.75">
      <c r="A377" s="16">
        <v>43598</v>
      </c>
      <c r="B377" s="16">
        <v>43598</v>
      </c>
      <c r="C377" s="53" t="s">
        <v>219</v>
      </c>
      <c r="D377" s="54"/>
      <c r="E377" s="17">
        <v>5674.5</v>
      </c>
      <c r="F377" s="18" t="s">
        <v>21</v>
      </c>
      <c r="G377" s="17">
        <v>87238.29</v>
      </c>
      <c r="H377" s="1"/>
      <c r="I377" s="1"/>
      <c r="J377" s="1"/>
    </row>
    <row r="378" spans="1:10" x14ac:dyDescent="0.75">
      <c r="A378" s="16">
        <v>43598</v>
      </c>
      <c r="B378" s="16">
        <v>43598</v>
      </c>
      <c r="C378" s="53" t="s">
        <v>220</v>
      </c>
      <c r="D378" s="54"/>
      <c r="E378" s="17">
        <v>6227.4</v>
      </c>
      <c r="F378" s="18" t="s">
        <v>21</v>
      </c>
      <c r="G378" s="17">
        <v>81010.89</v>
      </c>
      <c r="H378" s="1"/>
      <c r="I378" s="1"/>
      <c r="J378" s="1"/>
    </row>
    <row r="379" spans="1:10" x14ac:dyDescent="0.75">
      <c r="A379" s="16">
        <v>43598</v>
      </c>
      <c r="B379" s="16">
        <v>43598</v>
      </c>
      <c r="C379" s="53" t="s">
        <v>221</v>
      </c>
      <c r="D379" s="54"/>
      <c r="E379" s="17">
        <v>1599.33</v>
      </c>
      <c r="F379" s="18" t="s">
        <v>21</v>
      </c>
      <c r="G379" s="17">
        <v>79411.56</v>
      </c>
      <c r="H379" s="1"/>
      <c r="I379" s="1"/>
      <c r="J379" s="1"/>
    </row>
    <row r="380" spans="1:10" x14ac:dyDescent="0.75">
      <c r="A380" s="20"/>
      <c r="B380" s="20"/>
      <c r="C380" s="8"/>
      <c r="D380" s="9"/>
      <c r="E380" s="20"/>
      <c r="F380" s="20"/>
      <c r="G380" s="20"/>
      <c r="H380" s="1"/>
      <c r="I380" s="1"/>
      <c r="J380" s="1"/>
    </row>
    <row r="381" spans="1:10" x14ac:dyDescent="0.75">
      <c r="A381" s="34" t="s">
        <v>15</v>
      </c>
      <c r="B381" s="35"/>
      <c r="C381" s="35"/>
      <c r="D381" s="35"/>
      <c r="E381" s="35"/>
      <c r="F381" s="35"/>
      <c r="G381" s="36"/>
      <c r="H381" s="1"/>
      <c r="I381" s="1"/>
      <c r="J381" s="1"/>
    </row>
    <row r="382" spans="1:10" x14ac:dyDescent="0.75">
      <c r="A382" s="21" t="s">
        <v>32</v>
      </c>
      <c r="B382" s="22"/>
      <c r="C382" s="22"/>
      <c r="D382" s="23" t="s">
        <v>33</v>
      </c>
      <c r="E382" s="22"/>
      <c r="F382" s="22"/>
      <c r="G382" s="24"/>
      <c r="H382" s="1"/>
      <c r="I382" s="1"/>
      <c r="J382" s="1"/>
    </row>
    <row r="383" spans="1:10" x14ac:dyDescent="0.75">
      <c r="A383" s="37" t="s">
        <v>222</v>
      </c>
      <c r="B383" s="37"/>
      <c r="C383" s="37"/>
      <c r="D383" s="37"/>
      <c r="E383" s="37"/>
      <c r="F383" s="37"/>
      <c r="G383" s="37"/>
      <c r="H383" s="37"/>
      <c r="I383" s="1"/>
      <c r="J383" s="1"/>
    </row>
    <row r="384" spans="1:10" x14ac:dyDescent="0.75">
      <c r="A384" s="55" t="s">
        <v>0</v>
      </c>
      <c r="B384" s="55"/>
      <c r="C384" s="55"/>
      <c r="D384" s="55"/>
      <c r="E384" s="55"/>
      <c r="F384" s="55"/>
      <c r="G384" s="55"/>
      <c r="H384" s="55"/>
      <c r="I384" s="1"/>
      <c r="J384" s="1"/>
    </row>
    <row r="385" spans="1:10" x14ac:dyDescent="0.75">
      <c r="A385" s="55" t="s">
        <v>1</v>
      </c>
      <c r="B385" s="55"/>
      <c r="C385" s="55"/>
      <c r="D385" s="55"/>
      <c r="E385" s="55"/>
      <c r="F385" s="55"/>
      <c r="G385" s="55"/>
      <c r="H385" s="55"/>
      <c r="I385" s="1"/>
      <c r="J385" s="1"/>
    </row>
    <row r="386" spans="1:10" x14ac:dyDescent="0.75">
      <c r="A386" s="38" t="s">
        <v>35</v>
      </c>
      <c r="B386" s="39"/>
      <c r="C386" s="39"/>
      <c r="D386" s="39"/>
      <c r="E386" s="39"/>
      <c r="F386" s="39"/>
      <c r="G386" s="40"/>
      <c r="H386" s="1"/>
      <c r="I386" s="1"/>
      <c r="J386" s="1"/>
    </row>
    <row r="387" spans="1:10" ht="21.5" x14ac:dyDescent="0.75">
      <c r="A387" s="2" t="s">
        <v>3</v>
      </c>
      <c r="B387" s="3" t="s">
        <v>4</v>
      </c>
      <c r="C387" s="4"/>
      <c r="D387" s="5" t="s">
        <v>5</v>
      </c>
      <c r="E387" s="3" t="s">
        <v>6</v>
      </c>
      <c r="F387" s="3" t="s">
        <v>7</v>
      </c>
      <c r="G387" s="6" t="s">
        <v>8</v>
      </c>
      <c r="H387" s="1"/>
      <c r="I387" s="1"/>
      <c r="J387" s="1"/>
    </row>
    <row r="388" spans="1:10" x14ac:dyDescent="0.75">
      <c r="A388" s="10">
        <v>43598</v>
      </c>
      <c r="B388" s="11"/>
      <c r="C388" s="56" t="s">
        <v>19</v>
      </c>
      <c r="D388" s="57"/>
      <c r="E388" s="11"/>
      <c r="F388" s="11"/>
      <c r="G388" s="12">
        <v>79411.56</v>
      </c>
      <c r="H388" s="1"/>
      <c r="I388" s="1"/>
      <c r="J388" s="1"/>
    </row>
    <row r="389" spans="1:10" x14ac:dyDescent="0.75">
      <c r="A389" s="13">
        <v>43598</v>
      </c>
      <c r="B389" s="13">
        <v>43598</v>
      </c>
      <c r="C389" s="58" t="s">
        <v>223</v>
      </c>
      <c r="D389" s="59"/>
      <c r="E389" s="14">
        <v>1776</v>
      </c>
      <c r="F389" s="15" t="s">
        <v>21</v>
      </c>
      <c r="G389" s="14">
        <v>77635.56</v>
      </c>
      <c r="H389" s="1"/>
      <c r="I389" s="1"/>
      <c r="J389" s="1"/>
    </row>
    <row r="390" spans="1:10" x14ac:dyDescent="0.75">
      <c r="A390" s="16">
        <v>43598</v>
      </c>
      <c r="B390" s="16">
        <v>43598</v>
      </c>
      <c r="C390" s="53" t="s">
        <v>224</v>
      </c>
      <c r="D390" s="54"/>
      <c r="E390" s="17">
        <v>5061</v>
      </c>
      <c r="F390" s="18" t="s">
        <v>21</v>
      </c>
      <c r="G390" s="17">
        <v>72574.559999999998</v>
      </c>
      <c r="H390" s="1"/>
      <c r="I390" s="1"/>
      <c r="J390" s="1"/>
    </row>
    <row r="391" spans="1:10" x14ac:dyDescent="0.75">
      <c r="A391" s="16">
        <v>43598</v>
      </c>
      <c r="B391" s="16">
        <v>43598</v>
      </c>
      <c r="C391" s="53" t="s">
        <v>225</v>
      </c>
      <c r="D391" s="54"/>
      <c r="E391" s="17">
        <v>6547.02</v>
      </c>
      <c r="F391" s="18" t="s">
        <v>21</v>
      </c>
      <c r="G391" s="17">
        <v>66027.539999999994</v>
      </c>
      <c r="H391" s="1"/>
      <c r="I391" s="1"/>
      <c r="J391" s="1"/>
    </row>
    <row r="392" spans="1:10" x14ac:dyDescent="0.75">
      <c r="A392" s="16">
        <v>43598</v>
      </c>
      <c r="B392" s="16">
        <v>43598</v>
      </c>
      <c r="C392" s="53" t="s">
        <v>226</v>
      </c>
      <c r="D392" s="54"/>
      <c r="E392" s="17">
        <v>9846.67</v>
      </c>
      <c r="F392" s="18" t="s">
        <v>21</v>
      </c>
      <c r="G392" s="17">
        <v>56180.87</v>
      </c>
      <c r="H392" s="1"/>
      <c r="I392" s="1"/>
      <c r="J392" s="1"/>
    </row>
    <row r="393" spans="1:10" x14ac:dyDescent="0.75">
      <c r="A393" s="16">
        <v>43599</v>
      </c>
      <c r="B393" s="16">
        <v>43599</v>
      </c>
      <c r="C393" s="53" t="s">
        <v>28</v>
      </c>
      <c r="D393" s="54"/>
      <c r="E393" s="18" t="s">
        <v>21</v>
      </c>
      <c r="F393" s="17">
        <v>98883.09</v>
      </c>
      <c r="G393" s="17">
        <v>155063.96</v>
      </c>
      <c r="H393" s="1"/>
      <c r="I393" s="1"/>
      <c r="J393" s="1"/>
    </row>
    <row r="394" spans="1:10" x14ac:dyDescent="0.75">
      <c r="A394" s="16">
        <v>43599</v>
      </c>
      <c r="B394" s="16">
        <v>43599</v>
      </c>
      <c r="C394" s="53" t="s">
        <v>227</v>
      </c>
      <c r="D394" s="54"/>
      <c r="E394" s="19">
        <v>239.44</v>
      </c>
      <c r="F394" s="18" t="s">
        <v>21</v>
      </c>
      <c r="G394" s="17">
        <v>154824.51999999999</v>
      </c>
      <c r="H394" s="1"/>
      <c r="I394" s="1"/>
      <c r="J394" s="1"/>
    </row>
    <row r="395" spans="1:10" x14ac:dyDescent="0.75">
      <c r="A395" s="16">
        <v>43599</v>
      </c>
      <c r="B395" s="16">
        <v>43599</v>
      </c>
      <c r="C395" s="53" t="s">
        <v>228</v>
      </c>
      <c r="D395" s="54"/>
      <c r="E395" s="19">
        <v>416.25</v>
      </c>
      <c r="F395" s="18" t="s">
        <v>21</v>
      </c>
      <c r="G395" s="17">
        <v>154408.26999999999</v>
      </c>
      <c r="H395" s="1"/>
      <c r="I395" s="1"/>
      <c r="J395" s="1"/>
    </row>
    <row r="396" spans="1:10" x14ac:dyDescent="0.75">
      <c r="A396" s="16">
        <v>43599</v>
      </c>
      <c r="B396" s="16">
        <v>43599</v>
      </c>
      <c r="C396" s="53" t="s">
        <v>229</v>
      </c>
      <c r="D396" s="54"/>
      <c r="E396" s="19">
        <v>525.47</v>
      </c>
      <c r="F396" s="18" t="s">
        <v>21</v>
      </c>
      <c r="G396" s="17">
        <v>153882.79999999999</v>
      </c>
      <c r="H396" s="1"/>
      <c r="I396" s="1"/>
      <c r="J396" s="1"/>
    </row>
    <row r="397" spans="1:10" x14ac:dyDescent="0.75">
      <c r="A397" s="16">
        <v>43599</v>
      </c>
      <c r="B397" s="16">
        <v>43599</v>
      </c>
      <c r="C397" s="53" t="s">
        <v>230</v>
      </c>
      <c r="D397" s="54"/>
      <c r="E397" s="17">
        <v>1200</v>
      </c>
      <c r="F397" s="18" t="s">
        <v>21</v>
      </c>
      <c r="G397" s="17">
        <v>152682.79999999999</v>
      </c>
      <c r="H397" s="1"/>
      <c r="I397" s="1"/>
      <c r="J397" s="1"/>
    </row>
    <row r="398" spans="1:10" x14ac:dyDescent="0.75">
      <c r="A398" s="16">
        <v>43599</v>
      </c>
      <c r="B398" s="16">
        <v>43599</v>
      </c>
      <c r="C398" s="53" t="s">
        <v>231</v>
      </c>
      <c r="D398" s="54"/>
      <c r="E398" s="17">
        <v>6111.1</v>
      </c>
      <c r="F398" s="18" t="s">
        <v>21</v>
      </c>
      <c r="G398" s="17">
        <v>146571.70000000001</v>
      </c>
      <c r="H398" s="1"/>
      <c r="I398" s="1"/>
      <c r="J398" s="1"/>
    </row>
    <row r="399" spans="1:10" x14ac:dyDescent="0.75">
      <c r="A399" s="16">
        <v>43599</v>
      </c>
      <c r="B399" s="16">
        <v>43599</v>
      </c>
      <c r="C399" s="53" t="s">
        <v>232</v>
      </c>
      <c r="D399" s="54"/>
      <c r="E399" s="17">
        <v>17203.419999999998</v>
      </c>
      <c r="F399" s="18" t="s">
        <v>21</v>
      </c>
      <c r="G399" s="17">
        <v>129368.28</v>
      </c>
      <c r="H399" s="1"/>
      <c r="I399" s="1"/>
      <c r="J399" s="1"/>
    </row>
    <row r="400" spans="1:10" x14ac:dyDescent="0.75">
      <c r="A400" s="16">
        <v>43600</v>
      </c>
      <c r="B400" s="16">
        <v>43600</v>
      </c>
      <c r="C400" s="53" t="s">
        <v>28</v>
      </c>
      <c r="D400" s="54"/>
      <c r="E400" s="18" t="s">
        <v>21</v>
      </c>
      <c r="F400" s="17">
        <v>55541.75</v>
      </c>
      <c r="G400" s="17">
        <v>184910.03</v>
      </c>
      <c r="H400" s="1"/>
      <c r="I400" s="1"/>
      <c r="J400" s="1"/>
    </row>
    <row r="401" spans="1:10" x14ac:dyDescent="0.75">
      <c r="A401" s="20"/>
      <c r="B401" s="20"/>
      <c r="C401" s="8"/>
      <c r="D401" s="9"/>
      <c r="E401" s="20"/>
      <c r="F401" s="20"/>
      <c r="G401" s="20"/>
      <c r="H401" s="1"/>
      <c r="I401" s="1"/>
      <c r="J401" s="1"/>
    </row>
    <row r="402" spans="1:10" x14ac:dyDescent="0.75">
      <c r="A402" s="34" t="s">
        <v>15</v>
      </c>
      <c r="B402" s="35"/>
      <c r="C402" s="35"/>
      <c r="D402" s="35"/>
      <c r="E402" s="35"/>
      <c r="F402" s="35"/>
      <c r="G402" s="36"/>
      <c r="H402" s="1"/>
      <c r="I402" s="1"/>
      <c r="J402" s="1"/>
    </row>
    <row r="403" spans="1:10" x14ac:dyDescent="0.75">
      <c r="A403" s="21" t="s">
        <v>32</v>
      </c>
      <c r="B403" s="22"/>
      <c r="C403" s="22"/>
      <c r="D403" s="23" t="s">
        <v>33</v>
      </c>
      <c r="E403" s="22"/>
      <c r="F403" s="22"/>
      <c r="G403" s="24"/>
      <c r="H403" s="1"/>
      <c r="I403" s="1"/>
      <c r="J403" s="1"/>
    </row>
    <row r="404" spans="1:10" x14ac:dyDescent="0.75">
      <c r="A404" s="37" t="s">
        <v>233</v>
      </c>
      <c r="B404" s="37"/>
      <c r="C404" s="37"/>
      <c r="D404" s="37"/>
      <c r="E404" s="37"/>
      <c r="F404" s="37"/>
      <c r="G404" s="37"/>
      <c r="H404" s="37"/>
      <c r="I404" s="1"/>
      <c r="J404" s="1"/>
    </row>
    <row r="405" spans="1:10" x14ac:dyDescent="0.75">
      <c r="A405" s="55" t="s">
        <v>0</v>
      </c>
      <c r="B405" s="55"/>
      <c r="C405" s="55"/>
      <c r="D405" s="55"/>
      <c r="E405" s="55"/>
      <c r="F405" s="55"/>
      <c r="G405" s="55"/>
      <c r="H405" s="55"/>
      <c r="I405" s="1"/>
      <c r="J405" s="1"/>
    </row>
    <row r="406" spans="1:10" x14ac:dyDescent="0.75">
      <c r="A406" s="55" t="s">
        <v>1</v>
      </c>
      <c r="B406" s="55"/>
      <c r="C406" s="55"/>
      <c r="D406" s="55"/>
      <c r="E406" s="55"/>
      <c r="F406" s="55"/>
      <c r="G406" s="55"/>
      <c r="H406" s="55"/>
      <c r="I406" s="1"/>
      <c r="J406" s="1"/>
    </row>
    <row r="407" spans="1:10" x14ac:dyDescent="0.75">
      <c r="A407" s="38" t="s">
        <v>35</v>
      </c>
      <c r="B407" s="39"/>
      <c r="C407" s="39"/>
      <c r="D407" s="39"/>
      <c r="E407" s="39"/>
      <c r="F407" s="39"/>
      <c r="G407" s="40"/>
      <c r="H407" s="1"/>
      <c r="I407" s="1"/>
      <c r="J407" s="1"/>
    </row>
    <row r="408" spans="1:10" ht="21.5" x14ac:dyDescent="0.75">
      <c r="A408" s="2" t="s">
        <v>3</v>
      </c>
      <c r="B408" s="3" t="s">
        <v>4</v>
      </c>
      <c r="C408" s="4"/>
      <c r="D408" s="5" t="s">
        <v>5</v>
      </c>
      <c r="E408" s="3" t="s">
        <v>6</v>
      </c>
      <c r="F408" s="3" t="s">
        <v>7</v>
      </c>
      <c r="G408" s="6" t="s">
        <v>8</v>
      </c>
      <c r="H408" s="1"/>
      <c r="I408" s="1"/>
      <c r="J408" s="1"/>
    </row>
    <row r="409" spans="1:10" x14ac:dyDescent="0.75">
      <c r="A409" s="10">
        <v>43600</v>
      </c>
      <c r="B409" s="11"/>
      <c r="C409" s="56" t="s">
        <v>19</v>
      </c>
      <c r="D409" s="57"/>
      <c r="E409" s="11"/>
      <c r="F409" s="11"/>
      <c r="G409" s="12">
        <v>184910.03</v>
      </c>
      <c r="H409" s="1"/>
      <c r="I409" s="1"/>
      <c r="J409" s="1"/>
    </row>
    <row r="410" spans="1:10" x14ac:dyDescent="0.75">
      <c r="A410" s="13">
        <v>43600</v>
      </c>
      <c r="B410" s="13">
        <v>43600</v>
      </c>
      <c r="C410" s="58" t="s">
        <v>234</v>
      </c>
      <c r="D410" s="59"/>
      <c r="E410" s="25">
        <v>485</v>
      </c>
      <c r="F410" s="15" t="s">
        <v>21</v>
      </c>
      <c r="G410" s="14">
        <v>184425.03</v>
      </c>
      <c r="H410" s="1"/>
      <c r="I410" s="1"/>
      <c r="J410" s="1"/>
    </row>
    <row r="411" spans="1:10" x14ac:dyDescent="0.75">
      <c r="A411" s="16">
        <v>43600</v>
      </c>
      <c r="B411" s="16">
        <v>43600</v>
      </c>
      <c r="C411" s="53" t="s">
        <v>235</v>
      </c>
      <c r="D411" s="54"/>
      <c r="E411" s="17">
        <v>2156</v>
      </c>
      <c r="F411" s="18" t="s">
        <v>21</v>
      </c>
      <c r="G411" s="17">
        <v>182269.03</v>
      </c>
      <c r="H411" s="1"/>
      <c r="I411" s="1"/>
      <c r="J411" s="1"/>
    </row>
    <row r="412" spans="1:10" x14ac:dyDescent="0.75">
      <c r="A412" s="16">
        <v>43600</v>
      </c>
      <c r="B412" s="16">
        <v>43600</v>
      </c>
      <c r="C412" s="53" t="s">
        <v>236</v>
      </c>
      <c r="D412" s="54"/>
      <c r="E412" s="17">
        <v>3330</v>
      </c>
      <c r="F412" s="18" t="s">
        <v>21</v>
      </c>
      <c r="G412" s="17">
        <v>178939.03</v>
      </c>
      <c r="H412" s="1"/>
      <c r="I412" s="1"/>
      <c r="J412" s="1"/>
    </row>
    <row r="413" spans="1:10" x14ac:dyDescent="0.75">
      <c r="A413" s="16">
        <v>43600</v>
      </c>
      <c r="B413" s="16">
        <v>43600</v>
      </c>
      <c r="C413" s="53" t="s">
        <v>237</v>
      </c>
      <c r="D413" s="54"/>
      <c r="E413" s="17">
        <v>1000</v>
      </c>
      <c r="F413" s="18" t="s">
        <v>21</v>
      </c>
      <c r="G413" s="17">
        <v>177939.03</v>
      </c>
      <c r="H413" s="1"/>
      <c r="I413" s="1"/>
      <c r="J413" s="1"/>
    </row>
    <row r="414" spans="1:10" x14ac:dyDescent="0.75">
      <c r="A414" s="16">
        <v>43600</v>
      </c>
      <c r="B414" s="16">
        <v>43600</v>
      </c>
      <c r="C414" s="53" t="s">
        <v>238</v>
      </c>
      <c r="D414" s="54"/>
      <c r="E414" s="17">
        <v>1200</v>
      </c>
      <c r="F414" s="18" t="s">
        <v>21</v>
      </c>
      <c r="G414" s="17">
        <v>176739.03</v>
      </c>
      <c r="H414" s="1"/>
      <c r="I414" s="1"/>
      <c r="J414" s="1"/>
    </row>
    <row r="415" spans="1:10" x14ac:dyDescent="0.75">
      <c r="A415" s="16">
        <v>43600</v>
      </c>
      <c r="B415" s="16">
        <v>43600</v>
      </c>
      <c r="C415" s="53" t="s">
        <v>239</v>
      </c>
      <c r="D415" s="54"/>
      <c r="E415" s="17">
        <v>1305</v>
      </c>
      <c r="F415" s="18" t="s">
        <v>21</v>
      </c>
      <c r="G415" s="17">
        <v>175434.03</v>
      </c>
      <c r="H415" s="1"/>
      <c r="I415" s="1"/>
      <c r="J415" s="1"/>
    </row>
    <row r="416" spans="1:10" x14ac:dyDescent="0.75">
      <c r="A416" s="16">
        <v>43600</v>
      </c>
      <c r="B416" s="16">
        <v>43600</v>
      </c>
      <c r="C416" s="53" t="s">
        <v>240</v>
      </c>
      <c r="D416" s="54"/>
      <c r="E416" s="17">
        <v>2712.75</v>
      </c>
      <c r="F416" s="18" t="s">
        <v>21</v>
      </c>
      <c r="G416" s="17">
        <v>172721.28</v>
      </c>
      <c r="H416" s="1"/>
      <c r="I416" s="1"/>
      <c r="J416" s="1"/>
    </row>
    <row r="417" spans="1:10" x14ac:dyDescent="0.75">
      <c r="A417" s="16">
        <v>43600</v>
      </c>
      <c r="B417" s="16">
        <v>43600</v>
      </c>
      <c r="C417" s="53" t="s">
        <v>241</v>
      </c>
      <c r="D417" s="54"/>
      <c r="E417" s="17">
        <v>2789.2</v>
      </c>
      <c r="F417" s="18" t="s">
        <v>21</v>
      </c>
      <c r="G417" s="17">
        <v>169932.08</v>
      </c>
      <c r="H417" s="1"/>
      <c r="I417" s="1"/>
      <c r="J417" s="1"/>
    </row>
    <row r="418" spans="1:10" x14ac:dyDescent="0.75">
      <c r="A418" s="16">
        <v>43600</v>
      </c>
      <c r="B418" s="16">
        <v>43600</v>
      </c>
      <c r="C418" s="53" t="s">
        <v>242</v>
      </c>
      <c r="D418" s="54"/>
      <c r="E418" s="17">
        <v>2805.95</v>
      </c>
      <c r="F418" s="18" t="s">
        <v>21</v>
      </c>
      <c r="G418" s="17">
        <v>167126.13</v>
      </c>
      <c r="H418" s="1"/>
      <c r="I418" s="1"/>
      <c r="J418" s="1"/>
    </row>
    <row r="419" spans="1:10" x14ac:dyDescent="0.75">
      <c r="A419" s="16">
        <v>43600</v>
      </c>
      <c r="B419" s="16">
        <v>43600</v>
      </c>
      <c r="C419" s="53" t="s">
        <v>243</v>
      </c>
      <c r="D419" s="54"/>
      <c r="E419" s="17">
        <v>2811.28</v>
      </c>
      <c r="F419" s="18" t="s">
        <v>21</v>
      </c>
      <c r="G419" s="17">
        <v>164314.85</v>
      </c>
      <c r="H419" s="1"/>
      <c r="I419" s="1"/>
      <c r="J419" s="1"/>
    </row>
    <row r="420" spans="1:10" x14ac:dyDescent="0.75">
      <c r="A420" s="16">
        <v>43600</v>
      </c>
      <c r="B420" s="16">
        <v>43600</v>
      </c>
      <c r="C420" s="53" t="s">
        <v>244</v>
      </c>
      <c r="D420" s="54"/>
      <c r="E420" s="17">
        <v>2869.85</v>
      </c>
      <c r="F420" s="18" t="s">
        <v>21</v>
      </c>
      <c r="G420" s="17">
        <v>161445</v>
      </c>
      <c r="H420" s="1"/>
      <c r="I420" s="1"/>
      <c r="J420" s="1"/>
    </row>
    <row r="421" spans="1:10" x14ac:dyDescent="0.75">
      <c r="A421" s="16">
        <v>43600</v>
      </c>
      <c r="B421" s="16">
        <v>43600</v>
      </c>
      <c r="C421" s="53" t="s">
        <v>245</v>
      </c>
      <c r="D421" s="54"/>
      <c r="E421" s="17">
        <v>2883</v>
      </c>
      <c r="F421" s="18" t="s">
        <v>21</v>
      </c>
      <c r="G421" s="17">
        <v>158562</v>
      </c>
      <c r="H421" s="1"/>
      <c r="I421" s="1"/>
      <c r="J421" s="1"/>
    </row>
    <row r="422" spans="1:10" x14ac:dyDescent="0.75">
      <c r="A422" s="20"/>
      <c r="B422" s="20"/>
      <c r="C422" s="8"/>
      <c r="D422" s="9"/>
      <c r="E422" s="20"/>
      <c r="F422" s="20"/>
      <c r="G422" s="20"/>
      <c r="H422" s="1"/>
      <c r="I422" s="1"/>
      <c r="J422" s="1"/>
    </row>
    <row r="423" spans="1:10" x14ac:dyDescent="0.75">
      <c r="A423" s="34" t="s">
        <v>15</v>
      </c>
      <c r="B423" s="35"/>
      <c r="C423" s="35"/>
      <c r="D423" s="35"/>
      <c r="E423" s="35"/>
      <c r="F423" s="35"/>
      <c r="G423" s="36"/>
      <c r="H423" s="1"/>
      <c r="I423" s="1"/>
      <c r="J423" s="1"/>
    </row>
    <row r="424" spans="1:10" x14ac:dyDescent="0.75">
      <c r="A424" s="21" t="s">
        <v>32</v>
      </c>
      <c r="B424" s="22"/>
      <c r="C424" s="22"/>
      <c r="D424" s="23" t="s">
        <v>33</v>
      </c>
      <c r="E424" s="22"/>
      <c r="F424" s="22"/>
      <c r="G424" s="24"/>
      <c r="H424" s="1"/>
      <c r="I424" s="1"/>
      <c r="J424" s="1"/>
    </row>
    <row r="425" spans="1:10" x14ac:dyDescent="0.75">
      <c r="A425" s="37" t="s">
        <v>246</v>
      </c>
      <c r="B425" s="37"/>
      <c r="C425" s="37"/>
      <c r="D425" s="37"/>
      <c r="E425" s="37"/>
      <c r="F425" s="37"/>
      <c r="G425" s="37"/>
      <c r="H425" s="37"/>
      <c r="I425" s="1"/>
      <c r="J425" s="1"/>
    </row>
    <row r="426" spans="1:10" x14ac:dyDescent="0.75">
      <c r="A426" s="55" t="s">
        <v>0</v>
      </c>
      <c r="B426" s="55"/>
      <c r="C426" s="55"/>
      <c r="D426" s="55"/>
      <c r="E426" s="55"/>
      <c r="F426" s="55"/>
      <c r="G426" s="55"/>
      <c r="H426" s="55"/>
      <c r="I426" s="1"/>
      <c r="J426" s="1"/>
    </row>
    <row r="427" spans="1:10" x14ac:dyDescent="0.75">
      <c r="A427" s="55" t="s">
        <v>1</v>
      </c>
      <c r="B427" s="55"/>
      <c r="C427" s="55"/>
      <c r="D427" s="55"/>
      <c r="E427" s="55"/>
      <c r="F427" s="55"/>
      <c r="G427" s="55"/>
      <c r="H427" s="55"/>
      <c r="I427" s="1"/>
      <c r="J427" s="1"/>
    </row>
    <row r="428" spans="1:10" x14ac:dyDescent="0.75">
      <c r="A428" s="38" t="s">
        <v>35</v>
      </c>
      <c r="B428" s="39"/>
      <c r="C428" s="39"/>
      <c r="D428" s="39"/>
      <c r="E428" s="39"/>
      <c r="F428" s="39"/>
      <c r="G428" s="40"/>
      <c r="H428" s="1"/>
      <c r="I428" s="1"/>
      <c r="J428" s="1"/>
    </row>
    <row r="429" spans="1:10" ht="21.5" x14ac:dyDescent="0.75">
      <c r="A429" s="2" t="s">
        <v>3</v>
      </c>
      <c r="B429" s="3" t="s">
        <v>4</v>
      </c>
      <c r="C429" s="4"/>
      <c r="D429" s="5" t="s">
        <v>5</v>
      </c>
      <c r="E429" s="3" t="s">
        <v>6</v>
      </c>
      <c r="F429" s="3" t="s">
        <v>7</v>
      </c>
      <c r="G429" s="6" t="s">
        <v>8</v>
      </c>
      <c r="H429" s="1"/>
      <c r="I429" s="1"/>
      <c r="J429" s="1"/>
    </row>
    <row r="430" spans="1:10" x14ac:dyDescent="0.75">
      <c r="A430" s="10">
        <v>43600</v>
      </c>
      <c r="B430" s="11"/>
      <c r="C430" s="56" t="s">
        <v>19</v>
      </c>
      <c r="D430" s="57"/>
      <c r="E430" s="11"/>
      <c r="F430" s="11"/>
      <c r="G430" s="12">
        <v>158562</v>
      </c>
      <c r="H430" s="1"/>
      <c r="I430" s="1"/>
      <c r="J430" s="1"/>
    </row>
    <row r="431" spans="1:10" x14ac:dyDescent="0.75">
      <c r="A431" s="13">
        <v>43600</v>
      </c>
      <c r="B431" s="13">
        <v>43600</v>
      </c>
      <c r="C431" s="58" t="s">
        <v>247</v>
      </c>
      <c r="D431" s="59"/>
      <c r="E431" s="14">
        <v>2893.9</v>
      </c>
      <c r="F431" s="15" t="s">
        <v>21</v>
      </c>
      <c r="G431" s="14">
        <v>155668.1</v>
      </c>
      <c r="H431" s="1"/>
      <c r="I431" s="1"/>
      <c r="J431" s="1"/>
    </row>
    <row r="432" spans="1:10" x14ac:dyDescent="0.75">
      <c r="A432" s="16">
        <v>43600</v>
      </c>
      <c r="B432" s="16">
        <v>43600</v>
      </c>
      <c r="C432" s="53" t="s">
        <v>248</v>
      </c>
      <c r="D432" s="54"/>
      <c r="E432" s="17">
        <v>2910.32</v>
      </c>
      <c r="F432" s="18" t="s">
        <v>21</v>
      </c>
      <c r="G432" s="17">
        <v>152757.78</v>
      </c>
      <c r="H432" s="1"/>
      <c r="I432" s="1"/>
      <c r="J432" s="1"/>
    </row>
    <row r="433" spans="1:10" x14ac:dyDescent="0.75">
      <c r="A433" s="16">
        <v>43600</v>
      </c>
      <c r="B433" s="16">
        <v>43600</v>
      </c>
      <c r="C433" s="53" t="s">
        <v>249</v>
      </c>
      <c r="D433" s="54"/>
      <c r="E433" s="17">
        <v>2964.4</v>
      </c>
      <c r="F433" s="18" t="s">
        <v>21</v>
      </c>
      <c r="G433" s="17">
        <v>149793.38</v>
      </c>
      <c r="H433" s="1"/>
      <c r="I433" s="1"/>
      <c r="J433" s="1"/>
    </row>
    <row r="434" spans="1:10" x14ac:dyDescent="0.75">
      <c r="A434" s="16">
        <v>43600</v>
      </c>
      <c r="B434" s="16">
        <v>43600</v>
      </c>
      <c r="C434" s="53" t="s">
        <v>250</v>
      </c>
      <c r="D434" s="54"/>
      <c r="E434" s="17">
        <v>2971.5</v>
      </c>
      <c r="F434" s="18" t="s">
        <v>21</v>
      </c>
      <c r="G434" s="17">
        <v>146821.88</v>
      </c>
      <c r="H434" s="1"/>
      <c r="I434" s="1"/>
      <c r="J434" s="1"/>
    </row>
    <row r="435" spans="1:10" x14ac:dyDescent="0.75">
      <c r="A435" s="16">
        <v>43600</v>
      </c>
      <c r="B435" s="16">
        <v>43600</v>
      </c>
      <c r="C435" s="53" t="s">
        <v>251</v>
      </c>
      <c r="D435" s="54"/>
      <c r="E435" s="17">
        <v>2988.45</v>
      </c>
      <c r="F435" s="18" t="s">
        <v>21</v>
      </c>
      <c r="G435" s="17">
        <v>143833.43</v>
      </c>
      <c r="H435" s="1"/>
      <c r="I435" s="1"/>
      <c r="J435" s="1"/>
    </row>
    <row r="436" spans="1:10" x14ac:dyDescent="0.75">
      <c r="A436" s="16">
        <v>43601</v>
      </c>
      <c r="B436" s="16">
        <v>43601</v>
      </c>
      <c r="C436" s="53" t="s">
        <v>28</v>
      </c>
      <c r="D436" s="54"/>
      <c r="E436" s="18" t="s">
        <v>21</v>
      </c>
      <c r="F436" s="17">
        <v>43769.8</v>
      </c>
      <c r="G436" s="17">
        <v>187603.23</v>
      </c>
      <c r="H436" s="1"/>
      <c r="I436" s="1"/>
      <c r="J436" s="1"/>
    </row>
    <row r="437" spans="1:10" x14ac:dyDescent="0.75">
      <c r="A437" s="16">
        <v>43601</v>
      </c>
      <c r="B437" s="16">
        <v>43601</v>
      </c>
      <c r="C437" s="53" t="s">
        <v>252</v>
      </c>
      <c r="D437" s="54"/>
      <c r="E437" s="19">
        <v>552.9</v>
      </c>
      <c r="F437" s="18" t="s">
        <v>21</v>
      </c>
      <c r="G437" s="17">
        <v>187050.33</v>
      </c>
      <c r="H437" s="1"/>
      <c r="I437" s="1"/>
      <c r="J437" s="1"/>
    </row>
    <row r="438" spans="1:10" x14ac:dyDescent="0.75">
      <c r="A438" s="16">
        <v>43601</v>
      </c>
      <c r="B438" s="16">
        <v>43601</v>
      </c>
      <c r="C438" s="53" t="s">
        <v>253</v>
      </c>
      <c r="D438" s="54"/>
      <c r="E438" s="17">
        <v>1901.2</v>
      </c>
      <c r="F438" s="18" t="s">
        <v>21</v>
      </c>
      <c r="G438" s="17">
        <v>185149.13</v>
      </c>
      <c r="H438" s="1"/>
      <c r="I438" s="1"/>
      <c r="J438" s="1"/>
    </row>
    <row r="439" spans="1:10" x14ac:dyDescent="0.75">
      <c r="A439" s="16">
        <v>43601</v>
      </c>
      <c r="B439" s="16">
        <v>43601</v>
      </c>
      <c r="C439" s="53" t="s">
        <v>254</v>
      </c>
      <c r="D439" s="54"/>
      <c r="E439" s="17">
        <v>3477.45</v>
      </c>
      <c r="F439" s="18" t="s">
        <v>21</v>
      </c>
      <c r="G439" s="17">
        <v>181671.67999999999</v>
      </c>
      <c r="H439" s="1"/>
      <c r="I439" s="1"/>
      <c r="J439" s="1"/>
    </row>
    <row r="440" spans="1:10" x14ac:dyDescent="0.75">
      <c r="A440" s="16">
        <v>43601</v>
      </c>
      <c r="B440" s="16">
        <v>43601</v>
      </c>
      <c r="C440" s="53" t="s">
        <v>255</v>
      </c>
      <c r="D440" s="54"/>
      <c r="E440" s="17">
        <v>17205</v>
      </c>
      <c r="F440" s="18" t="s">
        <v>21</v>
      </c>
      <c r="G440" s="17">
        <v>164466.68</v>
      </c>
      <c r="H440" s="1"/>
      <c r="I440" s="1"/>
      <c r="J440" s="1"/>
    </row>
    <row r="441" spans="1:10" x14ac:dyDescent="0.75">
      <c r="A441" s="16">
        <v>43602</v>
      </c>
      <c r="B441" s="16">
        <v>43602</v>
      </c>
      <c r="C441" s="53" t="s">
        <v>28</v>
      </c>
      <c r="D441" s="54"/>
      <c r="E441" s="18" t="s">
        <v>21</v>
      </c>
      <c r="F441" s="17">
        <v>77663.42</v>
      </c>
      <c r="G441" s="17">
        <v>242130.1</v>
      </c>
      <c r="H441" s="1"/>
      <c r="I441" s="1"/>
      <c r="J441" s="1"/>
    </row>
    <row r="442" spans="1:10" x14ac:dyDescent="0.75">
      <c r="A442" s="16">
        <v>43602</v>
      </c>
      <c r="B442" s="16">
        <v>43602</v>
      </c>
      <c r="C442" s="53" t="s">
        <v>256</v>
      </c>
      <c r="D442" s="54"/>
      <c r="E442" s="19">
        <v>885</v>
      </c>
      <c r="F442" s="18" t="s">
        <v>21</v>
      </c>
      <c r="G442" s="17">
        <v>241245.1</v>
      </c>
      <c r="H442" s="1"/>
      <c r="I442" s="1"/>
      <c r="J442" s="1"/>
    </row>
    <row r="443" spans="1:10" x14ac:dyDescent="0.75">
      <c r="A443" s="20"/>
      <c r="B443" s="20"/>
      <c r="C443" s="8"/>
      <c r="D443" s="9"/>
      <c r="E443" s="20"/>
      <c r="F443" s="20"/>
      <c r="G443" s="20"/>
      <c r="H443" s="1"/>
      <c r="I443" s="1"/>
      <c r="J443" s="1"/>
    </row>
    <row r="444" spans="1:10" x14ac:dyDescent="0.75">
      <c r="A444" s="34" t="s">
        <v>15</v>
      </c>
      <c r="B444" s="35"/>
      <c r="C444" s="35"/>
      <c r="D444" s="35"/>
      <c r="E444" s="35"/>
      <c r="F444" s="35"/>
      <c r="G444" s="36"/>
      <c r="H444" s="1"/>
      <c r="I444" s="1"/>
      <c r="J444" s="1"/>
    </row>
    <row r="445" spans="1:10" x14ac:dyDescent="0.75">
      <c r="A445" s="21" t="s">
        <v>32</v>
      </c>
      <c r="B445" s="22"/>
      <c r="C445" s="22"/>
      <c r="D445" s="23" t="s">
        <v>33</v>
      </c>
      <c r="E445" s="22"/>
      <c r="F445" s="22"/>
      <c r="G445" s="24"/>
      <c r="H445" s="1"/>
      <c r="I445" s="1"/>
      <c r="J445" s="1"/>
    </row>
    <row r="446" spans="1:10" x14ac:dyDescent="0.75">
      <c r="A446" s="37" t="s">
        <v>257</v>
      </c>
      <c r="B446" s="37"/>
      <c r="C446" s="37"/>
      <c r="D446" s="37"/>
      <c r="E446" s="37"/>
      <c r="F446" s="37"/>
      <c r="G446" s="37"/>
      <c r="H446" s="37"/>
      <c r="I446" s="1"/>
      <c r="J446" s="1"/>
    </row>
    <row r="447" spans="1:10" x14ac:dyDescent="0.75">
      <c r="A447" s="55" t="s">
        <v>0</v>
      </c>
      <c r="B447" s="55"/>
      <c r="C447" s="55"/>
      <c r="D447" s="55"/>
      <c r="E447" s="55"/>
      <c r="F447" s="55"/>
      <c r="G447" s="55"/>
      <c r="H447" s="55"/>
      <c r="I447" s="1"/>
      <c r="J447" s="1"/>
    </row>
    <row r="448" spans="1:10" x14ac:dyDescent="0.75">
      <c r="A448" s="55" t="s">
        <v>1</v>
      </c>
      <c r="B448" s="55"/>
      <c r="C448" s="55"/>
      <c r="D448" s="55"/>
      <c r="E448" s="55"/>
      <c r="F448" s="55"/>
      <c r="G448" s="55"/>
      <c r="H448" s="55"/>
      <c r="I448" s="1"/>
      <c r="J448" s="1"/>
    </row>
    <row r="449" spans="1:10" x14ac:dyDescent="0.75">
      <c r="A449" s="38" t="s">
        <v>35</v>
      </c>
      <c r="B449" s="39"/>
      <c r="C449" s="39"/>
      <c r="D449" s="39"/>
      <c r="E449" s="39"/>
      <c r="F449" s="39"/>
      <c r="G449" s="40"/>
      <c r="H449" s="1"/>
      <c r="I449" s="1"/>
      <c r="J449" s="1"/>
    </row>
    <row r="450" spans="1:10" ht="21.5" x14ac:dyDescent="0.75">
      <c r="A450" s="2" t="s">
        <v>3</v>
      </c>
      <c r="B450" s="3" t="s">
        <v>4</v>
      </c>
      <c r="C450" s="4"/>
      <c r="D450" s="5" t="s">
        <v>5</v>
      </c>
      <c r="E450" s="3" t="s">
        <v>6</v>
      </c>
      <c r="F450" s="3" t="s">
        <v>7</v>
      </c>
      <c r="G450" s="6" t="s">
        <v>8</v>
      </c>
      <c r="H450" s="1"/>
      <c r="I450" s="1"/>
      <c r="J450" s="1"/>
    </row>
    <row r="451" spans="1:10" x14ac:dyDescent="0.75">
      <c r="A451" s="10">
        <v>43602</v>
      </c>
      <c r="B451" s="11"/>
      <c r="C451" s="56" t="s">
        <v>19</v>
      </c>
      <c r="D451" s="57"/>
      <c r="E451" s="11"/>
      <c r="F451" s="11"/>
      <c r="G451" s="12">
        <v>241245.1</v>
      </c>
      <c r="H451" s="1"/>
      <c r="I451" s="1"/>
      <c r="J451" s="1"/>
    </row>
    <row r="452" spans="1:10" x14ac:dyDescent="0.75">
      <c r="A452" s="13">
        <v>43602</v>
      </c>
      <c r="B452" s="13">
        <v>43602</v>
      </c>
      <c r="C452" s="58" t="s">
        <v>258</v>
      </c>
      <c r="D452" s="59"/>
      <c r="E452" s="14">
        <v>1857.55</v>
      </c>
      <c r="F452" s="15" t="s">
        <v>21</v>
      </c>
      <c r="G452" s="14">
        <v>239387.55</v>
      </c>
      <c r="H452" s="1"/>
      <c r="I452" s="1"/>
      <c r="J452" s="1"/>
    </row>
    <row r="453" spans="1:10" x14ac:dyDescent="0.75">
      <c r="A453" s="16">
        <v>43602</v>
      </c>
      <c r="B453" s="16">
        <v>43602</v>
      </c>
      <c r="C453" s="53" t="s">
        <v>259</v>
      </c>
      <c r="D453" s="54"/>
      <c r="E453" s="17">
        <v>1998.54</v>
      </c>
      <c r="F453" s="18" t="s">
        <v>21</v>
      </c>
      <c r="G453" s="17">
        <v>237389.01</v>
      </c>
      <c r="H453" s="1"/>
      <c r="I453" s="1"/>
      <c r="J453" s="1"/>
    </row>
    <row r="454" spans="1:10" x14ac:dyDescent="0.75">
      <c r="A454" s="16">
        <v>43602</v>
      </c>
      <c r="B454" s="16">
        <v>43602</v>
      </c>
      <c r="C454" s="53" t="s">
        <v>260</v>
      </c>
      <c r="D454" s="54"/>
      <c r="E454" s="17">
        <v>4054.6</v>
      </c>
      <c r="F454" s="18" t="s">
        <v>21</v>
      </c>
      <c r="G454" s="17">
        <v>233334.41</v>
      </c>
      <c r="H454" s="1"/>
      <c r="I454" s="1"/>
      <c r="J454" s="1"/>
    </row>
    <row r="455" spans="1:10" x14ac:dyDescent="0.75">
      <c r="A455" s="16">
        <v>43602</v>
      </c>
      <c r="B455" s="16">
        <v>43602</v>
      </c>
      <c r="C455" s="53" t="s">
        <v>261</v>
      </c>
      <c r="D455" s="54"/>
      <c r="E455" s="17">
        <v>7574.73</v>
      </c>
      <c r="F455" s="18" t="s">
        <v>21</v>
      </c>
      <c r="G455" s="17">
        <v>225759.68</v>
      </c>
      <c r="H455" s="1"/>
      <c r="I455" s="1"/>
      <c r="J455" s="1"/>
    </row>
    <row r="456" spans="1:10" x14ac:dyDescent="0.75">
      <c r="A456" s="16">
        <v>43605</v>
      </c>
      <c r="B456" s="16">
        <v>43605</v>
      </c>
      <c r="C456" s="53" t="s">
        <v>28</v>
      </c>
      <c r="D456" s="54"/>
      <c r="E456" s="18" t="s">
        <v>21</v>
      </c>
      <c r="F456" s="17">
        <v>92155.07</v>
      </c>
      <c r="G456" s="17">
        <v>317914.75</v>
      </c>
      <c r="H456" s="1"/>
      <c r="I456" s="1"/>
      <c r="J456" s="1"/>
    </row>
    <row r="457" spans="1:10" x14ac:dyDescent="0.75">
      <c r="A457" s="16">
        <v>43605</v>
      </c>
      <c r="B457" s="16">
        <v>43605</v>
      </c>
      <c r="C457" s="53" t="s">
        <v>262</v>
      </c>
      <c r="D457" s="54"/>
      <c r="E457" s="17">
        <v>1168.95</v>
      </c>
      <c r="F457" s="18" t="s">
        <v>21</v>
      </c>
      <c r="G457" s="17">
        <v>316745.8</v>
      </c>
      <c r="H457" s="1"/>
      <c r="I457" s="1"/>
      <c r="J457" s="1"/>
    </row>
    <row r="458" spans="1:10" x14ac:dyDescent="0.75">
      <c r="A458" s="16">
        <v>43605</v>
      </c>
      <c r="B458" s="16">
        <v>43605</v>
      </c>
      <c r="C458" s="53" t="s">
        <v>263</v>
      </c>
      <c r="D458" s="54"/>
      <c r="E458" s="17">
        <v>5758</v>
      </c>
      <c r="F458" s="18" t="s">
        <v>21</v>
      </c>
      <c r="G458" s="17">
        <v>310987.8</v>
      </c>
      <c r="H458" s="1"/>
      <c r="I458" s="1"/>
      <c r="J458" s="1"/>
    </row>
    <row r="459" spans="1:10" x14ac:dyDescent="0.75">
      <c r="A459" s="16">
        <v>43605</v>
      </c>
      <c r="B459" s="16">
        <v>43605</v>
      </c>
      <c r="C459" s="53" t="s">
        <v>264</v>
      </c>
      <c r="D459" s="54"/>
      <c r="E459" s="17">
        <v>7995.71</v>
      </c>
      <c r="F459" s="18" t="s">
        <v>21</v>
      </c>
      <c r="G459" s="17">
        <v>302992.09000000003</v>
      </c>
      <c r="H459" s="1"/>
      <c r="I459" s="1"/>
      <c r="J459" s="1"/>
    </row>
    <row r="460" spans="1:10" x14ac:dyDescent="0.75">
      <c r="A460" s="16">
        <v>43605</v>
      </c>
      <c r="B460" s="16">
        <v>43605</v>
      </c>
      <c r="C460" s="53" t="s">
        <v>265</v>
      </c>
      <c r="D460" s="54"/>
      <c r="E460" s="17">
        <v>12175.39</v>
      </c>
      <c r="F460" s="18" t="s">
        <v>21</v>
      </c>
      <c r="G460" s="17">
        <v>290816.7</v>
      </c>
      <c r="H460" s="1"/>
      <c r="I460" s="1"/>
      <c r="J460" s="1"/>
    </row>
    <row r="461" spans="1:10" x14ac:dyDescent="0.75">
      <c r="A461" s="16">
        <v>43605</v>
      </c>
      <c r="B461" s="16">
        <v>43605</v>
      </c>
      <c r="C461" s="53" t="s">
        <v>266</v>
      </c>
      <c r="D461" s="54"/>
      <c r="E461" s="17">
        <v>14553.01</v>
      </c>
      <c r="F461" s="18" t="s">
        <v>21</v>
      </c>
      <c r="G461" s="17">
        <v>276263.69</v>
      </c>
      <c r="H461" s="1"/>
      <c r="I461" s="1"/>
      <c r="J461" s="1"/>
    </row>
    <row r="462" spans="1:10" x14ac:dyDescent="0.75">
      <c r="A462" s="16">
        <v>43605</v>
      </c>
      <c r="B462" s="16">
        <v>43605</v>
      </c>
      <c r="C462" s="53" t="s">
        <v>267</v>
      </c>
      <c r="D462" s="54"/>
      <c r="E462" s="17">
        <v>14553.01</v>
      </c>
      <c r="F462" s="18" t="s">
        <v>21</v>
      </c>
      <c r="G462" s="17">
        <v>261710.68</v>
      </c>
      <c r="H462" s="1"/>
      <c r="I462" s="1"/>
      <c r="J462" s="1"/>
    </row>
    <row r="463" spans="1:10" x14ac:dyDescent="0.75">
      <c r="A463" s="16">
        <v>43606</v>
      </c>
      <c r="B463" s="16">
        <v>43606</v>
      </c>
      <c r="C463" s="53" t="s">
        <v>28</v>
      </c>
      <c r="D463" s="54"/>
      <c r="E463" s="18" t="s">
        <v>21</v>
      </c>
      <c r="F463" s="17">
        <v>33816.04</v>
      </c>
      <c r="G463" s="17">
        <v>295526.71999999997</v>
      </c>
      <c r="H463" s="1"/>
      <c r="I463" s="1"/>
      <c r="J463" s="1"/>
    </row>
    <row r="464" spans="1:10" x14ac:dyDescent="0.75">
      <c r="A464" s="20"/>
      <c r="B464" s="20"/>
      <c r="C464" s="8"/>
      <c r="D464" s="9"/>
      <c r="E464" s="20"/>
      <c r="F464" s="20"/>
      <c r="G464" s="20"/>
      <c r="H464" s="1"/>
      <c r="I464" s="1"/>
      <c r="J464" s="1"/>
    </row>
    <row r="465" spans="1:10" x14ac:dyDescent="0.75">
      <c r="A465" s="34" t="s">
        <v>15</v>
      </c>
      <c r="B465" s="35"/>
      <c r="C465" s="35"/>
      <c r="D465" s="35"/>
      <c r="E465" s="35"/>
      <c r="F465" s="35"/>
      <c r="G465" s="36"/>
      <c r="H465" s="1"/>
      <c r="I465" s="1"/>
      <c r="J465" s="1"/>
    </row>
    <row r="466" spans="1:10" x14ac:dyDescent="0.75">
      <c r="A466" s="21" t="s">
        <v>32</v>
      </c>
      <c r="B466" s="22"/>
      <c r="C466" s="22"/>
      <c r="D466" s="23" t="s">
        <v>33</v>
      </c>
      <c r="E466" s="22"/>
      <c r="F466" s="22"/>
      <c r="G466" s="24"/>
      <c r="H466" s="1"/>
      <c r="I466" s="1"/>
      <c r="J466" s="1"/>
    </row>
    <row r="467" spans="1:10" x14ac:dyDescent="0.75">
      <c r="A467" s="37" t="s">
        <v>268</v>
      </c>
      <c r="B467" s="37"/>
      <c r="C467" s="37"/>
      <c r="D467" s="37"/>
      <c r="E467" s="37"/>
      <c r="F467" s="37"/>
      <c r="G467" s="37"/>
      <c r="H467" s="37"/>
      <c r="I467" s="1"/>
      <c r="J467" s="1"/>
    </row>
    <row r="468" spans="1:10" x14ac:dyDescent="0.75">
      <c r="A468" s="55" t="s">
        <v>0</v>
      </c>
      <c r="B468" s="55"/>
      <c r="C468" s="55"/>
      <c r="D468" s="55"/>
      <c r="E468" s="55"/>
      <c r="F468" s="55"/>
      <c r="G468" s="55"/>
      <c r="H468" s="55"/>
      <c r="I468" s="1"/>
      <c r="J468" s="1"/>
    </row>
    <row r="469" spans="1:10" x14ac:dyDescent="0.75">
      <c r="A469" s="55" t="s">
        <v>1</v>
      </c>
      <c r="B469" s="55"/>
      <c r="C469" s="55"/>
      <c r="D469" s="55"/>
      <c r="E469" s="55"/>
      <c r="F469" s="55"/>
      <c r="G469" s="55"/>
      <c r="H469" s="55"/>
      <c r="I469" s="1"/>
      <c r="J469" s="1"/>
    </row>
    <row r="470" spans="1:10" x14ac:dyDescent="0.75">
      <c r="A470" s="38" t="s">
        <v>35</v>
      </c>
      <c r="B470" s="39"/>
      <c r="C470" s="39"/>
      <c r="D470" s="39"/>
      <c r="E470" s="39"/>
      <c r="F470" s="39"/>
      <c r="G470" s="40"/>
      <c r="H470" s="1"/>
      <c r="I470" s="1"/>
      <c r="J470" s="1"/>
    </row>
    <row r="471" spans="1:10" ht="21.5" x14ac:dyDescent="0.75">
      <c r="A471" s="2" t="s">
        <v>3</v>
      </c>
      <c r="B471" s="3" t="s">
        <v>4</v>
      </c>
      <c r="C471" s="4"/>
      <c r="D471" s="5" t="s">
        <v>5</v>
      </c>
      <c r="E471" s="3" t="s">
        <v>6</v>
      </c>
      <c r="F471" s="3" t="s">
        <v>7</v>
      </c>
      <c r="G471" s="6" t="s">
        <v>8</v>
      </c>
      <c r="H471" s="1"/>
      <c r="I471" s="1"/>
      <c r="J471" s="1"/>
    </row>
    <row r="472" spans="1:10" x14ac:dyDescent="0.75">
      <c r="A472" s="10">
        <v>43606</v>
      </c>
      <c r="B472" s="11"/>
      <c r="C472" s="56" t="s">
        <v>19</v>
      </c>
      <c r="D472" s="57"/>
      <c r="E472" s="11"/>
      <c r="F472" s="11"/>
      <c r="G472" s="12">
        <v>295526.71999999997</v>
      </c>
      <c r="H472" s="1"/>
      <c r="I472" s="1"/>
      <c r="J472" s="1"/>
    </row>
    <row r="473" spans="1:10" x14ac:dyDescent="0.75">
      <c r="A473" s="13">
        <v>43606</v>
      </c>
      <c r="B473" s="13">
        <v>43606</v>
      </c>
      <c r="C473" s="58" t="s">
        <v>269</v>
      </c>
      <c r="D473" s="59"/>
      <c r="E473" s="25">
        <v>862.31</v>
      </c>
      <c r="F473" s="15" t="s">
        <v>21</v>
      </c>
      <c r="G473" s="14">
        <v>294664.40999999997</v>
      </c>
      <c r="H473" s="1"/>
      <c r="I473" s="1"/>
      <c r="J473" s="1"/>
    </row>
    <row r="474" spans="1:10" x14ac:dyDescent="0.75">
      <c r="A474" s="16">
        <v>43606</v>
      </c>
      <c r="B474" s="16">
        <v>43606</v>
      </c>
      <c r="C474" s="53" t="s">
        <v>270</v>
      </c>
      <c r="D474" s="54"/>
      <c r="E474" s="19">
        <v>960</v>
      </c>
      <c r="F474" s="18" t="s">
        <v>21</v>
      </c>
      <c r="G474" s="17">
        <v>293704.40999999997</v>
      </c>
      <c r="H474" s="1"/>
      <c r="I474" s="1"/>
      <c r="J474" s="1"/>
    </row>
    <row r="475" spans="1:10" x14ac:dyDescent="0.75">
      <c r="A475" s="16">
        <v>43606</v>
      </c>
      <c r="B475" s="16">
        <v>43606</v>
      </c>
      <c r="C475" s="53" t="s">
        <v>271</v>
      </c>
      <c r="D475" s="54"/>
      <c r="E475" s="17">
        <v>1350.68</v>
      </c>
      <c r="F475" s="18" t="s">
        <v>21</v>
      </c>
      <c r="G475" s="17">
        <v>292353.73</v>
      </c>
      <c r="H475" s="1"/>
      <c r="I475" s="1"/>
      <c r="J475" s="1"/>
    </row>
    <row r="476" spans="1:10" x14ac:dyDescent="0.75">
      <c r="A476" s="16">
        <v>43606</v>
      </c>
      <c r="B476" s="16">
        <v>43606</v>
      </c>
      <c r="C476" s="53" t="s">
        <v>272</v>
      </c>
      <c r="D476" s="54"/>
      <c r="E476" s="17">
        <v>1850</v>
      </c>
      <c r="F476" s="18" t="s">
        <v>21</v>
      </c>
      <c r="G476" s="17">
        <v>290503.73</v>
      </c>
      <c r="H476" s="1"/>
      <c r="I476" s="1"/>
      <c r="J476" s="1"/>
    </row>
    <row r="477" spans="1:10" x14ac:dyDescent="0.75">
      <c r="A477" s="16">
        <v>43606</v>
      </c>
      <c r="B477" s="16">
        <v>43606</v>
      </c>
      <c r="C477" s="53" t="s">
        <v>273</v>
      </c>
      <c r="D477" s="54"/>
      <c r="E477" s="17">
        <v>1993.35</v>
      </c>
      <c r="F477" s="18" t="s">
        <v>21</v>
      </c>
      <c r="G477" s="17">
        <v>288510.38</v>
      </c>
      <c r="H477" s="1"/>
      <c r="I477" s="1"/>
      <c r="J477" s="1"/>
    </row>
    <row r="478" spans="1:10" x14ac:dyDescent="0.75">
      <c r="A478" s="16">
        <v>43606</v>
      </c>
      <c r="B478" s="16">
        <v>43606</v>
      </c>
      <c r="C478" s="53" t="s">
        <v>274</v>
      </c>
      <c r="D478" s="54"/>
      <c r="E478" s="17">
        <v>2141.54</v>
      </c>
      <c r="F478" s="18" t="s">
        <v>21</v>
      </c>
      <c r="G478" s="17">
        <v>286368.84000000003</v>
      </c>
      <c r="H478" s="1"/>
      <c r="I478" s="1"/>
      <c r="J478" s="1"/>
    </row>
    <row r="479" spans="1:10" x14ac:dyDescent="0.75">
      <c r="A479" s="16">
        <v>43606</v>
      </c>
      <c r="B479" s="16">
        <v>43606</v>
      </c>
      <c r="C479" s="53" t="s">
        <v>275</v>
      </c>
      <c r="D479" s="54"/>
      <c r="E479" s="17">
        <v>3768.45</v>
      </c>
      <c r="F479" s="18" t="s">
        <v>21</v>
      </c>
      <c r="G479" s="17">
        <v>282600.39</v>
      </c>
      <c r="H479" s="1"/>
      <c r="I479" s="1"/>
      <c r="J479" s="1"/>
    </row>
    <row r="480" spans="1:10" x14ac:dyDescent="0.75">
      <c r="A480" s="16">
        <v>43606</v>
      </c>
      <c r="B480" s="16">
        <v>43606</v>
      </c>
      <c r="C480" s="53" t="s">
        <v>276</v>
      </c>
      <c r="D480" s="54"/>
      <c r="E480" s="17">
        <v>4282.6899999999996</v>
      </c>
      <c r="F480" s="18" t="s">
        <v>21</v>
      </c>
      <c r="G480" s="17">
        <v>278317.7</v>
      </c>
      <c r="H480" s="1"/>
      <c r="I480" s="1"/>
      <c r="J480" s="1"/>
    </row>
    <row r="481" spans="1:10" x14ac:dyDescent="0.75">
      <c r="A481" s="16">
        <v>43606</v>
      </c>
      <c r="B481" s="16">
        <v>43606</v>
      </c>
      <c r="C481" s="53" t="s">
        <v>277</v>
      </c>
      <c r="D481" s="54"/>
      <c r="E481" s="17">
        <v>4311</v>
      </c>
      <c r="F481" s="18" t="s">
        <v>21</v>
      </c>
      <c r="G481" s="17">
        <v>274006.7</v>
      </c>
      <c r="H481" s="1"/>
      <c r="I481" s="1"/>
      <c r="J481" s="1"/>
    </row>
    <row r="482" spans="1:10" x14ac:dyDescent="0.75">
      <c r="A482" s="16">
        <v>43606</v>
      </c>
      <c r="B482" s="16">
        <v>43606</v>
      </c>
      <c r="C482" s="53" t="s">
        <v>278</v>
      </c>
      <c r="D482" s="54"/>
      <c r="E482" s="17">
        <v>4564.87</v>
      </c>
      <c r="F482" s="18" t="s">
        <v>21</v>
      </c>
      <c r="G482" s="17">
        <v>269441.83</v>
      </c>
      <c r="H482" s="1"/>
      <c r="I482" s="1"/>
      <c r="J482" s="1"/>
    </row>
    <row r="483" spans="1:10" x14ac:dyDescent="0.75">
      <c r="A483" s="16">
        <v>43606</v>
      </c>
      <c r="B483" s="16">
        <v>43606</v>
      </c>
      <c r="C483" s="53" t="s">
        <v>279</v>
      </c>
      <c r="D483" s="54"/>
      <c r="E483" s="17">
        <v>5100.26</v>
      </c>
      <c r="F483" s="18" t="s">
        <v>21</v>
      </c>
      <c r="G483" s="17">
        <v>264341.57</v>
      </c>
      <c r="H483" s="1"/>
      <c r="I483" s="1"/>
      <c r="J483" s="1"/>
    </row>
    <row r="484" spans="1:10" x14ac:dyDescent="0.75">
      <c r="A484" s="16">
        <v>43606</v>
      </c>
      <c r="B484" s="16">
        <v>43606</v>
      </c>
      <c r="C484" s="53" t="s">
        <v>280</v>
      </c>
      <c r="D484" s="54"/>
      <c r="E484" s="17">
        <v>9315.8799999999992</v>
      </c>
      <c r="F484" s="18" t="s">
        <v>21</v>
      </c>
      <c r="G484" s="17">
        <v>255025.69</v>
      </c>
      <c r="H484" s="1"/>
      <c r="I484" s="1"/>
      <c r="J484" s="1"/>
    </row>
    <row r="485" spans="1:10" x14ac:dyDescent="0.75">
      <c r="A485" s="20"/>
      <c r="B485" s="20"/>
      <c r="C485" s="8"/>
      <c r="D485" s="9"/>
      <c r="E485" s="20"/>
      <c r="F485" s="20"/>
      <c r="G485" s="20"/>
      <c r="H485" s="1"/>
      <c r="I485" s="1"/>
      <c r="J485" s="1"/>
    </row>
    <row r="486" spans="1:10" x14ac:dyDescent="0.75">
      <c r="A486" s="34" t="s">
        <v>15</v>
      </c>
      <c r="B486" s="35"/>
      <c r="C486" s="35"/>
      <c r="D486" s="35"/>
      <c r="E486" s="35"/>
      <c r="F486" s="35"/>
      <c r="G486" s="36"/>
      <c r="H486" s="1"/>
      <c r="I486" s="1"/>
      <c r="J486" s="1"/>
    </row>
    <row r="487" spans="1:10" x14ac:dyDescent="0.75">
      <c r="A487" s="21" t="s">
        <v>32</v>
      </c>
      <c r="B487" s="22"/>
      <c r="C487" s="22"/>
      <c r="D487" s="23" t="s">
        <v>33</v>
      </c>
      <c r="E487" s="22"/>
      <c r="F487" s="22"/>
      <c r="G487" s="24"/>
      <c r="H487" s="1"/>
      <c r="I487" s="1"/>
      <c r="J487" s="1"/>
    </row>
    <row r="488" spans="1:10" x14ac:dyDescent="0.75">
      <c r="A488" s="37" t="s">
        <v>281</v>
      </c>
      <c r="B488" s="37"/>
      <c r="C488" s="37"/>
      <c r="D488" s="37"/>
      <c r="E488" s="37"/>
      <c r="F488" s="37"/>
      <c r="G488" s="37"/>
      <c r="H488" s="37"/>
      <c r="I488" s="1"/>
      <c r="J488" s="1"/>
    </row>
    <row r="489" spans="1:10" x14ac:dyDescent="0.75">
      <c r="A489" s="55" t="s">
        <v>0</v>
      </c>
      <c r="B489" s="55"/>
      <c r="C489" s="55"/>
      <c r="D489" s="55"/>
      <c r="E489" s="55"/>
      <c r="F489" s="55"/>
      <c r="G489" s="55"/>
      <c r="H489" s="55"/>
      <c r="I489" s="1"/>
      <c r="J489" s="1"/>
    </row>
    <row r="490" spans="1:10" x14ac:dyDescent="0.75">
      <c r="A490" s="55" t="s">
        <v>1</v>
      </c>
      <c r="B490" s="55"/>
      <c r="C490" s="55"/>
      <c r="D490" s="55"/>
      <c r="E490" s="55"/>
      <c r="F490" s="55"/>
      <c r="G490" s="55"/>
      <c r="H490" s="55"/>
      <c r="I490" s="1"/>
      <c r="J490" s="1"/>
    </row>
    <row r="491" spans="1:10" x14ac:dyDescent="0.75">
      <c r="A491" s="38" t="s">
        <v>35</v>
      </c>
      <c r="B491" s="39"/>
      <c r="C491" s="39"/>
      <c r="D491" s="39"/>
      <c r="E491" s="39"/>
      <c r="F491" s="39"/>
      <c r="G491" s="40"/>
      <c r="H491" s="1"/>
      <c r="I491" s="1"/>
      <c r="J491" s="1"/>
    </row>
    <row r="492" spans="1:10" ht="21.5" x14ac:dyDescent="0.75">
      <c r="A492" s="2" t="s">
        <v>3</v>
      </c>
      <c r="B492" s="3" t="s">
        <v>4</v>
      </c>
      <c r="C492" s="4"/>
      <c r="D492" s="5" t="s">
        <v>5</v>
      </c>
      <c r="E492" s="3" t="s">
        <v>6</v>
      </c>
      <c r="F492" s="3" t="s">
        <v>7</v>
      </c>
      <c r="G492" s="6" t="s">
        <v>8</v>
      </c>
      <c r="H492" s="1"/>
      <c r="I492" s="1"/>
      <c r="J492" s="1"/>
    </row>
    <row r="493" spans="1:10" x14ac:dyDescent="0.75">
      <c r="A493" s="10">
        <v>43606</v>
      </c>
      <c r="B493" s="11"/>
      <c r="C493" s="56" t="s">
        <v>19</v>
      </c>
      <c r="D493" s="57"/>
      <c r="E493" s="11"/>
      <c r="F493" s="11"/>
      <c r="G493" s="12">
        <v>255025.69</v>
      </c>
      <c r="H493" s="1"/>
      <c r="I493" s="1"/>
      <c r="J493" s="1"/>
    </row>
    <row r="494" spans="1:10" x14ac:dyDescent="0.75">
      <c r="A494" s="13">
        <v>43606</v>
      </c>
      <c r="B494" s="13">
        <v>43606</v>
      </c>
      <c r="C494" s="58" t="s">
        <v>282</v>
      </c>
      <c r="D494" s="59"/>
      <c r="E494" s="14">
        <v>52860.93</v>
      </c>
      <c r="F494" s="15" t="s">
        <v>21</v>
      </c>
      <c r="G494" s="14">
        <v>202164.76</v>
      </c>
      <c r="H494" s="1"/>
      <c r="I494" s="1"/>
      <c r="J494" s="1"/>
    </row>
    <row r="495" spans="1:10" x14ac:dyDescent="0.75">
      <c r="A495" s="16">
        <v>43607</v>
      </c>
      <c r="B495" s="16">
        <v>43607</v>
      </c>
      <c r="C495" s="53" t="s">
        <v>283</v>
      </c>
      <c r="D495" s="54"/>
      <c r="E495" s="19">
        <v>388</v>
      </c>
      <c r="F495" s="18" t="s">
        <v>21</v>
      </c>
      <c r="G495" s="17">
        <v>201776.76</v>
      </c>
      <c r="H495" s="1"/>
      <c r="I495" s="1"/>
      <c r="J495" s="1"/>
    </row>
    <row r="496" spans="1:10" x14ac:dyDescent="0.75">
      <c r="A496" s="16">
        <v>43607</v>
      </c>
      <c r="B496" s="16">
        <v>43607</v>
      </c>
      <c r="C496" s="53" t="s">
        <v>284</v>
      </c>
      <c r="D496" s="54"/>
      <c r="E496" s="19">
        <v>675.39</v>
      </c>
      <c r="F496" s="18" t="s">
        <v>21</v>
      </c>
      <c r="G496" s="17">
        <v>201101.37</v>
      </c>
      <c r="H496" s="1"/>
      <c r="I496" s="1"/>
      <c r="J496" s="1"/>
    </row>
    <row r="497" spans="1:10" x14ac:dyDescent="0.75">
      <c r="A497" s="16">
        <v>43607</v>
      </c>
      <c r="B497" s="16">
        <v>43607</v>
      </c>
      <c r="C497" s="53" t="s">
        <v>285</v>
      </c>
      <c r="D497" s="54"/>
      <c r="E497" s="19">
        <v>677.25</v>
      </c>
      <c r="F497" s="18" t="s">
        <v>21</v>
      </c>
      <c r="G497" s="17">
        <v>200424.12</v>
      </c>
      <c r="H497" s="1"/>
      <c r="I497" s="1"/>
      <c r="J497" s="1"/>
    </row>
    <row r="498" spans="1:10" x14ac:dyDescent="0.75">
      <c r="A498" s="16">
        <v>43607</v>
      </c>
      <c r="B498" s="16">
        <v>43607</v>
      </c>
      <c r="C498" s="53" t="s">
        <v>286</v>
      </c>
      <c r="D498" s="54"/>
      <c r="E498" s="17">
        <v>1755</v>
      </c>
      <c r="F498" s="18" t="s">
        <v>21</v>
      </c>
      <c r="G498" s="17">
        <v>198669.12</v>
      </c>
      <c r="H498" s="1"/>
      <c r="I498" s="1"/>
      <c r="J498" s="1"/>
    </row>
    <row r="499" spans="1:10" x14ac:dyDescent="0.75">
      <c r="A499" s="16">
        <v>43607</v>
      </c>
      <c r="B499" s="16">
        <v>43607</v>
      </c>
      <c r="C499" s="53" t="s">
        <v>287</v>
      </c>
      <c r="D499" s="54"/>
      <c r="E499" s="17">
        <v>4000</v>
      </c>
      <c r="F499" s="18" t="s">
        <v>21</v>
      </c>
      <c r="G499" s="17">
        <v>194669.12</v>
      </c>
      <c r="H499" s="1"/>
      <c r="I499" s="1"/>
      <c r="J499" s="1"/>
    </row>
    <row r="500" spans="1:10" x14ac:dyDescent="0.75">
      <c r="A500" s="16">
        <v>43607</v>
      </c>
      <c r="B500" s="16">
        <v>43607</v>
      </c>
      <c r="C500" s="53" t="s">
        <v>288</v>
      </c>
      <c r="D500" s="54"/>
      <c r="E500" s="17">
        <v>5305.12</v>
      </c>
      <c r="F500" s="18" t="s">
        <v>21</v>
      </c>
      <c r="G500" s="17">
        <v>189364</v>
      </c>
      <c r="H500" s="1"/>
      <c r="I500" s="1"/>
      <c r="J500" s="1"/>
    </row>
    <row r="501" spans="1:10" x14ac:dyDescent="0.75">
      <c r="A501" s="16">
        <v>43607</v>
      </c>
      <c r="B501" s="16">
        <v>43607</v>
      </c>
      <c r="C501" s="53" t="s">
        <v>289</v>
      </c>
      <c r="D501" s="54"/>
      <c r="E501" s="17">
        <v>1704</v>
      </c>
      <c r="F501" s="18" t="s">
        <v>21</v>
      </c>
      <c r="G501" s="17">
        <v>187660</v>
      </c>
      <c r="H501" s="1"/>
      <c r="I501" s="1"/>
      <c r="J501" s="1"/>
    </row>
    <row r="502" spans="1:10" x14ac:dyDescent="0.75">
      <c r="A502" s="16">
        <v>43608</v>
      </c>
      <c r="B502" s="16">
        <v>43608</v>
      </c>
      <c r="C502" s="53" t="s">
        <v>28</v>
      </c>
      <c r="D502" s="54"/>
      <c r="E502" s="18" t="s">
        <v>21</v>
      </c>
      <c r="F502" s="17">
        <v>32845.440000000002</v>
      </c>
      <c r="G502" s="17">
        <v>220505.44</v>
      </c>
      <c r="H502" s="1"/>
      <c r="I502" s="1"/>
      <c r="J502" s="1"/>
    </row>
    <row r="503" spans="1:10" x14ac:dyDescent="0.75">
      <c r="A503" s="16">
        <v>43608</v>
      </c>
      <c r="B503" s="16">
        <v>43608</v>
      </c>
      <c r="C503" s="53" t="s">
        <v>290</v>
      </c>
      <c r="D503" s="54"/>
      <c r="E503" s="19">
        <v>582.52</v>
      </c>
      <c r="F503" s="18" t="s">
        <v>21</v>
      </c>
      <c r="G503" s="17">
        <v>219922.92</v>
      </c>
      <c r="H503" s="1"/>
      <c r="I503" s="1"/>
      <c r="J503" s="1"/>
    </row>
    <row r="504" spans="1:10" x14ac:dyDescent="0.75">
      <c r="A504" s="16">
        <v>43608</v>
      </c>
      <c r="B504" s="16">
        <v>43608</v>
      </c>
      <c r="C504" s="53" t="s">
        <v>291</v>
      </c>
      <c r="D504" s="54"/>
      <c r="E504" s="19">
        <v>829.83</v>
      </c>
      <c r="F504" s="18" t="s">
        <v>21</v>
      </c>
      <c r="G504" s="17">
        <v>219093.09</v>
      </c>
      <c r="H504" s="1"/>
      <c r="I504" s="1"/>
      <c r="J504" s="1"/>
    </row>
    <row r="505" spans="1:10" x14ac:dyDescent="0.75">
      <c r="A505" s="16">
        <v>43608</v>
      </c>
      <c r="B505" s="16">
        <v>43608</v>
      </c>
      <c r="C505" s="53" t="s">
        <v>292</v>
      </c>
      <c r="D505" s="54"/>
      <c r="E505" s="17">
        <v>2095.1999999999998</v>
      </c>
      <c r="F505" s="18" t="s">
        <v>21</v>
      </c>
      <c r="G505" s="17">
        <v>216997.89</v>
      </c>
      <c r="H505" s="1"/>
      <c r="I505" s="1"/>
      <c r="J505" s="1"/>
    </row>
    <row r="506" spans="1:10" x14ac:dyDescent="0.75">
      <c r="A506" s="20"/>
      <c r="B506" s="20"/>
      <c r="C506" s="8"/>
      <c r="D506" s="9"/>
      <c r="E506" s="20"/>
      <c r="F506" s="20"/>
      <c r="G506" s="20"/>
      <c r="H506" s="1"/>
      <c r="I506" s="1"/>
      <c r="J506" s="1"/>
    </row>
    <row r="507" spans="1:10" x14ac:dyDescent="0.75">
      <c r="A507" s="34" t="s">
        <v>15</v>
      </c>
      <c r="B507" s="35"/>
      <c r="C507" s="35"/>
      <c r="D507" s="35"/>
      <c r="E507" s="35"/>
      <c r="F507" s="35"/>
      <c r="G507" s="36"/>
      <c r="H507" s="1"/>
      <c r="I507" s="1"/>
      <c r="J507" s="1"/>
    </row>
    <row r="508" spans="1:10" x14ac:dyDescent="0.75">
      <c r="A508" s="21" t="s">
        <v>32</v>
      </c>
      <c r="B508" s="22"/>
      <c r="C508" s="22"/>
      <c r="D508" s="23" t="s">
        <v>33</v>
      </c>
      <c r="E508" s="22"/>
      <c r="F508" s="22"/>
      <c r="G508" s="24"/>
      <c r="H508" s="1"/>
      <c r="I508" s="1"/>
      <c r="J508" s="1"/>
    </row>
    <row r="509" spans="1:10" x14ac:dyDescent="0.75">
      <c r="A509" s="37" t="s">
        <v>293</v>
      </c>
      <c r="B509" s="37"/>
      <c r="C509" s="37"/>
      <c r="D509" s="37"/>
      <c r="E509" s="37"/>
      <c r="F509" s="37"/>
      <c r="G509" s="37"/>
      <c r="H509" s="37"/>
      <c r="I509" s="1"/>
      <c r="J509" s="1"/>
    </row>
    <row r="510" spans="1:10" x14ac:dyDescent="0.75">
      <c r="A510" s="55" t="s">
        <v>0</v>
      </c>
      <c r="B510" s="55"/>
      <c r="C510" s="55"/>
      <c r="D510" s="55"/>
      <c r="E510" s="55"/>
      <c r="F510" s="55"/>
      <c r="G510" s="55"/>
      <c r="H510" s="55"/>
      <c r="I510" s="1"/>
      <c r="J510" s="1"/>
    </row>
    <row r="511" spans="1:10" x14ac:dyDescent="0.75">
      <c r="A511" s="55" t="s">
        <v>1</v>
      </c>
      <c r="B511" s="55"/>
      <c r="C511" s="55"/>
      <c r="D511" s="55"/>
      <c r="E511" s="55"/>
      <c r="F511" s="55"/>
      <c r="G511" s="55"/>
      <c r="H511" s="55"/>
      <c r="I511" s="1"/>
      <c r="J511" s="1"/>
    </row>
    <row r="512" spans="1:10" x14ac:dyDescent="0.75">
      <c r="A512" s="38" t="s">
        <v>35</v>
      </c>
      <c r="B512" s="39"/>
      <c r="C512" s="39"/>
      <c r="D512" s="39"/>
      <c r="E512" s="39"/>
      <c r="F512" s="39"/>
      <c r="G512" s="40"/>
      <c r="H512" s="1"/>
      <c r="I512" s="1"/>
      <c r="J512" s="1"/>
    </row>
    <row r="513" spans="1:10" ht="21.5" x14ac:dyDescent="0.75">
      <c r="A513" s="2" t="s">
        <v>3</v>
      </c>
      <c r="B513" s="3" t="s">
        <v>4</v>
      </c>
      <c r="C513" s="4"/>
      <c r="D513" s="5" t="s">
        <v>5</v>
      </c>
      <c r="E513" s="3" t="s">
        <v>6</v>
      </c>
      <c r="F513" s="3" t="s">
        <v>7</v>
      </c>
      <c r="G513" s="6" t="s">
        <v>8</v>
      </c>
      <c r="H513" s="1"/>
      <c r="I513" s="1"/>
      <c r="J513" s="1"/>
    </row>
    <row r="514" spans="1:10" x14ac:dyDescent="0.75">
      <c r="A514" s="10">
        <v>43608</v>
      </c>
      <c r="B514" s="11"/>
      <c r="C514" s="56" t="s">
        <v>19</v>
      </c>
      <c r="D514" s="57"/>
      <c r="E514" s="11"/>
      <c r="F514" s="11"/>
      <c r="G514" s="12">
        <v>216997.89</v>
      </c>
      <c r="H514" s="1"/>
      <c r="I514" s="1"/>
      <c r="J514" s="1"/>
    </row>
    <row r="515" spans="1:10" x14ac:dyDescent="0.75">
      <c r="A515" s="13">
        <v>43608</v>
      </c>
      <c r="B515" s="13">
        <v>43608</v>
      </c>
      <c r="C515" s="58" t="s">
        <v>294</v>
      </c>
      <c r="D515" s="59"/>
      <c r="E515" s="14">
        <v>2223.3200000000002</v>
      </c>
      <c r="F515" s="15" t="s">
        <v>21</v>
      </c>
      <c r="G515" s="14">
        <v>214774.57</v>
      </c>
      <c r="H515" s="1"/>
      <c r="I515" s="1"/>
      <c r="J515" s="1"/>
    </row>
    <row r="516" spans="1:10" x14ac:dyDescent="0.75">
      <c r="A516" s="16">
        <v>43608</v>
      </c>
      <c r="B516" s="16">
        <v>43608</v>
      </c>
      <c r="C516" s="53" t="s">
        <v>295</v>
      </c>
      <c r="D516" s="54"/>
      <c r="E516" s="17">
        <v>2328</v>
      </c>
      <c r="F516" s="18" t="s">
        <v>21</v>
      </c>
      <c r="G516" s="17">
        <v>212446.57</v>
      </c>
      <c r="H516" s="1"/>
      <c r="I516" s="1"/>
      <c r="J516" s="1"/>
    </row>
    <row r="517" spans="1:10" x14ac:dyDescent="0.75">
      <c r="A517" s="16">
        <v>43608</v>
      </c>
      <c r="B517" s="16">
        <v>43608</v>
      </c>
      <c r="C517" s="53" t="s">
        <v>296</v>
      </c>
      <c r="D517" s="54"/>
      <c r="E517" s="17">
        <v>2328</v>
      </c>
      <c r="F517" s="18" t="s">
        <v>21</v>
      </c>
      <c r="G517" s="17">
        <v>210118.57</v>
      </c>
      <c r="H517" s="1"/>
      <c r="I517" s="1"/>
      <c r="J517" s="1"/>
    </row>
    <row r="518" spans="1:10" x14ac:dyDescent="0.75">
      <c r="A518" s="16">
        <v>43608</v>
      </c>
      <c r="B518" s="16">
        <v>43608</v>
      </c>
      <c r="C518" s="53" t="s">
        <v>297</v>
      </c>
      <c r="D518" s="54"/>
      <c r="E518" s="17">
        <v>3480.61</v>
      </c>
      <c r="F518" s="18" t="s">
        <v>21</v>
      </c>
      <c r="G518" s="17">
        <v>206637.96</v>
      </c>
      <c r="H518" s="1"/>
      <c r="I518" s="1"/>
      <c r="J518" s="1"/>
    </row>
    <row r="519" spans="1:10" x14ac:dyDescent="0.75">
      <c r="A519" s="16">
        <v>43608</v>
      </c>
      <c r="B519" s="16">
        <v>43608</v>
      </c>
      <c r="C519" s="53" t="s">
        <v>298</v>
      </c>
      <c r="D519" s="54"/>
      <c r="E519" s="17">
        <v>4419.18</v>
      </c>
      <c r="F519" s="18" t="s">
        <v>21</v>
      </c>
      <c r="G519" s="17">
        <v>202218.78</v>
      </c>
      <c r="H519" s="1"/>
      <c r="I519" s="1"/>
      <c r="J519" s="1"/>
    </row>
    <row r="520" spans="1:10" x14ac:dyDescent="0.75">
      <c r="A520" s="16">
        <v>43609</v>
      </c>
      <c r="B520" s="16">
        <v>43609</v>
      </c>
      <c r="C520" s="53" t="s">
        <v>28</v>
      </c>
      <c r="D520" s="54"/>
      <c r="E520" s="18" t="s">
        <v>21</v>
      </c>
      <c r="F520" s="17">
        <v>68312.820000000007</v>
      </c>
      <c r="G520" s="17">
        <v>270531.59999999998</v>
      </c>
      <c r="H520" s="1"/>
      <c r="I520" s="1"/>
      <c r="J520" s="1"/>
    </row>
    <row r="521" spans="1:10" x14ac:dyDescent="0.75">
      <c r="A521" s="16">
        <v>43609</v>
      </c>
      <c r="B521" s="16">
        <v>43609</v>
      </c>
      <c r="C521" s="53" t="s">
        <v>299</v>
      </c>
      <c r="D521" s="54"/>
      <c r="E521" s="17">
        <v>8940.68</v>
      </c>
      <c r="F521" s="18" t="s">
        <v>21</v>
      </c>
      <c r="G521" s="17">
        <v>261590.92</v>
      </c>
      <c r="H521" s="1"/>
      <c r="I521" s="1"/>
      <c r="J521" s="1"/>
    </row>
    <row r="522" spans="1:10" x14ac:dyDescent="0.75">
      <c r="A522" s="26"/>
      <c r="B522" s="26"/>
      <c r="C522" s="58" t="s">
        <v>300</v>
      </c>
      <c r="D522" s="59"/>
      <c r="E522" s="26"/>
      <c r="F522" s="26"/>
      <c r="G522" s="26"/>
      <c r="H522" s="1"/>
      <c r="I522" s="1"/>
      <c r="J522" s="1"/>
    </row>
    <row r="523" spans="1:10" x14ac:dyDescent="0.75">
      <c r="A523" s="16">
        <v>43609</v>
      </c>
      <c r="B523" s="16">
        <v>43609</v>
      </c>
      <c r="C523" s="53" t="s">
        <v>301</v>
      </c>
      <c r="D523" s="54"/>
      <c r="E523" s="17">
        <v>9021.86</v>
      </c>
      <c r="F523" s="18" t="s">
        <v>21</v>
      </c>
      <c r="G523" s="17">
        <v>252569.06</v>
      </c>
      <c r="H523" s="1"/>
      <c r="I523" s="1"/>
      <c r="J523" s="1"/>
    </row>
    <row r="524" spans="1:10" x14ac:dyDescent="0.75">
      <c r="A524" s="26"/>
      <c r="B524" s="26"/>
      <c r="C524" s="58" t="s">
        <v>302</v>
      </c>
      <c r="D524" s="59"/>
      <c r="E524" s="26"/>
      <c r="F524" s="26"/>
      <c r="G524" s="26"/>
      <c r="H524" s="1"/>
      <c r="I524" s="1"/>
      <c r="J524" s="1"/>
    </row>
    <row r="525" spans="1:10" x14ac:dyDescent="0.75">
      <c r="A525" s="13">
        <v>43609</v>
      </c>
      <c r="B525" s="13">
        <v>43609</v>
      </c>
      <c r="C525" s="58" t="s">
        <v>303</v>
      </c>
      <c r="D525" s="59"/>
      <c r="E525" s="14">
        <v>1019.42</v>
      </c>
      <c r="F525" s="15" t="s">
        <v>21</v>
      </c>
      <c r="G525" s="14">
        <v>251549.64</v>
      </c>
      <c r="H525" s="1"/>
      <c r="I525" s="1"/>
      <c r="J525" s="1"/>
    </row>
    <row r="526" spans="1:10" x14ac:dyDescent="0.75">
      <c r="A526" s="16">
        <v>43609</v>
      </c>
      <c r="B526" s="16">
        <v>43609</v>
      </c>
      <c r="C526" s="53" t="s">
        <v>304</v>
      </c>
      <c r="D526" s="54"/>
      <c r="E526" s="17">
        <v>1529.13</v>
      </c>
      <c r="F526" s="18" t="s">
        <v>21</v>
      </c>
      <c r="G526" s="17">
        <v>250020.51</v>
      </c>
      <c r="H526" s="1"/>
      <c r="I526" s="1"/>
      <c r="J526" s="1"/>
    </row>
    <row r="527" spans="1:10" x14ac:dyDescent="0.75">
      <c r="A527" s="16">
        <v>43609</v>
      </c>
      <c r="B527" s="16">
        <v>43609</v>
      </c>
      <c r="C527" s="53" t="s">
        <v>305</v>
      </c>
      <c r="D527" s="54"/>
      <c r="E527" s="17">
        <v>3769.92</v>
      </c>
      <c r="F527" s="18" t="s">
        <v>21</v>
      </c>
      <c r="G527" s="17">
        <v>246250.59</v>
      </c>
      <c r="H527" s="1"/>
      <c r="I527" s="1"/>
      <c r="J527" s="1"/>
    </row>
    <row r="528" spans="1:10" x14ac:dyDescent="0.75">
      <c r="A528" s="16">
        <v>43609</v>
      </c>
      <c r="B528" s="16">
        <v>43609</v>
      </c>
      <c r="C528" s="53" t="s">
        <v>306</v>
      </c>
      <c r="D528" s="54"/>
      <c r="E528" s="17">
        <v>11731.59</v>
      </c>
      <c r="F528" s="18" t="s">
        <v>21</v>
      </c>
      <c r="G528" s="17">
        <v>234519</v>
      </c>
      <c r="H528" s="1"/>
      <c r="I528" s="1"/>
      <c r="J528" s="1"/>
    </row>
    <row r="529" spans="1:10" x14ac:dyDescent="0.75">
      <c r="A529" s="20"/>
      <c r="B529" s="20"/>
      <c r="C529" s="8"/>
      <c r="D529" s="9"/>
      <c r="E529" s="20"/>
      <c r="F529" s="20"/>
      <c r="G529" s="20"/>
      <c r="H529" s="1"/>
      <c r="I529" s="1"/>
      <c r="J529" s="1"/>
    </row>
    <row r="530" spans="1:10" x14ac:dyDescent="0.75">
      <c r="A530" s="34" t="s">
        <v>15</v>
      </c>
      <c r="B530" s="35"/>
      <c r="C530" s="35"/>
      <c r="D530" s="35"/>
      <c r="E530" s="35"/>
      <c r="F530" s="35"/>
      <c r="G530" s="36"/>
      <c r="H530" s="1"/>
      <c r="I530" s="1"/>
      <c r="J530" s="1"/>
    </row>
    <row r="531" spans="1:10" x14ac:dyDescent="0.75">
      <c r="A531" s="21" t="s">
        <v>32</v>
      </c>
      <c r="B531" s="22"/>
      <c r="C531" s="22"/>
      <c r="D531" s="23" t="s">
        <v>33</v>
      </c>
      <c r="E531" s="22"/>
      <c r="F531" s="22"/>
      <c r="G531" s="24"/>
      <c r="H531" s="1"/>
      <c r="I531" s="1"/>
      <c r="J531" s="1"/>
    </row>
    <row r="532" spans="1:10" x14ac:dyDescent="0.75">
      <c r="A532" s="37" t="s">
        <v>307</v>
      </c>
      <c r="B532" s="37"/>
      <c r="C532" s="37"/>
      <c r="D532" s="37"/>
      <c r="E532" s="37"/>
      <c r="F532" s="37"/>
      <c r="G532" s="37"/>
      <c r="H532" s="37"/>
      <c r="I532" s="1"/>
      <c r="J532" s="1"/>
    </row>
    <row r="533" spans="1:10" x14ac:dyDescent="0.75">
      <c r="A533" s="55" t="s">
        <v>0</v>
      </c>
      <c r="B533" s="55"/>
      <c r="C533" s="55"/>
      <c r="D533" s="55"/>
      <c r="E533" s="55"/>
      <c r="F533" s="55"/>
      <c r="G533" s="55"/>
      <c r="H533" s="55"/>
      <c r="I533" s="1"/>
      <c r="J533" s="1"/>
    </row>
    <row r="534" spans="1:10" x14ac:dyDescent="0.75">
      <c r="A534" s="55" t="s">
        <v>1</v>
      </c>
      <c r="B534" s="55"/>
      <c r="C534" s="55"/>
      <c r="D534" s="55"/>
      <c r="E534" s="55"/>
      <c r="F534" s="55"/>
      <c r="G534" s="55"/>
      <c r="H534" s="55"/>
      <c r="I534" s="1"/>
      <c r="J534" s="1"/>
    </row>
    <row r="535" spans="1:10" x14ac:dyDescent="0.75">
      <c r="A535" s="38" t="s">
        <v>35</v>
      </c>
      <c r="B535" s="39"/>
      <c r="C535" s="39"/>
      <c r="D535" s="39"/>
      <c r="E535" s="39"/>
      <c r="F535" s="39"/>
      <c r="G535" s="40"/>
      <c r="H535" s="1"/>
      <c r="I535" s="1"/>
      <c r="J535" s="1"/>
    </row>
    <row r="536" spans="1:10" ht="21.5" x14ac:dyDescent="0.75">
      <c r="A536" s="2" t="s">
        <v>3</v>
      </c>
      <c r="B536" s="3" t="s">
        <v>4</v>
      </c>
      <c r="C536" s="4"/>
      <c r="D536" s="5" t="s">
        <v>5</v>
      </c>
      <c r="E536" s="3" t="s">
        <v>6</v>
      </c>
      <c r="F536" s="3" t="s">
        <v>7</v>
      </c>
      <c r="G536" s="6" t="s">
        <v>8</v>
      </c>
      <c r="H536" s="1"/>
      <c r="I536" s="1"/>
      <c r="J536" s="1"/>
    </row>
    <row r="537" spans="1:10" x14ac:dyDescent="0.75">
      <c r="A537" s="10">
        <v>43609</v>
      </c>
      <c r="B537" s="11"/>
      <c r="C537" s="56" t="s">
        <v>19</v>
      </c>
      <c r="D537" s="57"/>
      <c r="E537" s="11"/>
      <c r="F537" s="11"/>
      <c r="G537" s="12">
        <v>234519</v>
      </c>
      <c r="H537" s="1"/>
      <c r="I537" s="1"/>
      <c r="J537" s="1"/>
    </row>
    <row r="538" spans="1:10" x14ac:dyDescent="0.75">
      <c r="A538" s="13">
        <v>43613</v>
      </c>
      <c r="B538" s="13">
        <v>43613</v>
      </c>
      <c r="C538" s="58" t="s">
        <v>28</v>
      </c>
      <c r="D538" s="59"/>
      <c r="E538" s="15" t="s">
        <v>21</v>
      </c>
      <c r="F538" s="14">
        <v>180647.99</v>
      </c>
      <c r="G538" s="14">
        <v>415166.99</v>
      </c>
      <c r="H538" s="1"/>
      <c r="I538" s="1"/>
      <c r="J538" s="1"/>
    </row>
    <row r="539" spans="1:10" x14ac:dyDescent="0.75">
      <c r="A539" s="16">
        <v>43613</v>
      </c>
      <c r="B539" s="16">
        <v>43613</v>
      </c>
      <c r="C539" s="53" t="s">
        <v>308</v>
      </c>
      <c r="D539" s="54"/>
      <c r="E539" s="19">
        <v>2</v>
      </c>
      <c r="F539" s="18" t="s">
        <v>21</v>
      </c>
      <c r="G539" s="17">
        <v>415164.99</v>
      </c>
      <c r="H539" s="1"/>
      <c r="I539" s="1"/>
      <c r="J539" s="1"/>
    </row>
    <row r="540" spans="1:10" x14ac:dyDescent="0.75">
      <c r="A540" s="16">
        <v>43613</v>
      </c>
      <c r="B540" s="16">
        <v>43613</v>
      </c>
      <c r="C540" s="53" t="s">
        <v>309</v>
      </c>
      <c r="D540" s="54"/>
      <c r="E540" s="17">
        <v>1746</v>
      </c>
      <c r="F540" s="18" t="s">
        <v>21</v>
      </c>
      <c r="G540" s="17">
        <v>413418.99</v>
      </c>
      <c r="H540" s="1"/>
      <c r="I540" s="1"/>
      <c r="J540" s="1"/>
    </row>
    <row r="541" spans="1:10" x14ac:dyDescent="0.75">
      <c r="A541" s="16">
        <v>43613</v>
      </c>
      <c r="B541" s="16">
        <v>43613</v>
      </c>
      <c r="C541" s="53" t="s">
        <v>310</v>
      </c>
      <c r="D541" s="54"/>
      <c r="E541" s="17">
        <v>3040</v>
      </c>
      <c r="F541" s="18" t="s">
        <v>21</v>
      </c>
      <c r="G541" s="17">
        <v>410378.99</v>
      </c>
      <c r="H541" s="1"/>
      <c r="I541" s="1"/>
      <c r="J541" s="1"/>
    </row>
    <row r="542" spans="1:10" x14ac:dyDescent="0.75">
      <c r="A542" s="16">
        <v>43613</v>
      </c>
      <c r="B542" s="16">
        <v>43613</v>
      </c>
      <c r="C542" s="53" t="s">
        <v>311</v>
      </c>
      <c r="D542" s="54"/>
      <c r="E542" s="17">
        <v>4153.8999999999996</v>
      </c>
      <c r="F542" s="18" t="s">
        <v>21</v>
      </c>
      <c r="G542" s="17">
        <v>406225.09</v>
      </c>
      <c r="H542" s="1"/>
      <c r="I542" s="1"/>
      <c r="J542" s="1"/>
    </row>
    <row r="543" spans="1:10" x14ac:dyDescent="0.75">
      <c r="A543" s="16">
        <v>43613</v>
      </c>
      <c r="B543" s="16">
        <v>43613</v>
      </c>
      <c r="C543" s="53" t="s">
        <v>312</v>
      </c>
      <c r="D543" s="54"/>
      <c r="E543" s="17">
        <v>8780</v>
      </c>
      <c r="F543" s="18" t="s">
        <v>21</v>
      </c>
      <c r="G543" s="17">
        <v>397445.09</v>
      </c>
      <c r="H543" s="1"/>
      <c r="I543" s="1"/>
      <c r="J543" s="1"/>
    </row>
    <row r="544" spans="1:10" x14ac:dyDescent="0.75">
      <c r="A544" s="16">
        <v>43613</v>
      </c>
      <c r="B544" s="16">
        <v>43613</v>
      </c>
      <c r="C544" s="53" t="s">
        <v>313</v>
      </c>
      <c r="D544" s="54"/>
      <c r="E544" s="17">
        <v>9680</v>
      </c>
      <c r="F544" s="18" t="s">
        <v>21</v>
      </c>
      <c r="G544" s="17">
        <v>387765.09</v>
      </c>
      <c r="H544" s="1"/>
      <c r="I544" s="1"/>
      <c r="J544" s="1"/>
    </row>
    <row r="545" spans="1:10" x14ac:dyDescent="0.75">
      <c r="A545" s="16">
        <v>43614</v>
      </c>
      <c r="B545" s="16">
        <v>43614</v>
      </c>
      <c r="C545" s="53" t="s">
        <v>28</v>
      </c>
      <c r="D545" s="54"/>
      <c r="E545" s="18" t="s">
        <v>21</v>
      </c>
      <c r="F545" s="17">
        <v>362730.47</v>
      </c>
      <c r="G545" s="17">
        <v>750495.56</v>
      </c>
      <c r="H545" s="1"/>
      <c r="I545" s="1"/>
      <c r="J545" s="1"/>
    </row>
    <row r="546" spans="1:10" x14ac:dyDescent="0.75">
      <c r="A546" s="16">
        <v>43614</v>
      </c>
      <c r="B546" s="16">
        <v>43614</v>
      </c>
      <c r="C546" s="53" t="s">
        <v>314</v>
      </c>
      <c r="D546" s="54"/>
      <c r="E546" s="17">
        <v>2186.8200000000002</v>
      </c>
      <c r="F546" s="18" t="s">
        <v>21</v>
      </c>
      <c r="G546" s="17">
        <v>748308.74</v>
      </c>
      <c r="H546" s="1"/>
      <c r="I546" s="1"/>
      <c r="J546" s="1"/>
    </row>
    <row r="547" spans="1:10" x14ac:dyDescent="0.75">
      <c r="A547" s="16">
        <v>43614</v>
      </c>
      <c r="B547" s="16">
        <v>43614</v>
      </c>
      <c r="C547" s="53" t="s">
        <v>315</v>
      </c>
      <c r="D547" s="54"/>
      <c r="E547" s="17">
        <v>2864.08</v>
      </c>
      <c r="F547" s="18" t="s">
        <v>21</v>
      </c>
      <c r="G547" s="17">
        <v>745444.66</v>
      </c>
      <c r="H547" s="1"/>
      <c r="I547" s="1"/>
      <c r="J547" s="1"/>
    </row>
    <row r="548" spans="1:10" x14ac:dyDescent="0.75">
      <c r="A548" s="16">
        <v>43614</v>
      </c>
      <c r="B548" s="16">
        <v>43614</v>
      </c>
      <c r="C548" s="53" t="s">
        <v>316</v>
      </c>
      <c r="D548" s="54"/>
      <c r="E548" s="17">
        <v>3056.21</v>
      </c>
      <c r="F548" s="18" t="s">
        <v>21</v>
      </c>
      <c r="G548" s="17">
        <v>742388.45</v>
      </c>
      <c r="H548" s="1"/>
      <c r="I548" s="1"/>
      <c r="J548" s="1"/>
    </row>
    <row r="549" spans="1:10" x14ac:dyDescent="0.75">
      <c r="A549" s="16">
        <v>43614</v>
      </c>
      <c r="B549" s="16">
        <v>43614</v>
      </c>
      <c r="C549" s="53" t="s">
        <v>317</v>
      </c>
      <c r="D549" s="54"/>
      <c r="E549" s="17">
        <v>6383.55</v>
      </c>
      <c r="F549" s="18" t="s">
        <v>21</v>
      </c>
      <c r="G549" s="17">
        <v>736004.9</v>
      </c>
      <c r="H549" s="1"/>
      <c r="I549" s="1"/>
      <c r="J549" s="1"/>
    </row>
    <row r="550" spans="1:10" x14ac:dyDescent="0.75">
      <c r="A550" s="20"/>
      <c r="B550" s="20"/>
      <c r="C550" s="8"/>
      <c r="D550" s="9"/>
      <c r="E550" s="20"/>
      <c r="F550" s="20"/>
      <c r="G550" s="20"/>
      <c r="H550" s="1"/>
      <c r="I550" s="1"/>
      <c r="J550" s="1"/>
    </row>
    <row r="551" spans="1:10" x14ac:dyDescent="0.75">
      <c r="A551" s="34" t="s">
        <v>15</v>
      </c>
      <c r="B551" s="35"/>
      <c r="C551" s="35"/>
      <c r="D551" s="35"/>
      <c r="E551" s="35"/>
      <c r="F551" s="35"/>
      <c r="G551" s="36"/>
      <c r="H551" s="1"/>
      <c r="I551" s="1"/>
      <c r="J551" s="1"/>
    </row>
    <row r="552" spans="1:10" x14ac:dyDescent="0.75">
      <c r="A552" s="21" t="s">
        <v>32</v>
      </c>
      <c r="B552" s="22"/>
      <c r="C552" s="22"/>
      <c r="D552" s="23" t="s">
        <v>33</v>
      </c>
      <c r="E552" s="22"/>
      <c r="F552" s="22"/>
      <c r="G552" s="24"/>
      <c r="H552" s="1"/>
      <c r="I552" s="1"/>
      <c r="J552" s="1"/>
    </row>
    <row r="553" spans="1:10" x14ac:dyDescent="0.75">
      <c r="A553" s="37" t="s">
        <v>318</v>
      </c>
      <c r="B553" s="37"/>
      <c r="C553" s="37"/>
      <c r="D553" s="37"/>
      <c r="E553" s="37"/>
      <c r="F553" s="37"/>
      <c r="G553" s="37"/>
      <c r="H553" s="37"/>
      <c r="I553" s="1"/>
      <c r="J553" s="1"/>
    </row>
    <row r="554" spans="1:10" x14ac:dyDescent="0.75">
      <c r="A554" s="55" t="s">
        <v>0</v>
      </c>
      <c r="B554" s="55"/>
      <c r="C554" s="55"/>
      <c r="D554" s="55"/>
      <c r="E554" s="55"/>
      <c r="F554" s="55"/>
      <c r="G554" s="55"/>
      <c r="H554" s="55"/>
      <c r="I554" s="1"/>
      <c r="J554" s="1"/>
    </row>
    <row r="555" spans="1:10" x14ac:dyDescent="0.75">
      <c r="A555" s="55" t="s">
        <v>1</v>
      </c>
      <c r="B555" s="55"/>
      <c r="C555" s="55"/>
      <c r="D555" s="55"/>
      <c r="E555" s="55"/>
      <c r="F555" s="55"/>
      <c r="G555" s="55"/>
      <c r="H555" s="55"/>
      <c r="I555" s="1"/>
      <c r="J555" s="1"/>
    </row>
    <row r="556" spans="1:10" x14ac:dyDescent="0.75">
      <c r="A556" s="38" t="s">
        <v>35</v>
      </c>
      <c r="B556" s="39"/>
      <c r="C556" s="39"/>
      <c r="D556" s="39"/>
      <c r="E556" s="39"/>
      <c r="F556" s="39"/>
      <c r="G556" s="40"/>
      <c r="H556" s="1"/>
      <c r="I556" s="1"/>
      <c r="J556" s="1"/>
    </row>
    <row r="557" spans="1:10" ht="21.5" x14ac:dyDescent="0.75">
      <c r="A557" s="2" t="s">
        <v>3</v>
      </c>
      <c r="B557" s="3" t="s">
        <v>4</v>
      </c>
      <c r="C557" s="4"/>
      <c r="D557" s="5" t="s">
        <v>5</v>
      </c>
      <c r="E557" s="3" t="s">
        <v>6</v>
      </c>
      <c r="F557" s="3" t="s">
        <v>7</v>
      </c>
      <c r="G557" s="6" t="s">
        <v>8</v>
      </c>
      <c r="H557" s="1"/>
      <c r="I557" s="1"/>
      <c r="J557" s="1"/>
    </row>
    <row r="558" spans="1:10" ht="43" x14ac:dyDescent="0.75">
      <c r="A558" s="41" t="s">
        <v>319</v>
      </c>
      <c r="B558" s="41" t="s">
        <v>320</v>
      </c>
      <c r="C558" s="44" t="s">
        <v>321</v>
      </c>
      <c r="D558" s="45"/>
      <c r="E558" s="7" t="s">
        <v>322</v>
      </c>
      <c r="F558" s="7" t="s">
        <v>323</v>
      </c>
      <c r="G558" s="48" t="s">
        <v>324</v>
      </c>
      <c r="H558" s="1"/>
      <c r="I558" s="1"/>
      <c r="J558" s="1"/>
    </row>
    <row r="559" spans="1:10" x14ac:dyDescent="0.75">
      <c r="A559" s="42"/>
      <c r="B559" s="42"/>
      <c r="C559" s="46"/>
      <c r="D559" s="47"/>
      <c r="E559" s="51">
        <v>1372312.03</v>
      </c>
      <c r="F559" s="51">
        <v>1476050.56</v>
      </c>
      <c r="G559" s="49"/>
      <c r="H559" s="1"/>
      <c r="I559" s="1"/>
      <c r="J559" s="1"/>
    </row>
    <row r="560" spans="1:10" x14ac:dyDescent="0.75">
      <c r="A560" s="43"/>
      <c r="B560" s="43"/>
      <c r="C560" s="8"/>
      <c r="D560" s="9"/>
      <c r="E560" s="52"/>
      <c r="F560" s="52"/>
      <c r="G560" s="50"/>
      <c r="H560" s="1"/>
      <c r="I560" s="1"/>
      <c r="J560" s="1"/>
    </row>
    <row r="561" spans="1:10" x14ac:dyDescent="0.75">
      <c r="A561" s="34" t="s">
        <v>15</v>
      </c>
      <c r="B561" s="35"/>
      <c r="C561" s="35"/>
      <c r="D561" s="35"/>
      <c r="E561" s="35"/>
      <c r="F561" s="35"/>
      <c r="G561" s="36"/>
      <c r="H561" s="1"/>
      <c r="I561" s="1"/>
      <c r="J561" s="1"/>
    </row>
    <row r="562" spans="1:10" x14ac:dyDescent="0.75">
      <c r="A562" s="34" t="s">
        <v>16</v>
      </c>
      <c r="B562" s="35"/>
      <c r="C562" s="35"/>
      <c r="D562" s="35"/>
      <c r="E562" s="35"/>
      <c r="F562" s="35"/>
      <c r="G562" s="36"/>
      <c r="H562" s="1"/>
      <c r="I562" s="1"/>
      <c r="J562" s="1"/>
    </row>
    <row r="563" spans="1:10" x14ac:dyDescent="0.75">
      <c r="A563" s="37" t="s">
        <v>325</v>
      </c>
      <c r="B563" s="37"/>
      <c r="C563" s="37"/>
      <c r="D563" s="37"/>
      <c r="E563" s="37"/>
      <c r="F563" s="37"/>
      <c r="G563" s="37"/>
      <c r="H563" s="37"/>
      <c r="I563" s="1"/>
      <c r="J563" s="1"/>
    </row>
    <row r="564" spans="1:10" x14ac:dyDescent="0.75">
      <c r="A564" s="55" t="s">
        <v>0</v>
      </c>
      <c r="B564" s="55"/>
      <c r="C564" s="55"/>
      <c r="D564" s="55"/>
      <c r="E564" s="55"/>
      <c r="F564" s="55"/>
      <c r="G564" s="55"/>
      <c r="H564" s="55"/>
      <c r="I564" s="1"/>
      <c r="J564" s="1"/>
    </row>
    <row r="565" spans="1:10" x14ac:dyDescent="0.75">
      <c r="A565" s="55" t="s">
        <v>1</v>
      </c>
      <c r="B565" s="55"/>
      <c r="C565" s="55"/>
      <c r="D565" s="55"/>
      <c r="E565" s="55"/>
      <c r="F565" s="55"/>
      <c r="G565" s="55"/>
      <c r="H565" s="55"/>
      <c r="I565" s="1"/>
      <c r="J565" s="1"/>
    </row>
    <row r="566" spans="1:10" x14ac:dyDescent="0.75">
      <c r="A566" s="34" t="s">
        <v>326</v>
      </c>
      <c r="B566" s="35"/>
      <c r="C566" s="35"/>
      <c r="D566" s="35"/>
      <c r="E566" s="35"/>
      <c r="F566" s="35"/>
      <c r="G566" s="36"/>
      <c r="H566" s="1"/>
      <c r="I566" s="1"/>
      <c r="J566" s="1"/>
    </row>
    <row r="567" spans="1:10" ht="21.5" x14ac:dyDescent="0.75">
      <c r="A567" s="2" t="s">
        <v>3</v>
      </c>
      <c r="B567" s="3" t="s">
        <v>4</v>
      </c>
      <c r="C567" s="4"/>
      <c r="D567" s="5" t="s">
        <v>5</v>
      </c>
      <c r="E567" s="3" t="s">
        <v>6</v>
      </c>
      <c r="F567" s="3" t="s">
        <v>7</v>
      </c>
      <c r="G567" s="6" t="s">
        <v>8</v>
      </c>
      <c r="H567" s="1"/>
      <c r="I567" s="1"/>
      <c r="J567" s="1"/>
    </row>
    <row r="568" spans="1:10" x14ac:dyDescent="0.75">
      <c r="A568" s="10">
        <v>43616</v>
      </c>
      <c r="B568" s="11"/>
      <c r="C568" s="56" t="s">
        <v>19</v>
      </c>
      <c r="D568" s="57"/>
      <c r="E568" s="11"/>
      <c r="F568" s="11"/>
      <c r="G568" s="12">
        <v>743554.4</v>
      </c>
      <c r="H568" s="1"/>
      <c r="I568" s="1"/>
      <c r="J568" s="1"/>
    </row>
    <row r="569" spans="1:10" x14ac:dyDescent="0.75">
      <c r="A569" s="13">
        <v>43619</v>
      </c>
      <c r="B569" s="13">
        <v>43619</v>
      </c>
      <c r="C569" s="58" t="s">
        <v>327</v>
      </c>
      <c r="D569" s="59"/>
      <c r="E569" s="14">
        <v>4800</v>
      </c>
      <c r="F569" s="15" t="s">
        <v>21</v>
      </c>
      <c r="G569" s="14">
        <v>738754.4</v>
      </c>
      <c r="H569" s="1"/>
      <c r="I569" s="1"/>
      <c r="J569" s="1"/>
    </row>
    <row r="570" spans="1:10" x14ac:dyDescent="0.75">
      <c r="A570" s="16">
        <v>43619</v>
      </c>
      <c r="B570" s="16">
        <v>43619</v>
      </c>
      <c r="C570" s="53" t="s">
        <v>328</v>
      </c>
      <c r="D570" s="54"/>
      <c r="E570" s="17">
        <v>15685.3</v>
      </c>
      <c r="F570" s="18" t="s">
        <v>21</v>
      </c>
      <c r="G570" s="17">
        <v>723069.1</v>
      </c>
      <c r="H570" s="1"/>
      <c r="I570" s="1"/>
      <c r="J570" s="1"/>
    </row>
    <row r="571" spans="1:10" x14ac:dyDescent="0.75">
      <c r="A571" s="16">
        <v>43620</v>
      </c>
      <c r="B571" s="16">
        <v>43620</v>
      </c>
      <c r="C571" s="53" t="s">
        <v>28</v>
      </c>
      <c r="D571" s="54"/>
      <c r="E571" s="18" t="s">
        <v>21</v>
      </c>
      <c r="F571" s="17">
        <v>15000</v>
      </c>
      <c r="G571" s="17">
        <v>738069.1</v>
      </c>
      <c r="H571" s="1"/>
      <c r="I571" s="1"/>
      <c r="J571" s="1"/>
    </row>
    <row r="572" spans="1:10" x14ac:dyDescent="0.75">
      <c r="A572" s="16">
        <v>43620</v>
      </c>
      <c r="B572" s="16">
        <v>43620</v>
      </c>
      <c r="C572" s="53" t="s">
        <v>329</v>
      </c>
      <c r="D572" s="54"/>
      <c r="E572" s="17">
        <v>600000</v>
      </c>
      <c r="F572" s="18" t="s">
        <v>21</v>
      </c>
      <c r="G572" s="17">
        <v>138069.1</v>
      </c>
      <c r="H572" s="1"/>
      <c r="I572" s="1"/>
      <c r="J572" s="1"/>
    </row>
    <row r="573" spans="1:10" x14ac:dyDescent="0.75">
      <c r="A573" s="16">
        <v>43622</v>
      </c>
      <c r="B573" s="16">
        <v>43622</v>
      </c>
      <c r="C573" s="53" t="s">
        <v>28</v>
      </c>
      <c r="D573" s="54"/>
      <c r="E573" s="18" t="s">
        <v>21</v>
      </c>
      <c r="F573" s="17">
        <v>9390.42</v>
      </c>
      <c r="G573" s="17">
        <v>147459.51999999999</v>
      </c>
      <c r="H573" s="1"/>
      <c r="I573" s="1"/>
      <c r="J573" s="1"/>
    </row>
    <row r="574" spans="1:10" x14ac:dyDescent="0.75">
      <c r="A574" s="16">
        <v>43622</v>
      </c>
      <c r="B574" s="16">
        <v>43622</v>
      </c>
      <c r="C574" s="53" t="s">
        <v>330</v>
      </c>
      <c r="D574" s="54"/>
      <c r="E574" s="19">
        <v>817.6</v>
      </c>
      <c r="F574" s="18" t="s">
        <v>21</v>
      </c>
      <c r="G574" s="17">
        <v>146641.92000000001</v>
      </c>
      <c r="H574" s="1"/>
      <c r="I574" s="1"/>
      <c r="J574" s="1"/>
    </row>
    <row r="575" spans="1:10" x14ac:dyDescent="0.75">
      <c r="A575" s="16">
        <v>43622</v>
      </c>
      <c r="B575" s="16">
        <v>43622</v>
      </c>
      <c r="C575" s="53" t="s">
        <v>331</v>
      </c>
      <c r="D575" s="54"/>
      <c r="E575" s="17">
        <v>1615</v>
      </c>
      <c r="F575" s="18" t="s">
        <v>21</v>
      </c>
      <c r="G575" s="17">
        <v>145026.92000000001</v>
      </c>
      <c r="H575" s="1"/>
      <c r="I575" s="1"/>
      <c r="J575" s="1"/>
    </row>
    <row r="576" spans="1:10" x14ac:dyDescent="0.75">
      <c r="A576" s="16">
        <v>43622</v>
      </c>
      <c r="B576" s="16">
        <v>43622</v>
      </c>
      <c r="C576" s="53" t="s">
        <v>332</v>
      </c>
      <c r="D576" s="54"/>
      <c r="E576" s="17">
        <v>2530.66</v>
      </c>
      <c r="F576" s="18" t="s">
        <v>21</v>
      </c>
      <c r="G576" s="17">
        <v>142496.26</v>
      </c>
      <c r="H576" s="1"/>
      <c r="I576" s="1"/>
      <c r="J576" s="1"/>
    </row>
    <row r="577" spans="1:10" x14ac:dyDescent="0.75">
      <c r="A577" s="16">
        <v>43626</v>
      </c>
      <c r="B577" s="16">
        <v>43626</v>
      </c>
      <c r="C577" s="53" t="s">
        <v>28</v>
      </c>
      <c r="D577" s="54"/>
      <c r="E577" s="18" t="s">
        <v>21</v>
      </c>
      <c r="F577" s="17">
        <v>9436.18</v>
      </c>
      <c r="G577" s="17">
        <v>151932.44</v>
      </c>
      <c r="H577" s="1"/>
      <c r="I577" s="1"/>
      <c r="J577" s="1"/>
    </row>
    <row r="578" spans="1:10" x14ac:dyDescent="0.75">
      <c r="A578" s="16">
        <v>43626</v>
      </c>
      <c r="B578" s="16">
        <v>43626</v>
      </c>
      <c r="C578" s="53" t="s">
        <v>333</v>
      </c>
      <c r="D578" s="54"/>
      <c r="E578" s="17">
        <v>2904.8</v>
      </c>
      <c r="F578" s="18" t="s">
        <v>21</v>
      </c>
      <c r="G578" s="17">
        <v>149027.64000000001</v>
      </c>
      <c r="H578" s="1"/>
      <c r="I578" s="1"/>
      <c r="J578" s="1"/>
    </row>
    <row r="579" spans="1:10" x14ac:dyDescent="0.75">
      <c r="A579" s="16">
        <v>43626</v>
      </c>
      <c r="B579" s="16">
        <v>43626</v>
      </c>
      <c r="C579" s="53" t="s">
        <v>334</v>
      </c>
      <c r="D579" s="54"/>
      <c r="E579" s="17">
        <v>2912.8</v>
      </c>
      <c r="F579" s="18" t="s">
        <v>21</v>
      </c>
      <c r="G579" s="17">
        <v>146114.84</v>
      </c>
      <c r="H579" s="1"/>
      <c r="I579" s="1"/>
      <c r="J579" s="1"/>
    </row>
    <row r="580" spans="1:10" x14ac:dyDescent="0.75">
      <c r="A580" s="16">
        <v>43626</v>
      </c>
      <c r="B580" s="16">
        <v>43626</v>
      </c>
      <c r="C580" s="53" t="s">
        <v>335</v>
      </c>
      <c r="D580" s="54"/>
      <c r="E580" s="17">
        <v>2946.11</v>
      </c>
      <c r="F580" s="18" t="s">
        <v>21</v>
      </c>
      <c r="G580" s="17">
        <v>143168.73000000001</v>
      </c>
      <c r="H580" s="1"/>
      <c r="I580" s="1"/>
      <c r="J580" s="1"/>
    </row>
    <row r="581" spans="1:10" x14ac:dyDescent="0.75">
      <c r="A581" s="20"/>
      <c r="B581" s="20"/>
      <c r="C581" s="8"/>
      <c r="D581" s="9"/>
      <c r="E581" s="20"/>
      <c r="F581" s="20"/>
      <c r="G581" s="20"/>
      <c r="H581" s="1"/>
      <c r="I581" s="1"/>
      <c r="J581" s="1"/>
    </row>
    <row r="582" spans="1:10" x14ac:dyDescent="0.75">
      <c r="A582" s="34" t="s">
        <v>15</v>
      </c>
      <c r="B582" s="35"/>
      <c r="C582" s="35"/>
      <c r="D582" s="35"/>
      <c r="E582" s="35"/>
      <c r="F582" s="35"/>
      <c r="G582" s="36"/>
      <c r="H582" s="1"/>
      <c r="I582" s="1"/>
      <c r="J582" s="1"/>
    </row>
    <row r="583" spans="1:10" x14ac:dyDescent="0.75">
      <c r="A583" s="21" t="s">
        <v>32</v>
      </c>
      <c r="B583" s="22"/>
      <c r="C583" s="22"/>
      <c r="D583" s="23" t="s">
        <v>33</v>
      </c>
      <c r="E583" s="22"/>
      <c r="F583" s="22"/>
      <c r="G583" s="24"/>
      <c r="H583" s="1"/>
      <c r="I583" s="1"/>
      <c r="J583" s="1"/>
    </row>
    <row r="584" spans="1:10" x14ac:dyDescent="0.75">
      <c r="A584" s="37" t="s">
        <v>336</v>
      </c>
      <c r="B584" s="37"/>
      <c r="C584" s="37"/>
      <c r="D584" s="37"/>
      <c r="E584" s="37"/>
      <c r="F584" s="37"/>
      <c r="G584" s="37"/>
      <c r="H584" s="37"/>
      <c r="I584" s="1"/>
      <c r="J584" s="1"/>
    </row>
    <row r="585" spans="1:10" x14ac:dyDescent="0.75">
      <c r="A585" s="55" t="s">
        <v>0</v>
      </c>
      <c r="B585" s="55"/>
      <c r="C585" s="55"/>
      <c r="D585" s="55"/>
      <c r="E585" s="55"/>
      <c r="F585" s="55"/>
      <c r="G585" s="55"/>
      <c r="H585" s="55"/>
      <c r="I585" s="1"/>
      <c r="J585" s="1"/>
    </row>
    <row r="586" spans="1:10" x14ac:dyDescent="0.75">
      <c r="A586" s="55" t="s">
        <v>1</v>
      </c>
      <c r="B586" s="55"/>
      <c r="C586" s="55"/>
      <c r="D586" s="55"/>
      <c r="E586" s="55"/>
      <c r="F586" s="55"/>
      <c r="G586" s="55"/>
      <c r="H586" s="55"/>
      <c r="I586" s="1"/>
      <c r="J586" s="1"/>
    </row>
    <row r="587" spans="1:10" x14ac:dyDescent="0.75">
      <c r="A587" s="38" t="s">
        <v>35</v>
      </c>
      <c r="B587" s="39"/>
      <c r="C587" s="39"/>
      <c r="D587" s="39"/>
      <c r="E587" s="39"/>
      <c r="F587" s="39"/>
      <c r="G587" s="40"/>
      <c r="H587" s="1"/>
      <c r="I587" s="1"/>
      <c r="J587" s="1"/>
    </row>
    <row r="588" spans="1:10" ht="21.5" x14ac:dyDescent="0.75">
      <c r="A588" s="2" t="s">
        <v>3</v>
      </c>
      <c r="B588" s="3" t="s">
        <v>4</v>
      </c>
      <c r="C588" s="4"/>
      <c r="D588" s="5" t="s">
        <v>5</v>
      </c>
      <c r="E588" s="3" t="s">
        <v>6</v>
      </c>
      <c r="F588" s="3" t="s">
        <v>7</v>
      </c>
      <c r="G588" s="6" t="s">
        <v>8</v>
      </c>
      <c r="H588" s="1"/>
      <c r="I588" s="1"/>
      <c r="J588" s="1"/>
    </row>
    <row r="589" spans="1:10" x14ac:dyDescent="0.75">
      <c r="A589" s="10">
        <v>43626</v>
      </c>
      <c r="B589" s="11"/>
      <c r="C589" s="56" t="s">
        <v>19</v>
      </c>
      <c r="D589" s="57"/>
      <c r="E589" s="11"/>
      <c r="F589" s="11"/>
      <c r="G589" s="12">
        <v>143168.73000000001</v>
      </c>
      <c r="H589" s="1"/>
      <c r="I589" s="1"/>
      <c r="J589" s="1"/>
    </row>
    <row r="590" spans="1:10" x14ac:dyDescent="0.75">
      <c r="A590" s="13">
        <v>43627</v>
      </c>
      <c r="B590" s="13">
        <v>43627</v>
      </c>
      <c r="C590" s="58" t="s">
        <v>28</v>
      </c>
      <c r="D590" s="59"/>
      <c r="E590" s="15" t="s">
        <v>21</v>
      </c>
      <c r="F590" s="14">
        <v>21292.82</v>
      </c>
      <c r="G590" s="14">
        <v>164461.54999999999</v>
      </c>
      <c r="H590" s="1"/>
      <c r="I590" s="1"/>
      <c r="J590" s="1"/>
    </row>
    <row r="591" spans="1:10" x14ac:dyDescent="0.75">
      <c r="A591" s="16">
        <v>43627</v>
      </c>
      <c r="B591" s="16">
        <v>43627</v>
      </c>
      <c r="C591" s="53" t="s">
        <v>337</v>
      </c>
      <c r="D591" s="54"/>
      <c r="E591" s="17">
        <v>3371.72</v>
      </c>
      <c r="F591" s="18" t="s">
        <v>21</v>
      </c>
      <c r="G591" s="17">
        <v>161089.82999999999</v>
      </c>
      <c r="H591" s="1"/>
      <c r="I591" s="1"/>
      <c r="J591" s="1"/>
    </row>
    <row r="592" spans="1:10" x14ac:dyDescent="0.75">
      <c r="A592" s="16">
        <v>43629</v>
      </c>
      <c r="B592" s="16">
        <v>43629</v>
      </c>
      <c r="C592" s="53" t="s">
        <v>28</v>
      </c>
      <c r="D592" s="54"/>
      <c r="E592" s="18" t="s">
        <v>21</v>
      </c>
      <c r="F592" s="17">
        <v>7566.09</v>
      </c>
      <c r="G592" s="17">
        <v>168655.92</v>
      </c>
      <c r="H592" s="1"/>
      <c r="I592" s="1"/>
      <c r="J592" s="1"/>
    </row>
    <row r="593" spans="1:10" x14ac:dyDescent="0.75">
      <c r="A593" s="16">
        <v>43630</v>
      </c>
      <c r="B593" s="16">
        <v>43630</v>
      </c>
      <c r="C593" s="53" t="s">
        <v>28</v>
      </c>
      <c r="D593" s="54"/>
      <c r="E593" s="18" t="s">
        <v>21</v>
      </c>
      <c r="F593" s="17">
        <v>37377.39</v>
      </c>
      <c r="G593" s="17">
        <v>206033.31</v>
      </c>
      <c r="H593" s="1"/>
      <c r="I593" s="1"/>
      <c r="J593" s="1"/>
    </row>
    <row r="594" spans="1:10" x14ac:dyDescent="0.75">
      <c r="A594" s="16">
        <v>43630</v>
      </c>
      <c r="B594" s="16">
        <v>43630</v>
      </c>
      <c r="C594" s="53" t="s">
        <v>338</v>
      </c>
      <c r="D594" s="54"/>
      <c r="E594" s="17">
        <v>15052.46</v>
      </c>
      <c r="F594" s="18" t="s">
        <v>21</v>
      </c>
      <c r="G594" s="17">
        <v>190980.85</v>
      </c>
      <c r="H594" s="1"/>
      <c r="I594" s="1"/>
      <c r="J594" s="1"/>
    </row>
    <row r="595" spans="1:10" x14ac:dyDescent="0.75">
      <c r="A595" s="16">
        <v>43630</v>
      </c>
      <c r="B595" s="16">
        <v>43630</v>
      </c>
      <c r="C595" s="53" t="s">
        <v>339</v>
      </c>
      <c r="D595" s="54"/>
      <c r="E595" s="17">
        <v>21285.49</v>
      </c>
      <c r="F595" s="18" t="s">
        <v>21</v>
      </c>
      <c r="G595" s="17">
        <v>169695.35999999999</v>
      </c>
      <c r="H595" s="1"/>
      <c r="I595" s="1"/>
      <c r="J595" s="1"/>
    </row>
    <row r="596" spans="1:10" x14ac:dyDescent="0.75">
      <c r="A596" s="16">
        <v>43633</v>
      </c>
      <c r="B596" s="16">
        <v>43633</v>
      </c>
      <c r="C596" s="53" t="s">
        <v>28</v>
      </c>
      <c r="D596" s="54"/>
      <c r="E596" s="18" t="s">
        <v>21</v>
      </c>
      <c r="F596" s="17">
        <v>14470.53</v>
      </c>
      <c r="G596" s="17">
        <v>184165.89</v>
      </c>
      <c r="H596" s="1"/>
      <c r="I596" s="1"/>
      <c r="J596" s="1"/>
    </row>
    <row r="597" spans="1:10" x14ac:dyDescent="0.75">
      <c r="A597" s="16">
        <v>43633</v>
      </c>
      <c r="B597" s="16">
        <v>43633</v>
      </c>
      <c r="C597" s="53" t="s">
        <v>340</v>
      </c>
      <c r="D597" s="54"/>
      <c r="E597" s="19">
        <v>504.4</v>
      </c>
      <c r="F597" s="18" t="s">
        <v>21</v>
      </c>
      <c r="G597" s="17">
        <v>183661.49</v>
      </c>
      <c r="H597" s="1"/>
      <c r="I597" s="1"/>
      <c r="J597" s="1"/>
    </row>
    <row r="598" spans="1:10" x14ac:dyDescent="0.75">
      <c r="A598" s="16">
        <v>43633</v>
      </c>
      <c r="B598" s="16">
        <v>43633</v>
      </c>
      <c r="C598" s="53" t="s">
        <v>341</v>
      </c>
      <c r="D598" s="54"/>
      <c r="E598" s="17">
        <v>1081.55</v>
      </c>
      <c r="F598" s="18" t="s">
        <v>21</v>
      </c>
      <c r="G598" s="17">
        <v>182579.94</v>
      </c>
      <c r="H598" s="1"/>
      <c r="I598" s="1"/>
      <c r="J598" s="1"/>
    </row>
    <row r="599" spans="1:10" x14ac:dyDescent="0.75">
      <c r="A599" s="16">
        <v>43633</v>
      </c>
      <c r="B599" s="16">
        <v>43633</v>
      </c>
      <c r="C599" s="53" t="s">
        <v>342</v>
      </c>
      <c r="D599" s="54"/>
      <c r="E599" s="17">
        <v>6324</v>
      </c>
      <c r="F599" s="18" t="s">
        <v>21</v>
      </c>
      <c r="G599" s="17">
        <v>176255.94</v>
      </c>
      <c r="H599" s="1"/>
      <c r="I599" s="1"/>
      <c r="J599" s="1"/>
    </row>
    <row r="600" spans="1:10" x14ac:dyDescent="0.75">
      <c r="A600" s="16">
        <v>43633</v>
      </c>
      <c r="B600" s="16">
        <v>43633</v>
      </c>
      <c r="C600" s="53" t="s">
        <v>343</v>
      </c>
      <c r="D600" s="54"/>
      <c r="E600" s="17">
        <v>7760.79</v>
      </c>
      <c r="F600" s="18" t="s">
        <v>21</v>
      </c>
      <c r="G600" s="17">
        <v>168495.15</v>
      </c>
      <c r="H600" s="1"/>
      <c r="I600" s="1"/>
      <c r="J600" s="1"/>
    </row>
    <row r="601" spans="1:10" x14ac:dyDescent="0.75">
      <c r="A601" s="16">
        <v>43633</v>
      </c>
      <c r="B601" s="16">
        <v>43633</v>
      </c>
      <c r="C601" s="53" t="s">
        <v>344</v>
      </c>
      <c r="D601" s="54"/>
      <c r="E601" s="17">
        <v>22700.91</v>
      </c>
      <c r="F601" s="18" t="s">
        <v>21</v>
      </c>
      <c r="G601" s="17">
        <v>145794.23999999999</v>
      </c>
      <c r="H601" s="1"/>
      <c r="I601" s="1"/>
      <c r="J601" s="1"/>
    </row>
    <row r="602" spans="1:10" x14ac:dyDescent="0.75">
      <c r="A602" s="20"/>
      <c r="B602" s="20"/>
      <c r="C602" s="8"/>
      <c r="D602" s="9"/>
      <c r="E602" s="20"/>
      <c r="F602" s="20"/>
      <c r="G602" s="20"/>
      <c r="H602" s="1"/>
      <c r="I602" s="1"/>
      <c r="J602" s="1"/>
    </row>
    <row r="603" spans="1:10" x14ac:dyDescent="0.75">
      <c r="A603" s="34" t="s">
        <v>15</v>
      </c>
      <c r="B603" s="35"/>
      <c r="C603" s="35"/>
      <c r="D603" s="35"/>
      <c r="E603" s="35"/>
      <c r="F603" s="35"/>
      <c r="G603" s="36"/>
      <c r="H603" s="1"/>
      <c r="I603" s="1"/>
      <c r="J603" s="1"/>
    </row>
    <row r="604" spans="1:10" x14ac:dyDescent="0.75">
      <c r="A604" s="21" t="s">
        <v>32</v>
      </c>
      <c r="B604" s="22"/>
      <c r="C604" s="22"/>
      <c r="D604" s="23" t="s">
        <v>33</v>
      </c>
      <c r="E604" s="22"/>
      <c r="F604" s="22"/>
      <c r="G604" s="24"/>
      <c r="H604" s="1"/>
      <c r="I604" s="1"/>
      <c r="J604" s="1"/>
    </row>
    <row r="605" spans="1:10" x14ac:dyDescent="0.75">
      <c r="A605" s="37" t="s">
        <v>345</v>
      </c>
      <c r="B605" s="37"/>
      <c r="C605" s="37"/>
      <c r="D605" s="37"/>
      <c r="E605" s="37"/>
      <c r="F605" s="37"/>
      <c r="G605" s="37"/>
      <c r="H605" s="37"/>
      <c r="I605" s="1"/>
      <c r="J605" s="1"/>
    </row>
    <row r="606" spans="1:10" x14ac:dyDescent="0.75">
      <c r="A606" s="55" t="s">
        <v>0</v>
      </c>
      <c r="B606" s="55"/>
      <c r="C606" s="55"/>
      <c r="D606" s="55"/>
      <c r="E606" s="55"/>
      <c r="F606" s="55"/>
      <c r="G606" s="55"/>
      <c r="H606" s="55"/>
      <c r="I606" s="1"/>
      <c r="J606" s="1"/>
    </row>
    <row r="607" spans="1:10" x14ac:dyDescent="0.75">
      <c r="A607" s="55" t="s">
        <v>1</v>
      </c>
      <c r="B607" s="55"/>
      <c r="C607" s="55"/>
      <c r="D607" s="55"/>
      <c r="E607" s="55"/>
      <c r="F607" s="55"/>
      <c r="G607" s="55"/>
      <c r="H607" s="55"/>
      <c r="I607" s="1"/>
      <c r="J607" s="1"/>
    </row>
    <row r="608" spans="1:10" x14ac:dyDescent="0.75">
      <c r="A608" s="38" t="s">
        <v>35</v>
      </c>
      <c r="B608" s="39"/>
      <c r="C608" s="39"/>
      <c r="D608" s="39"/>
      <c r="E608" s="39"/>
      <c r="F608" s="39"/>
      <c r="G608" s="40"/>
      <c r="H608" s="1"/>
      <c r="I608" s="1"/>
      <c r="J608" s="1"/>
    </row>
    <row r="609" spans="1:10" ht="21.5" x14ac:dyDescent="0.75">
      <c r="A609" s="2" t="s">
        <v>3</v>
      </c>
      <c r="B609" s="3" t="s">
        <v>4</v>
      </c>
      <c r="C609" s="4"/>
      <c r="D609" s="5" t="s">
        <v>5</v>
      </c>
      <c r="E609" s="3" t="s">
        <v>6</v>
      </c>
      <c r="F609" s="3" t="s">
        <v>7</v>
      </c>
      <c r="G609" s="6" t="s">
        <v>8</v>
      </c>
      <c r="H609" s="1"/>
      <c r="I609" s="1"/>
      <c r="J609" s="1"/>
    </row>
    <row r="610" spans="1:10" x14ac:dyDescent="0.75">
      <c r="A610" s="10">
        <v>43633</v>
      </c>
      <c r="B610" s="11"/>
      <c r="C610" s="56" t="s">
        <v>19</v>
      </c>
      <c r="D610" s="57"/>
      <c r="E610" s="11"/>
      <c r="F610" s="11"/>
      <c r="G610" s="12">
        <v>145794.23999999999</v>
      </c>
      <c r="H610" s="1"/>
      <c r="I610" s="1"/>
      <c r="J610" s="1"/>
    </row>
    <row r="611" spans="1:10" x14ac:dyDescent="0.75">
      <c r="A611" s="13">
        <v>43633</v>
      </c>
      <c r="B611" s="13">
        <v>43633</v>
      </c>
      <c r="C611" s="58" t="s">
        <v>346</v>
      </c>
      <c r="D611" s="59"/>
      <c r="E611" s="14">
        <v>36718.1</v>
      </c>
      <c r="F611" s="15" t="s">
        <v>21</v>
      </c>
      <c r="G611" s="14">
        <v>109076.14</v>
      </c>
      <c r="H611" s="1"/>
      <c r="I611" s="1"/>
      <c r="J611" s="1"/>
    </row>
    <row r="612" spans="1:10" x14ac:dyDescent="0.75">
      <c r="A612" s="16">
        <v>43633</v>
      </c>
      <c r="B612" s="16">
        <v>43633</v>
      </c>
      <c r="C612" s="53" t="s">
        <v>347</v>
      </c>
      <c r="D612" s="54"/>
      <c r="E612" s="17">
        <v>8809.75</v>
      </c>
      <c r="F612" s="18" t="s">
        <v>21</v>
      </c>
      <c r="G612" s="17">
        <v>100266.39</v>
      </c>
      <c r="H612" s="1"/>
      <c r="I612" s="1"/>
      <c r="J612" s="1"/>
    </row>
    <row r="613" spans="1:10" x14ac:dyDescent="0.75">
      <c r="A613" s="26"/>
      <c r="B613" s="26"/>
      <c r="C613" s="58" t="s">
        <v>348</v>
      </c>
      <c r="D613" s="59"/>
      <c r="E613" s="26"/>
      <c r="F613" s="26"/>
      <c r="G613" s="26"/>
      <c r="H613" s="1"/>
      <c r="I613" s="1"/>
      <c r="J613" s="1"/>
    </row>
    <row r="614" spans="1:10" x14ac:dyDescent="0.75">
      <c r="A614" s="13">
        <v>43633</v>
      </c>
      <c r="B614" s="13">
        <v>43633</v>
      </c>
      <c r="C614" s="58" t="s">
        <v>349</v>
      </c>
      <c r="D614" s="59"/>
      <c r="E614" s="14">
        <v>12512.64</v>
      </c>
      <c r="F614" s="15" t="s">
        <v>21</v>
      </c>
      <c r="G614" s="14">
        <v>87753.75</v>
      </c>
      <c r="H614" s="1"/>
      <c r="I614" s="1"/>
      <c r="J614" s="1"/>
    </row>
    <row r="615" spans="1:10" x14ac:dyDescent="0.75">
      <c r="A615" s="16">
        <v>43634</v>
      </c>
      <c r="B615" s="16">
        <v>43634</v>
      </c>
      <c r="C615" s="53" t="s">
        <v>350</v>
      </c>
      <c r="D615" s="54"/>
      <c r="E615" s="19">
        <v>552.9</v>
      </c>
      <c r="F615" s="18" t="s">
        <v>21</v>
      </c>
      <c r="G615" s="17">
        <v>87200.85</v>
      </c>
      <c r="H615" s="1"/>
      <c r="I615" s="1"/>
      <c r="J615" s="1"/>
    </row>
    <row r="616" spans="1:10" x14ac:dyDescent="0.75">
      <c r="A616" s="16">
        <v>43634</v>
      </c>
      <c r="B616" s="16">
        <v>43634</v>
      </c>
      <c r="C616" s="53" t="s">
        <v>351</v>
      </c>
      <c r="D616" s="54"/>
      <c r="E616" s="19">
        <v>692.76</v>
      </c>
      <c r="F616" s="18" t="s">
        <v>21</v>
      </c>
      <c r="G616" s="17">
        <v>86508.09</v>
      </c>
      <c r="H616" s="1"/>
      <c r="I616" s="1"/>
      <c r="J616" s="1"/>
    </row>
    <row r="617" spans="1:10" x14ac:dyDescent="0.75">
      <c r="A617" s="16">
        <v>43634</v>
      </c>
      <c r="B617" s="16">
        <v>43634</v>
      </c>
      <c r="C617" s="53" t="s">
        <v>352</v>
      </c>
      <c r="D617" s="54"/>
      <c r="E617" s="17">
        <v>2263.9699999999998</v>
      </c>
      <c r="F617" s="18" t="s">
        <v>21</v>
      </c>
      <c r="G617" s="17">
        <v>84244.12</v>
      </c>
      <c r="H617" s="1"/>
      <c r="I617" s="1"/>
      <c r="J617" s="1"/>
    </row>
    <row r="618" spans="1:10" x14ac:dyDescent="0.75">
      <c r="A618" s="16">
        <v>43634</v>
      </c>
      <c r="B618" s="16">
        <v>43634</v>
      </c>
      <c r="C618" s="53" t="s">
        <v>353</v>
      </c>
      <c r="D618" s="54"/>
      <c r="E618" s="17">
        <v>5619.42</v>
      </c>
      <c r="F618" s="18" t="s">
        <v>21</v>
      </c>
      <c r="G618" s="17">
        <v>78624.7</v>
      </c>
      <c r="H618" s="1"/>
      <c r="I618" s="1"/>
      <c r="J618" s="1"/>
    </row>
    <row r="619" spans="1:10" x14ac:dyDescent="0.75">
      <c r="A619" s="16">
        <v>43634</v>
      </c>
      <c r="B619" s="16">
        <v>43634</v>
      </c>
      <c r="C619" s="53" t="s">
        <v>354</v>
      </c>
      <c r="D619" s="54"/>
      <c r="E619" s="17">
        <v>10324.030000000001</v>
      </c>
      <c r="F619" s="18" t="s">
        <v>21</v>
      </c>
      <c r="G619" s="17">
        <v>68300.67</v>
      </c>
      <c r="H619" s="1"/>
      <c r="I619" s="1"/>
      <c r="J619" s="1"/>
    </row>
    <row r="620" spans="1:10" x14ac:dyDescent="0.75">
      <c r="A620" s="26"/>
      <c r="B620" s="26"/>
      <c r="C620" s="58" t="s">
        <v>348</v>
      </c>
      <c r="D620" s="59"/>
      <c r="E620" s="26"/>
      <c r="F620" s="26"/>
      <c r="G620" s="26"/>
      <c r="H620" s="1"/>
      <c r="I620" s="1"/>
      <c r="J620" s="1"/>
    </row>
    <row r="621" spans="1:10" x14ac:dyDescent="0.75">
      <c r="A621" s="13">
        <v>43635</v>
      </c>
      <c r="B621" s="13">
        <v>43635</v>
      </c>
      <c r="C621" s="58" t="s">
        <v>355</v>
      </c>
      <c r="D621" s="59"/>
      <c r="E621" s="25">
        <v>465.6</v>
      </c>
      <c r="F621" s="15" t="s">
        <v>21</v>
      </c>
      <c r="G621" s="14">
        <v>67835.070000000007</v>
      </c>
      <c r="H621" s="1"/>
      <c r="I621" s="1"/>
      <c r="J621" s="1"/>
    </row>
    <row r="622" spans="1:10" x14ac:dyDescent="0.75">
      <c r="A622" s="16">
        <v>43635</v>
      </c>
      <c r="B622" s="16">
        <v>43635</v>
      </c>
      <c r="C622" s="53" t="s">
        <v>356</v>
      </c>
      <c r="D622" s="54"/>
      <c r="E622" s="17">
        <v>6548.85</v>
      </c>
      <c r="F622" s="18" t="s">
        <v>21</v>
      </c>
      <c r="G622" s="17">
        <v>61286.22</v>
      </c>
      <c r="H622" s="1"/>
      <c r="I622" s="1"/>
      <c r="J622" s="1"/>
    </row>
    <row r="623" spans="1:10" x14ac:dyDescent="0.75">
      <c r="A623" s="16">
        <v>43636</v>
      </c>
      <c r="B623" s="16">
        <v>43636</v>
      </c>
      <c r="C623" s="53" t="s">
        <v>28</v>
      </c>
      <c r="D623" s="54"/>
      <c r="E623" s="18" t="s">
        <v>21</v>
      </c>
      <c r="F623" s="19">
        <v>995</v>
      </c>
      <c r="G623" s="17">
        <v>62281.22</v>
      </c>
      <c r="H623" s="1"/>
      <c r="I623" s="1"/>
      <c r="J623" s="1"/>
    </row>
    <row r="624" spans="1:10" x14ac:dyDescent="0.75">
      <c r="A624" s="16">
        <v>43636</v>
      </c>
      <c r="B624" s="16">
        <v>43636</v>
      </c>
      <c r="C624" s="53" t="s">
        <v>357</v>
      </c>
      <c r="D624" s="54"/>
      <c r="E624" s="17">
        <v>3306.37</v>
      </c>
      <c r="F624" s="18" t="s">
        <v>21</v>
      </c>
      <c r="G624" s="17">
        <v>58974.85</v>
      </c>
      <c r="H624" s="1"/>
      <c r="I624" s="1"/>
      <c r="J624" s="1"/>
    </row>
    <row r="625" spans="1:10" x14ac:dyDescent="0.75">
      <c r="A625" s="20"/>
      <c r="B625" s="20"/>
      <c r="C625" s="8"/>
      <c r="D625" s="9"/>
      <c r="E625" s="20"/>
      <c r="F625" s="20"/>
      <c r="G625" s="20"/>
      <c r="H625" s="1"/>
      <c r="I625" s="1"/>
      <c r="J625" s="1"/>
    </row>
    <row r="626" spans="1:10" x14ac:dyDescent="0.75">
      <c r="A626" s="34" t="s">
        <v>15</v>
      </c>
      <c r="B626" s="35"/>
      <c r="C626" s="35"/>
      <c r="D626" s="35"/>
      <c r="E626" s="35"/>
      <c r="F626" s="35"/>
      <c r="G626" s="36"/>
      <c r="H626" s="1"/>
      <c r="I626" s="1"/>
      <c r="J626" s="1"/>
    </row>
    <row r="627" spans="1:10" x14ac:dyDescent="0.75">
      <c r="A627" s="21" t="s">
        <v>32</v>
      </c>
      <c r="B627" s="22"/>
      <c r="C627" s="22"/>
      <c r="D627" s="23" t="s">
        <v>33</v>
      </c>
      <c r="E627" s="22"/>
      <c r="F627" s="22"/>
      <c r="G627" s="24"/>
      <c r="H627" s="1"/>
      <c r="I627" s="1"/>
      <c r="J627" s="1"/>
    </row>
    <row r="628" spans="1:10" x14ac:dyDescent="0.75">
      <c r="A628" s="37" t="s">
        <v>358</v>
      </c>
      <c r="B628" s="37"/>
      <c r="C628" s="37"/>
      <c r="D628" s="37"/>
      <c r="E628" s="37"/>
      <c r="F628" s="37"/>
      <c r="G628" s="37"/>
      <c r="H628" s="37"/>
      <c r="I628" s="1"/>
      <c r="J628" s="1"/>
    </row>
    <row r="629" spans="1:10" x14ac:dyDescent="0.75">
      <c r="A629" s="55" t="s">
        <v>0</v>
      </c>
      <c r="B629" s="55"/>
      <c r="C629" s="55"/>
      <c r="D629" s="55"/>
      <c r="E629" s="55"/>
      <c r="F629" s="55"/>
      <c r="G629" s="55"/>
      <c r="H629" s="55"/>
      <c r="I629" s="1"/>
      <c r="J629" s="1"/>
    </row>
    <row r="630" spans="1:10" x14ac:dyDescent="0.75">
      <c r="A630" s="55" t="s">
        <v>1</v>
      </c>
      <c r="B630" s="55"/>
      <c r="C630" s="55"/>
      <c r="D630" s="55"/>
      <c r="E630" s="55"/>
      <c r="F630" s="55"/>
      <c r="G630" s="55"/>
      <c r="H630" s="55"/>
      <c r="I630" s="1"/>
      <c r="J630" s="1"/>
    </row>
    <row r="631" spans="1:10" x14ac:dyDescent="0.75">
      <c r="A631" s="38" t="s">
        <v>35</v>
      </c>
      <c r="B631" s="39"/>
      <c r="C631" s="39"/>
      <c r="D631" s="39"/>
      <c r="E631" s="39"/>
      <c r="F631" s="39"/>
      <c r="G631" s="40"/>
      <c r="H631" s="1"/>
      <c r="I631" s="1"/>
      <c r="J631" s="1"/>
    </row>
    <row r="632" spans="1:10" ht="21.5" x14ac:dyDescent="0.75">
      <c r="A632" s="2" t="s">
        <v>3</v>
      </c>
      <c r="B632" s="3" t="s">
        <v>4</v>
      </c>
      <c r="C632" s="4"/>
      <c r="D632" s="5" t="s">
        <v>5</v>
      </c>
      <c r="E632" s="3" t="s">
        <v>6</v>
      </c>
      <c r="F632" s="3" t="s">
        <v>7</v>
      </c>
      <c r="G632" s="6" t="s">
        <v>8</v>
      </c>
      <c r="H632" s="1"/>
      <c r="I632" s="1"/>
      <c r="J632" s="1"/>
    </row>
    <row r="633" spans="1:10" x14ac:dyDescent="0.75">
      <c r="A633" s="10">
        <v>43636</v>
      </c>
      <c r="B633" s="11"/>
      <c r="C633" s="56" t="s">
        <v>19</v>
      </c>
      <c r="D633" s="57"/>
      <c r="E633" s="11"/>
      <c r="F633" s="11"/>
      <c r="G633" s="12">
        <v>58974.85</v>
      </c>
      <c r="H633" s="1"/>
      <c r="I633" s="1"/>
      <c r="J633" s="1"/>
    </row>
    <row r="634" spans="1:10" x14ac:dyDescent="0.75">
      <c r="A634" s="13">
        <v>43637</v>
      </c>
      <c r="B634" s="13">
        <v>43637</v>
      </c>
      <c r="C634" s="58" t="s">
        <v>359</v>
      </c>
      <c r="D634" s="59"/>
      <c r="E634" s="25">
        <v>584</v>
      </c>
      <c r="F634" s="15" t="s">
        <v>21</v>
      </c>
      <c r="G634" s="14">
        <v>58390.85</v>
      </c>
      <c r="H634" s="1"/>
      <c r="I634" s="1"/>
      <c r="J634" s="1"/>
    </row>
    <row r="635" spans="1:10" x14ac:dyDescent="0.75">
      <c r="A635" s="16">
        <v>43637</v>
      </c>
      <c r="B635" s="16">
        <v>43637</v>
      </c>
      <c r="C635" s="53" t="s">
        <v>360</v>
      </c>
      <c r="D635" s="54"/>
      <c r="E635" s="17">
        <v>1323</v>
      </c>
      <c r="F635" s="18" t="s">
        <v>21</v>
      </c>
      <c r="G635" s="17">
        <v>57067.85</v>
      </c>
      <c r="H635" s="1"/>
      <c r="I635" s="1"/>
      <c r="J635" s="1"/>
    </row>
    <row r="636" spans="1:10" x14ac:dyDescent="0.75">
      <c r="A636" s="16">
        <v>43637</v>
      </c>
      <c r="B636" s="16">
        <v>43637</v>
      </c>
      <c r="C636" s="53" t="s">
        <v>361</v>
      </c>
      <c r="D636" s="54"/>
      <c r="E636" s="17">
        <v>1389.15</v>
      </c>
      <c r="F636" s="18" t="s">
        <v>21</v>
      </c>
      <c r="G636" s="17">
        <v>55678.7</v>
      </c>
      <c r="H636" s="1"/>
      <c r="I636" s="1"/>
      <c r="J636" s="1"/>
    </row>
    <row r="637" spans="1:10" x14ac:dyDescent="0.75">
      <c r="A637" s="16">
        <v>43637</v>
      </c>
      <c r="B637" s="16">
        <v>43637</v>
      </c>
      <c r="C637" s="53" t="s">
        <v>362</v>
      </c>
      <c r="D637" s="54"/>
      <c r="E637" s="17">
        <v>8696.7099999999991</v>
      </c>
      <c r="F637" s="18" t="s">
        <v>21</v>
      </c>
      <c r="G637" s="17">
        <v>46981.99</v>
      </c>
      <c r="H637" s="1"/>
      <c r="I637" s="1"/>
      <c r="J637" s="1"/>
    </row>
    <row r="638" spans="1:10" x14ac:dyDescent="0.75">
      <c r="A638" s="16">
        <v>43637</v>
      </c>
      <c r="B638" s="16">
        <v>43637</v>
      </c>
      <c r="C638" s="53" t="s">
        <v>363</v>
      </c>
      <c r="D638" s="54"/>
      <c r="E638" s="17">
        <v>1045.43</v>
      </c>
      <c r="F638" s="18" t="s">
        <v>21</v>
      </c>
      <c r="G638" s="17">
        <v>45936.56</v>
      </c>
      <c r="H638" s="1"/>
      <c r="I638" s="1"/>
      <c r="J638" s="1"/>
    </row>
    <row r="639" spans="1:10" x14ac:dyDescent="0.75">
      <c r="A639" s="16">
        <v>43640</v>
      </c>
      <c r="B639" s="16">
        <v>43640</v>
      </c>
      <c r="C639" s="53" t="s">
        <v>28</v>
      </c>
      <c r="D639" s="54"/>
      <c r="E639" s="18" t="s">
        <v>21</v>
      </c>
      <c r="F639" s="17">
        <v>43420.63</v>
      </c>
      <c r="G639" s="17">
        <v>89357.19</v>
      </c>
      <c r="H639" s="1"/>
      <c r="I639" s="1"/>
      <c r="J639" s="1"/>
    </row>
    <row r="640" spans="1:10" x14ac:dyDescent="0.75">
      <c r="A640" s="16">
        <v>43640</v>
      </c>
      <c r="B640" s="16">
        <v>43640</v>
      </c>
      <c r="C640" s="53" t="s">
        <v>364</v>
      </c>
      <c r="D640" s="54"/>
      <c r="E640" s="17">
        <v>2059</v>
      </c>
      <c r="F640" s="18" t="s">
        <v>21</v>
      </c>
      <c r="G640" s="17">
        <v>87298.19</v>
      </c>
      <c r="H640" s="1"/>
      <c r="I640" s="1"/>
      <c r="J640" s="1"/>
    </row>
    <row r="641" spans="1:10" x14ac:dyDescent="0.75">
      <c r="A641" s="16">
        <v>43641</v>
      </c>
      <c r="B641" s="16">
        <v>43641</v>
      </c>
      <c r="C641" s="53" t="s">
        <v>365</v>
      </c>
      <c r="D641" s="54"/>
      <c r="E641" s="17">
        <v>6609.5</v>
      </c>
      <c r="F641" s="18" t="s">
        <v>21</v>
      </c>
      <c r="G641" s="17">
        <v>80688.69</v>
      </c>
      <c r="H641" s="1"/>
      <c r="I641" s="1"/>
      <c r="J641" s="1"/>
    </row>
    <row r="642" spans="1:10" x14ac:dyDescent="0.75">
      <c r="A642" s="16">
        <v>43641</v>
      </c>
      <c r="B642" s="16">
        <v>43641</v>
      </c>
      <c r="C642" s="53" t="s">
        <v>366</v>
      </c>
      <c r="D642" s="54"/>
      <c r="E642" s="17">
        <v>7916.34</v>
      </c>
      <c r="F642" s="18" t="s">
        <v>21</v>
      </c>
      <c r="G642" s="17">
        <v>72772.350000000006</v>
      </c>
      <c r="H642" s="1"/>
      <c r="I642" s="1"/>
      <c r="J642" s="1"/>
    </row>
    <row r="643" spans="1:10" x14ac:dyDescent="0.75">
      <c r="A643" s="16">
        <v>43641</v>
      </c>
      <c r="B643" s="16">
        <v>43641</v>
      </c>
      <c r="C643" s="53" t="s">
        <v>367</v>
      </c>
      <c r="D643" s="54"/>
      <c r="E643" s="17">
        <v>9446.2000000000007</v>
      </c>
      <c r="F643" s="18" t="s">
        <v>21</v>
      </c>
      <c r="G643" s="17">
        <v>63326.15</v>
      </c>
      <c r="H643" s="1"/>
      <c r="I643" s="1"/>
      <c r="J643" s="1"/>
    </row>
    <row r="644" spans="1:10" x14ac:dyDescent="0.75">
      <c r="A644" s="16">
        <v>43642</v>
      </c>
      <c r="B644" s="16">
        <v>43642</v>
      </c>
      <c r="C644" s="53" t="s">
        <v>368</v>
      </c>
      <c r="D644" s="54"/>
      <c r="E644" s="17">
        <v>1504.85</v>
      </c>
      <c r="F644" s="18" t="s">
        <v>21</v>
      </c>
      <c r="G644" s="17">
        <v>61821.3</v>
      </c>
      <c r="H644" s="1"/>
      <c r="I644" s="1"/>
      <c r="J644" s="1"/>
    </row>
    <row r="645" spans="1:10" x14ac:dyDescent="0.75">
      <c r="A645" s="16">
        <v>43642</v>
      </c>
      <c r="B645" s="16">
        <v>43642</v>
      </c>
      <c r="C645" s="53" t="s">
        <v>369</v>
      </c>
      <c r="D645" s="54"/>
      <c r="E645" s="17">
        <v>3616.2</v>
      </c>
      <c r="F645" s="18" t="s">
        <v>21</v>
      </c>
      <c r="G645" s="17">
        <v>58205.1</v>
      </c>
      <c r="H645" s="1"/>
      <c r="I645" s="1"/>
      <c r="J645" s="1"/>
    </row>
    <row r="646" spans="1:10" x14ac:dyDescent="0.75">
      <c r="A646" s="20"/>
      <c r="B646" s="20"/>
      <c r="C646" s="8"/>
      <c r="D646" s="9"/>
      <c r="E646" s="20"/>
      <c r="F646" s="20"/>
      <c r="G646" s="20"/>
      <c r="H646" s="1"/>
      <c r="I646" s="1"/>
      <c r="J646" s="1"/>
    </row>
    <row r="647" spans="1:10" x14ac:dyDescent="0.75">
      <c r="A647" s="34" t="s">
        <v>15</v>
      </c>
      <c r="B647" s="35"/>
      <c r="C647" s="35"/>
      <c r="D647" s="35"/>
      <c r="E647" s="35"/>
      <c r="F647" s="35"/>
      <c r="G647" s="36"/>
      <c r="H647" s="1"/>
      <c r="I647" s="1"/>
      <c r="J647" s="1"/>
    </row>
    <row r="648" spans="1:10" x14ac:dyDescent="0.75">
      <c r="A648" s="21" t="s">
        <v>32</v>
      </c>
      <c r="B648" s="22"/>
      <c r="C648" s="22"/>
      <c r="D648" s="23" t="s">
        <v>33</v>
      </c>
      <c r="E648" s="22"/>
      <c r="F648" s="22"/>
      <c r="G648" s="24"/>
      <c r="H648" s="1"/>
      <c r="I648" s="1"/>
      <c r="J648" s="1"/>
    </row>
    <row r="649" spans="1:10" x14ac:dyDescent="0.75">
      <c r="A649" s="37" t="s">
        <v>370</v>
      </c>
      <c r="B649" s="37"/>
      <c r="C649" s="37"/>
      <c r="D649" s="37"/>
      <c r="E649" s="37"/>
      <c r="F649" s="37"/>
      <c r="G649" s="37"/>
      <c r="H649" s="37"/>
      <c r="I649" s="1"/>
      <c r="J649" s="1"/>
    </row>
    <row r="650" spans="1:10" x14ac:dyDescent="0.75">
      <c r="A650" s="55" t="s">
        <v>0</v>
      </c>
      <c r="B650" s="55"/>
      <c r="C650" s="55"/>
      <c r="D650" s="55"/>
      <c r="E650" s="55"/>
      <c r="F650" s="55"/>
      <c r="G650" s="55"/>
      <c r="H650" s="55"/>
      <c r="I650" s="1"/>
      <c r="J650" s="1"/>
    </row>
    <row r="651" spans="1:10" x14ac:dyDescent="0.75">
      <c r="A651" s="55" t="s">
        <v>1</v>
      </c>
      <c r="B651" s="55"/>
      <c r="C651" s="55"/>
      <c r="D651" s="55"/>
      <c r="E651" s="55"/>
      <c r="F651" s="55"/>
      <c r="G651" s="55"/>
      <c r="H651" s="55"/>
      <c r="I651" s="1"/>
      <c r="J651" s="1"/>
    </row>
    <row r="652" spans="1:10" x14ac:dyDescent="0.75">
      <c r="A652" s="38" t="s">
        <v>35</v>
      </c>
      <c r="B652" s="39"/>
      <c r="C652" s="39"/>
      <c r="D652" s="39"/>
      <c r="E652" s="39"/>
      <c r="F652" s="39"/>
      <c r="G652" s="40"/>
      <c r="H652" s="1"/>
      <c r="I652" s="1"/>
      <c r="J652" s="1"/>
    </row>
    <row r="653" spans="1:10" ht="21.5" x14ac:dyDescent="0.75">
      <c r="A653" s="2" t="s">
        <v>3</v>
      </c>
      <c r="B653" s="3" t="s">
        <v>4</v>
      </c>
      <c r="C653" s="4"/>
      <c r="D653" s="5" t="s">
        <v>5</v>
      </c>
      <c r="E653" s="3" t="s">
        <v>6</v>
      </c>
      <c r="F653" s="3" t="s">
        <v>7</v>
      </c>
      <c r="G653" s="6" t="s">
        <v>8</v>
      </c>
      <c r="H653" s="1"/>
      <c r="I653" s="1"/>
      <c r="J653" s="1"/>
    </row>
    <row r="654" spans="1:10" ht="43" x14ac:dyDescent="0.75">
      <c r="A654" s="41" t="s">
        <v>371</v>
      </c>
      <c r="B654" s="41" t="s">
        <v>372</v>
      </c>
      <c r="C654" s="44" t="s">
        <v>373</v>
      </c>
      <c r="D654" s="45"/>
      <c r="E654" s="7" t="s">
        <v>374</v>
      </c>
      <c r="F654" s="7" t="s">
        <v>375</v>
      </c>
      <c r="G654" s="72" t="s">
        <v>376</v>
      </c>
      <c r="H654" s="1"/>
      <c r="I654" s="1"/>
      <c r="J654" s="1"/>
    </row>
    <row r="655" spans="1:10" x14ac:dyDescent="0.75">
      <c r="A655" s="42"/>
      <c r="B655" s="42"/>
      <c r="C655" s="46"/>
      <c r="D655" s="47"/>
      <c r="E655" s="63">
        <v>858357.95</v>
      </c>
      <c r="F655" s="63">
        <v>162763.28</v>
      </c>
      <c r="G655" s="73"/>
      <c r="H655" s="1"/>
      <c r="I655" s="1"/>
      <c r="J655" s="1"/>
    </row>
    <row r="656" spans="1:10" x14ac:dyDescent="0.75">
      <c r="A656" s="43"/>
      <c r="B656" s="43"/>
      <c r="C656" s="8"/>
      <c r="D656" s="9"/>
      <c r="E656" s="64"/>
      <c r="F656" s="64"/>
      <c r="G656" s="74"/>
      <c r="H656" s="1"/>
      <c r="I656" s="1"/>
      <c r="J656" s="1"/>
    </row>
    <row r="657" spans="1:10" x14ac:dyDescent="0.75">
      <c r="A657" s="34" t="s">
        <v>15</v>
      </c>
      <c r="B657" s="35"/>
      <c r="C657" s="35"/>
      <c r="D657" s="35"/>
      <c r="E657" s="35"/>
      <c r="F657" s="35"/>
      <c r="G657" s="36"/>
      <c r="H657" s="1"/>
      <c r="I657" s="1"/>
      <c r="J657" s="1"/>
    </row>
    <row r="658" spans="1:10" x14ac:dyDescent="0.75">
      <c r="A658" s="34" t="s">
        <v>16</v>
      </c>
      <c r="B658" s="35"/>
      <c r="C658" s="35"/>
      <c r="D658" s="35"/>
      <c r="E658" s="35"/>
      <c r="F658" s="35"/>
      <c r="G658" s="36"/>
      <c r="H658" s="1"/>
      <c r="I658" s="1"/>
      <c r="J658" s="1"/>
    </row>
    <row r="659" spans="1:10" x14ac:dyDescent="0.75">
      <c r="A659" s="37" t="s">
        <v>377</v>
      </c>
      <c r="B659" s="37"/>
      <c r="C659" s="37"/>
      <c r="D659" s="37"/>
      <c r="E659" s="37"/>
      <c r="F659" s="37"/>
      <c r="G659" s="37"/>
      <c r="H659" s="37"/>
      <c r="I659" s="1"/>
      <c r="J659" s="1"/>
    </row>
    <row r="660" spans="1:10" x14ac:dyDescent="0.75">
      <c r="A660" s="55" t="s">
        <v>0</v>
      </c>
      <c r="B660" s="55"/>
      <c r="C660" s="55"/>
      <c r="D660" s="55"/>
      <c r="E660" s="55"/>
      <c r="F660" s="55"/>
      <c r="G660" s="55"/>
      <c r="H660" s="55"/>
      <c r="I660" s="1"/>
      <c r="J660" s="1"/>
    </row>
    <row r="661" spans="1:10" x14ac:dyDescent="0.75">
      <c r="A661" s="55" t="s">
        <v>1</v>
      </c>
      <c r="B661" s="55"/>
      <c r="C661" s="55"/>
      <c r="D661" s="55"/>
      <c r="E661" s="55"/>
      <c r="F661" s="55"/>
      <c r="G661" s="55"/>
      <c r="H661" s="55"/>
      <c r="I661" s="1"/>
      <c r="J661" s="1"/>
    </row>
    <row r="662" spans="1:10" x14ac:dyDescent="0.75">
      <c r="A662" s="34" t="s">
        <v>378</v>
      </c>
      <c r="B662" s="35"/>
      <c r="C662" s="35"/>
      <c r="D662" s="35"/>
      <c r="E662" s="35"/>
      <c r="F662" s="35"/>
      <c r="G662" s="36"/>
      <c r="H662" s="1"/>
      <c r="I662" s="1"/>
      <c r="J662" s="1"/>
    </row>
    <row r="663" spans="1:10" ht="21.5" x14ac:dyDescent="0.75">
      <c r="A663" s="2" t="s">
        <v>3</v>
      </c>
      <c r="B663" s="3" t="s">
        <v>4</v>
      </c>
      <c r="C663" s="4"/>
      <c r="D663" s="5" t="s">
        <v>5</v>
      </c>
      <c r="E663" s="3" t="s">
        <v>6</v>
      </c>
      <c r="F663" s="3" t="s">
        <v>7</v>
      </c>
      <c r="G663" s="6" t="s">
        <v>8</v>
      </c>
      <c r="H663" s="1"/>
      <c r="I663" s="1"/>
      <c r="J663" s="1"/>
    </row>
    <row r="664" spans="1:10" x14ac:dyDescent="0.75">
      <c r="A664" s="10">
        <v>43644</v>
      </c>
      <c r="B664" s="11"/>
      <c r="C664" s="56" t="s">
        <v>19</v>
      </c>
      <c r="D664" s="57"/>
      <c r="E664" s="11"/>
      <c r="F664" s="11"/>
      <c r="G664" s="12">
        <v>47959.73</v>
      </c>
      <c r="H664" s="1"/>
      <c r="I664" s="1"/>
      <c r="J664" s="1"/>
    </row>
    <row r="665" spans="1:10" x14ac:dyDescent="0.75">
      <c r="A665" s="13">
        <v>43648</v>
      </c>
      <c r="B665" s="13">
        <v>43648</v>
      </c>
      <c r="C665" s="58" t="s">
        <v>28</v>
      </c>
      <c r="D665" s="59"/>
      <c r="E665" s="15" t="s">
        <v>21</v>
      </c>
      <c r="F665" s="14">
        <v>14478.65</v>
      </c>
      <c r="G665" s="14">
        <v>62438.38</v>
      </c>
      <c r="H665" s="1"/>
      <c r="I665" s="1"/>
      <c r="J665" s="1"/>
    </row>
    <row r="666" spans="1:10" x14ac:dyDescent="0.75">
      <c r="A666" s="16">
        <v>43649</v>
      </c>
      <c r="B666" s="16">
        <v>43649</v>
      </c>
      <c r="C666" s="53" t="s">
        <v>28</v>
      </c>
      <c r="D666" s="54"/>
      <c r="E666" s="18" t="s">
        <v>21</v>
      </c>
      <c r="F666" s="17">
        <v>4307.3599999999997</v>
      </c>
      <c r="G666" s="17">
        <v>66745.740000000005</v>
      </c>
      <c r="H666" s="1"/>
      <c r="I666" s="1"/>
      <c r="J666" s="1"/>
    </row>
    <row r="667" spans="1:10" x14ac:dyDescent="0.75">
      <c r="A667" s="16">
        <v>43649</v>
      </c>
      <c r="B667" s="16">
        <v>43649</v>
      </c>
      <c r="C667" s="53" t="s">
        <v>379</v>
      </c>
      <c r="D667" s="54"/>
      <c r="E667" s="19">
        <v>661.5</v>
      </c>
      <c r="F667" s="18" t="s">
        <v>21</v>
      </c>
      <c r="G667" s="17">
        <v>66084.240000000005</v>
      </c>
      <c r="H667" s="1"/>
      <c r="I667" s="1"/>
      <c r="J667" s="1"/>
    </row>
    <row r="668" spans="1:10" x14ac:dyDescent="0.75">
      <c r="A668" s="16">
        <v>43649</v>
      </c>
      <c r="B668" s="16">
        <v>43649</v>
      </c>
      <c r="C668" s="53" t="s">
        <v>380</v>
      </c>
      <c r="D668" s="54"/>
      <c r="E668" s="17">
        <v>2328</v>
      </c>
      <c r="F668" s="18" t="s">
        <v>21</v>
      </c>
      <c r="G668" s="17">
        <v>63756.24</v>
      </c>
      <c r="H668" s="1"/>
      <c r="I668" s="1"/>
      <c r="J668" s="1"/>
    </row>
    <row r="669" spans="1:10" x14ac:dyDescent="0.75">
      <c r="A669" s="16">
        <v>43651</v>
      </c>
      <c r="B669" s="16">
        <v>43651</v>
      </c>
      <c r="C669" s="53" t="s">
        <v>381</v>
      </c>
      <c r="D669" s="54"/>
      <c r="E669" s="19">
        <v>485</v>
      </c>
      <c r="F669" s="18" t="s">
        <v>21</v>
      </c>
      <c r="G669" s="17">
        <v>63271.24</v>
      </c>
      <c r="H669" s="1"/>
      <c r="I669" s="1"/>
      <c r="J669" s="1"/>
    </row>
    <row r="670" spans="1:10" x14ac:dyDescent="0.75">
      <c r="A670" s="16">
        <v>43654</v>
      </c>
      <c r="B670" s="16">
        <v>43654</v>
      </c>
      <c r="C670" s="53" t="s">
        <v>28</v>
      </c>
      <c r="D670" s="54"/>
      <c r="E670" s="18" t="s">
        <v>21</v>
      </c>
      <c r="F670" s="17">
        <v>20433.740000000002</v>
      </c>
      <c r="G670" s="17">
        <v>83704.98</v>
      </c>
      <c r="H670" s="1"/>
      <c r="I670" s="1"/>
      <c r="J670" s="1"/>
    </row>
    <row r="671" spans="1:10" x14ac:dyDescent="0.75">
      <c r="A671" s="16">
        <v>43655</v>
      </c>
      <c r="B671" s="16">
        <v>43655</v>
      </c>
      <c r="C671" s="53" t="s">
        <v>28</v>
      </c>
      <c r="D671" s="54"/>
      <c r="E671" s="18" t="s">
        <v>21</v>
      </c>
      <c r="F671" s="17">
        <v>48564.34</v>
      </c>
      <c r="G671" s="17">
        <v>132269.32</v>
      </c>
      <c r="H671" s="1"/>
      <c r="I671" s="1"/>
      <c r="J671" s="1"/>
    </row>
    <row r="672" spans="1:10" x14ac:dyDescent="0.75">
      <c r="A672" s="16">
        <v>43656</v>
      </c>
      <c r="B672" s="16">
        <v>43656</v>
      </c>
      <c r="C672" s="53" t="s">
        <v>28</v>
      </c>
      <c r="D672" s="54"/>
      <c r="E672" s="18" t="s">
        <v>21</v>
      </c>
      <c r="F672" s="17">
        <v>50890.6</v>
      </c>
      <c r="G672" s="17">
        <v>183159.92</v>
      </c>
      <c r="H672" s="1"/>
      <c r="I672" s="1"/>
      <c r="J672" s="1"/>
    </row>
    <row r="673" spans="1:10" x14ac:dyDescent="0.75">
      <c r="A673" s="16">
        <v>43657</v>
      </c>
      <c r="B673" s="16">
        <v>43657</v>
      </c>
      <c r="C673" s="53" t="s">
        <v>28</v>
      </c>
      <c r="D673" s="54"/>
      <c r="E673" s="18" t="s">
        <v>21</v>
      </c>
      <c r="F673" s="17">
        <v>19439.990000000002</v>
      </c>
      <c r="G673" s="17">
        <v>202599.91</v>
      </c>
      <c r="H673" s="1"/>
      <c r="I673" s="1"/>
      <c r="J673" s="1"/>
    </row>
    <row r="674" spans="1:10" x14ac:dyDescent="0.75">
      <c r="A674" s="16">
        <v>43658</v>
      </c>
      <c r="B674" s="16">
        <v>43658</v>
      </c>
      <c r="C674" s="53" t="s">
        <v>28</v>
      </c>
      <c r="D674" s="54"/>
      <c r="E674" s="18" t="s">
        <v>21</v>
      </c>
      <c r="F674" s="17">
        <v>5076.8500000000004</v>
      </c>
      <c r="G674" s="17">
        <v>207676.76</v>
      </c>
      <c r="H674" s="1"/>
      <c r="I674" s="1"/>
      <c r="J674" s="1"/>
    </row>
    <row r="675" spans="1:10" x14ac:dyDescent="0.75">
      <c r="A675" s="16">
        <v>43658</v>
      </c>
      <c r="B675" s="16">
        <v>43658</v>
      </c>
      <c r="C675" s="53" t="s">
        <v>382</v>
      </c>
      <c r="D675" s="54"/>
      <c r="E675" s="19">
        <v>708.75</v>
      </c>
      <c r="F675" s="18" t="s">
        <v>21</v>
      </c>
      <c r="G675" s="17">
        <v>206968.01</v>
      </c>
      <c r="H675" s="1"/>
      <c r="I675" s="1"/>
      <c r="J675" s="1"/>
    </row>
    <row r="676" spans="1:10" x14ac:dyDescent="0.75">
      <c r="A676" s="16">
        <v>43662</v>
      </c>
      <c r="B676" s="16">
        <v>43662</v>
      </c>
      <c r="C676" s="53" t="s">
        <v>28</v>
      </c>
      <c r="D676" s="54"/>
      <c r="E676" s="18" t="s">
        <v>21</v>
      </c>
      <c r="F676" s="17">
        <v>21037.68</v>
      </c>
      <c r="G676" s="17">
        <v>228005.69</v>
      </c>
      <c r="H676" s="1"/>
      <c r="I676" s="1"/>
      <c r="J676" s="1"/>
    </row>
    <row r="677" spans="1:10" x14ac:dyDescent="0.75">
      <c r="A677" s="20"/>
      <c r="B677" s="20"/>
      <c r="C677" s="8"/>
      <c r="D677" s="9"/>
      <c r="E677" s="20"/>
      <c r="F677" s="20"/>
      <c r="G677" s="20"/>
      <c r="H677" s="1"/>
      <c r="I677" s="1"/>
      <c r="J677" s="1"/>
    </row>
    <row r="678" spans="1:10" x14ac:dyDescent="0.75">
      <c r="A678" s="34" t="s">
        <v>15</v>
      </c>
      <c r="B678" s="35"/>
      <c r="C678" s="35"/>
      <c r="D678" s="35"/>
      <c r="E678" s="35"/>
      <c r="F678" s="35"/>
      <c r="G678" s="36"/>
      <c r="H678" s="1"/>
      <c r="I678" s="1"/>
      <c r="J678" s="1"/>
    </row>
    <row r="679" spans="1:10" x14ac:dyDescent="0.75">
      <c r="A679" s="21" t="s">
        <v>32</v>
      </c>
      <c r="B679" s="22"/>
      <c r="C679" s="22"/>
      <c r="D679" s="23" t="s">
        <v>33</v>
      </c>
      <c r="E679" s="22"/>
      <c r="F679" s="22"/>
      <c r="G679" s="24"/>
      <c r="H679" s="1"/>
      <c r="I679" s="1"/>
      <c r="J679" s="1"/>
    </row>
    <row r="680" spans="1:10" x14ac:dyDescent="0.75">
      <c r="A680" s="37" t="s">
        <v>383</v>
      </c>
      <c r="B680" s="37"/>
      <c r="C680" s="37"/>
      <c r="D680" s="37"/>
      <c r="E680" s="37"/>
      <c r="F680" s="37"/>
      <c r="G680" s="37"/>
      <c r="H680" s="37"/>
      <c r="I680" s="1"/>
      <c r="J680" s="1"/>
    </row>
    <row r="681" spans="1:10" x14ac:dyDescent="0.75">
      <c r="A681" s="55" t="s">
        <v>0</v>
      </c>
      <c r="B681" s="55"/>
      <c r="C681" s="55"/>
      <c r="D681" s="55"/>
      <c r="E681" s="55"/>
      <c r="F681" s="55"/>
      <c r="G681" s="55"/>
      <c r="H681" s="55"/>
      <c r="I681" s="1"/>
      <c r="J681" s="1"/>
    </row>
    <row r="682" spans="1:10" x14ac:dyDescent="0.75">
      <c r="A682" s="55" t="s">
        <v>1</v>
      </c>
      <c r="B682" s="55"/>
      <c r="C682" s="55"/>
      <c r="D682" s="55"/>
      <c r="E682" s="55"/>
      <c r="F682" s="55"/>
      <c r="G682" s="55"/>
      <c r="H682" s="55"/>
      <c r="I682" s="1"/>
      <c r="J682" s="1"/>
    </row>
    <row r="683" spans="1:10" x14ac:dyDescent="0.75">
      <c r="A683" s="38" t="s">
        <v>35</v>
      </c>
      <c r="B683" s="39"/>
      <c r="C683" s="39"/>
      <c r="D683" s="39"/>
      <c r="E683" s="39"/>
      <c r="F683" s="39"/>
      <c r="G683" s="40"/>
      <c r="H683" s="1"/>
      <c r="I683" s="1"/>
      <c r="J683" s="1"/>
    </row>
    <row r="684" spans="1:10" ht="21.5" x14ac:dyDescent="0.75">
      <c r="A684" s="2" t="s">
        <v>3</v>
      </c>
      <c r="B684" s="3" t="s">
        <v>4</v>
      </c>
      <c r="C684" s="4"/>
      <c r="D684" s="5" t="s">
        <v>5</v>
      </c>
      <c r="E684" s="3" t="s">
        <v>6</v>
      </c>
      <c r="F684" s="3" t="s">
        <v>7</v>
      </c>
      <c r="G684" s="6" t="s">
        <v>8</v>
      </c>
      <c r="H684" s="1"/>
      <c r="I684" s="1"/>
      <c r="J684" s="1"/>
    </row>
    <row r="685" spans="1:10" x14ac:dyDescent="0.75">
      <c r="A685" s="10">
        <v>43662</v>
      </c>
      <c r="B685" s="11"/>
      <c r="C685" s="56" t="s">
        <v>19</v>
      </c>
      <c r="D685" s="57"/>
      <c r="E685" s="11"/>
      <c r="F685" s="11"/>
      <c r="G685" s="12">
        <v>228005.69</v>
      </c>
      <c r="H685" s="1"/>
      <c r="I685" s="1"/>
      <c r="J685" s="1"/>
    </row>
    <row r="686" spans="1:10" x14ac:dyDescent="0.75">
      <c r="A686" s="13">
        <v>43663</v>
      </c>
      <c r="B686" s="13">
        <v>43663</v>
      </c>
      <c r="C686" s="58" t="s">
        <v>384</v>
      </c>
      <c r="D686" s="59"/>
      <c r="E686" s="14">
        <v>8578.5</v>
      </c>
      <c r="F686" s="15" t="s">
        <v>21</v>
      </c>
      <c r="G686" s="14">
        <v>219427.19</v>
      </c>
      <c r="H686" s="1"/>
      <c r="I686" s="1"/>
      <c r="J686" s="1"/>
    </row>
    <row r="687" spans="1:10" x14ac:dyDescent="0.75">
      <c r="A687" s="16">
        <v>43663</v>
      </c>
      <c r="B687" s="16">
        <v>43663</v>
      </c>
      <c r="C687" s="53" t="s">
        <v>385</v>
      </c>
      <c r="D687" s="54"/>
      <c r="E687" s="17">
        <v>27958.74</v>
      </c>
      <c r="F687" s="18" t="s">
        <v>21</v>
      </c>
      <c r="G687" s="17">
        <v>191468.45</v>
      </c>
      <c r="H687" s="1"/>
      <c r="I687" s="1"/>
      <c r="J687" s="1"/>
    </row>
    <row r="688" spans="1:10" x14ac:dyDescent="0.75">
      <c r="A688" s="16">
        <v>43664</v>
      </c>
      <c r="B688" s="16">
        <v>43664</v>
      </c>
      <c r="C688" s="53" t="s">
        <v>28</v>
      </c>
      <c r="D688" s="54"/>
      <c r="E688" s="18" t="s">
        <v>21</v>
      </c>
      <c r="F688" s="17">
        <v>21967.39</v>
      </c>
      <c r="G688" s="17">
        <v>213435.84</v>
      </c>
      <c r="H688" s="1"/>
      <c r="I688" s="1"/>
      <c r="J688" s="1"/>
    </row>
    <row r="689" spans="1:10" x14ac:dyDescent="0.75">
      <c r="A689" s="16">
        <v>43664</v>
      </c>
      <c r="B689" s="16">
        <v>43664</v>
      </c>
      <c r="C689" s="53" t="s">
        <v>386</v>
      </c>
      <c r="D689" s="54"/>
      <c r="E689" s="17">
        <v>2157.2800000000002</v>
      </c>
      <c r="F689" s="18" t="s">
        <v>21</v>
      </c>
      <c r="G689" s="17">
        <v>211278.56</v>
      </c>
      <c r="H689" s="1"/>
      <c r="I689" s="1"/>
      <c r="J689" s="1"/>
    </row>
    <row r="690" spans="1:10" x14ac:dyDescent="0.75">
      <c r="A690" s="16">
        <v>43665</v>
      </c>
      <c r="B690" s="16">
        <v>43665</v>
      </c>
      <c r="C690" s="53" t="s">
        <v>387</v>
      </c>
      <c r="D690" s="54"/>
      <c r="E690" s="17">
        <v>1220.5</v>
      </c>
      <c r="F690" s="18" t="s">
        <v>21</v>
      </c>
      <c r="G690" s="17">
        <v>210058.06</v>
      </c>
      <c r="H690" s="1"/>
      <c r="I690" s="1"/>
      <c r="J690" s="1"/>
    </row>
    <row r="691" spans="1:10" x14ac:dyDescent="0.75">
      <c r="A691" s="16">
        <v>43665</v>
      </c>
      <c r="B691" s="16">
        <v>43665</v>
      </c>
      <c r="C691" s="53" t="s">
        <v>388</v>
      </c>
      <c r="D691" s="54"/>
      <c r="E691" s="17">
        <v>23396.27</v>
      </c>
      <c r="F691" s="18" t="s">
        <v>21</v>
      </c>
      <c r="G691" s="17">
        <v>186661.79</v>
      </c>
      <c r="H691" s="1"/>
      <c r="I691" s="1"/>
      <c r="J691" s="1"/>
    </row>
    <row r="692" spans="1:10" x14ac:dyDescent="0.75">
      <c r="A692" s="16">
        <v>43665</v>
      </c>
      <c r="B692" s="16">
        <v>43665</v>
      </c>
      <c r="C692" s="53" t="s">
        <v>389</v>
      </c>
      <c r="D692" s="54"/>
      <c r="E692" s="17">
        <v>28707.759999999998</v>
      </c>
      <c r="F692" s="18" t="s">
        <v>21</v>
      </c>
      <c r="G692" s="17">
        <v>157954.03</v>
      </c>
      <c r="H692" s="1"/>
      <c r="I692" s="1"/>
      <c r="J692" s="1"/>
    </row>
    <row r="693" spans="1:10" x14ac:dyDescent="0.75">
      <c r="A693" s="16">
        <v>43665</v>
      </c>
      <c r="B693" s="16">
        <v>43665</v>
      </c>
      <c r="C693" s="53" t="s">
        <v>390</v>
      </c>
      <c r="D693" s="54"/>
      <c r="E693" s="17">
        <v>33809.599999999999</v>
      </c>
      <c r="F693" s="18" t="s">
        <v>21</v>
      </c>
      <c r="G693" s="17">
        <v>124144.43</v>
      </c>
      <c r="H693" s="1"/>
      <c r="I693" s="1"/>
      <c r="J693" s="1"/>
    </row>
    <row r="694" spans="1:10" x14ac:dyDescent="0.75">
      <c r="A694" s="16">
        <v>43669</v>
      </c>
      <c r="B694" s="16">
        <v>43669</v>
      </c>
      <c r="C694" s="53" t="s">
        <v>28</v>
      </c>
      <c r="D694" s="54"/>
      <c r="E694" s="18" t="s">
        <v>21</v>
      </c>
      <c r="F694" s="17">
        <v>5112.33</v>
      </c>
      <c r="G694" s="17">
        <v>129256.76</v>
      </c>
      <c r="H694" s="1"/>
      <c r="I694" s="1"/>
      <c r="J694" s="1"/>
    </row>
    <row r="695" spans="1:10" x14ac:dyDescent="0.75">
      <c r="A695" s="16">
        <v>43670</v>
      </c>
      <c r="B695" s="16">
        <v>43670</v>
      </c>
      <c r="C695" s="53" t="s">
        <v>28</v>
      </c>
      <c r="D695" s="54"/>
      <c r="E695" s="18" t="s">
        <v>21</v>
      </c>
      <c r="F695" s="17">
        <v>2758.5</v>
      </c>
      <c r="G695" s="17">
        <v>132015.26</v>
      </c>
      <c r="H695" s="1"/>
      <c r="I695" s="1"/>
      <c r="J695" s="1"/>
    </row>
    <row r="696" spans="1:10" x14ac:dyDescent="0.75">
      <c r="A696" s="16">
        <v>43671</v>
      </c>
      <c r="B696" s="16">
        <v>43671</v>
      </c>
      <c r="C696" s="53" t="s">
        <v>28</v>
      </c>
      <c r="D696" s="54"/>
      <c r="E696" s="18" t="s">
        <v>21</v>
      </c>
      <c r="F696" s="17">
        <v>1895.03</v>
      </c>
      <c r="G696" s="17">
        <v>133910.29</v>
      </c>
      <c r="H696" s="1"/>
      <c r="I696" s="1"/>
      <c r="J696" s="1"/>
    </row>
    <row r="697" spans="1:10" x14ac:dyDescent="0.75">
      <c r="A697" s="16">
        <v>43672</v>
      </c>
      <c r="B697" s="16">
        <v>43672</v>
      </c>
      <c r="C697" s="53" t="s">
        <v>28</v>
      </c>
      <c r="D697" s="54"/>
      <c r="E697" s="18" t="s">
        <v>21</v>
      </c>
      <c r="F697" s="17">
        <v>9345.7000000000007</v>
      </c>
      <c r="G697" s="17">
        <v>143255.99</v>
      </c>
      <c r="H697" s="1"/>
      <c r="I697" s="1"/>
      <c r="J697" s="1"/>
    </row>
    <row r="698" spans="1:10" x14ac:dyDescent="0.75">
      <c r="A698" s="20"/>
      <c r="B698" s="20"/>
      <c r="C698" s="8"/>
      <c r="D698" s="9"/>
      <c r="E698" s="20"/>
      <c r="F698" s="20"/>
      <c r="G698" s="20"/>
      <c r="H698" s="1"/>
      <c r="I698" s="1"/>
      <c r="J698" s="1"/>
    </row>
    <row r="699" spans="1:10" x14ac:dyDescent="0.75">
      <c r="A699" s="34" t="s">
        <v>15</v>
      </c>
      <c r="B699" s="35"/>
      <c r="C699" s="35"/>
      <c r="D699" s="35"/>
      <c r="E699" s="35"/>
      <c r="F699" s="35"/>
      <c r="G699" s="36"/>
      <c r="H699" s="1"/>
      <c r="I699" s="1"/>
      <c r="J699" s="1"/>
    </row>
    <row r="700" spans="1:10" x14ac:dyDescent="0.75">
      <c r="A700" s="21" t="s">
        <v>32</v>
      </c>
      <c r="B700" s="22"/>
      <c r="C700" s="22"/>
      <c r="D700" s="23" t="s">
        <v>33</v>
      </c>
      <c r="E700" s="22"/>
      <c r="F700" s="22"/>
      <c r="G700" s="24"/>
      <c r="H700" s="1"/>
      <c r="I700" s="1"/>
      <c r="J700" s="1"/>
    </row>
    <row r="701" spans="1:10" x14ac:dyDescent="0.75">
      <c r="A701" s="37" t="s">
        <v>391</v>
      </c>
      <c r="B701" s="37"/>
      <c r="C701" s="37"/>
      <c r="D701" s="37"/>
      <c r="E701" s="37"/>
      <c r="F701" s="37"/>
      <c r="G701" s="37"/>
      <c r="H701" s="37"/>
      <c r="I701" s="1"/>
      <c r="J701" s="1"/>
    </row>
    <row r="702" spans="1:10" x14ac:dyDescent="0.75">
      <c r="A702" s="55" t="s">
        <v>0</v>
      </c>
      <c r="B702" s="55"/>
      <c r="C702" s="55"/>
      <c r="D702" s="55"/>
      <c r="E702" s="55"/>
      <c r="F702" s="55"/>
      <c r="G702" s="55"/>
      <c r="H702" s="55"/>
      <c r="I702" s="1"/>
      <c r="J702" s="1"/>
    </row>
    <row r="703" spans="1:10" x14ac:dyDescent="0.75">
      <c r="A703" s="55" t="s">
        <v>1</v>
      </c>
      <c r="B703" s="55"/>
      <c r="C703" s="55"/>
      <c r="D703" s="55"/>
      <c r="E703" s="55"/>
      <c r="F703" s="55"/>
      <c r="G703" s="55"/>
      <c r="H703" s="55"/>
      <c r="I703" s="1"/>
      <c r="J703" s="1"/>
    </row>
    <row r="704" spans="1:10" x14ac:dyDescent="0.75">
      <c r="A704" s="38" t="s">
        <v>35</v>
      </c>
      <c r="B704" s="39"/>
      <c r="C704" s="39"/>
      <c r="D704" s="39"/>
      <c r="E704" s="39"/>
      <c r="F704" s="39"/>
      <c r="G704" s="40"/>
      <c r="H704" s="1"/>
      <c r="I704" s="1"/>
      <c r="J704" s="1"/>
    </row>
    <row r="705" spans="1:10" ht="21.5" x14ac:dyDescent="0.75">
      <c r="A705" s="2" t="s">
        <v>3</v>
      </c>
      <c r="B705" s="3" t="s">
        <v>4</v>
      </c>
      <c r="C705" s="4"/>
      <c r="D705" s="5" t="s">
        <v>5</v>
      </c>
      <c r="E705" s="3" t="s">
        <v>6</v>
      </c>
      <c r="F705" s="3" t="s">
        <v>7</v>
      </c>
      <c r="G705" s="6" t="s">
        <v>8</v>
      </c>
      <c r="H705" s="1"/>
      <c r="I705" s="1"/>
      <c r="J705" s="1"/>
    </row>
    <row r="706" spans="1:10" ht="86" x14ac:dyDescent="0.75">
      <c r="A706" s="41" t="s">
        <v>392</v>
      </c>
      <c r="B706" s="41" t="s">
        <v>393</v>
      </c>
      <c r="C706" s="44" t="s">
        <v>394</v>
      </c>
      <c r="D706" s="45"/>
      <c r="E706" s="7" t="s">
        <v>395</v>
      </c>
      <c r="F706" s="7" t="s">
        <v>396</v>
      </c>
      <c r="G706" s="48" t="s">
        <v>397</v>
      </c>
      <c r="H706" s="1"/>
      <c r="I706" s="1"/>
      <c r="J706" s="1"/>
    </row>
    <row r="707" spans="1:10" x14ac:dyDescent="0.75">
      <c r="A707" s="42"/>
      <c r="B707" s="42"/>
      <c r="C707" s="46"/>
      <c r="D707" s="47"/>
      <c r="E707" s="63">
        <v>177555</v>
      </c>
      <c r="F707" s="63">
        <v>242672.19</v>
      </c>
      <c r="G707" s="49"/>
      <c r="H707" s="1"/>
      <c r="I707" s="1"/>
      <c r="J707" s="1"/>
    </row>
    <row r="708" spans="1:10" x14ac:dyDescent="0.75">
      <c r="A708" s="43"/>
      <c r="B708" s="43"/>
      <c r="C708" s="8"/>
      <c r="D708" s="9"/>
      <c r="E708" s="64"/>
      <c r="F708" s="64"/>
      <c r="G708" s="50"/>
      <c r="H708" s="1"/>
      <c r="I708" s="1"/>
      <c r="J708" s="1"/>
    </row>
    <row r="709" spans="1:10" x14ac:dyDescent="0.75">
      <c r="A709" s="34" t="s">
        <v>15</v>
      </c>
      <c r="B709" s="35"/>
      <c r="C709" s="35"/>
      <c r="D709" s="35"/>
      <c r="E709" s="35"/>
      <c r="F709" s="35"/>
      <c r="G709" s="36"/>
      <c r="H709" s="1"/>
      <c r="I709" s="1"/>
      <c r="J709" s="1"/>
    </row>
    <row r="710" spans="1:10" x14ac:dyDescent="0.75">
      <c r="A710" s="34" t="s">
        <v>16</v>
      </c>
      <c r="B710" s="35"/>
      <c r="C710" s="35"/>
      <c r="D710" s="35"/>
      <c r="E710" s="35"/>
      <c r="F710" s="35"/>
      <c r="G710" s="36"/>
      <c r="H710" s="1"/>
      <c r="I710" s="1"/>
      <c r="J710" s="1"/>
    </row>
    <row r="711" spans="1:10" x14ac:dyDescent="0.75">
      <c r="A711" s="37" t="s">
        <v>398</v>
      </c>
      <c r="B711" s="37"/>
      <c r="C711" s="37"/>
      <c r="D711" s="37"/>
      <c r="E711" s="37"/>
      <c r="F711" s="37"/>
      <c r="G711" s="37"/>
      <c r="H711" s="37"/>
      <c r="I711" s="1"/>
      <c r="J711" s="1"/>
    </row>
    <row r="712" spans="1:10" x14ac:dyDescent="0.75">
      <c r="A712" s="55" t="s">
        <v>0</v>
      </c>
      <c r="B712" s="55"/>
      <c r="C712" s="55"/>
      <c r="D712" s="55"/>
      <c r="E712" s="55"/>
      <c r="F712" s="55"/>
      <c r="G712" s="55"/>
      <c r="H712" s="55"/>
      <c r="I712" s="1"/>
      <c r="J712" s="1"/>
    </row>
    <row r="713" spans="1:10" x14ac:dyDescent="0.75">
      <c r="A713" s="55" t="s">
        <v>1</v>
      </c>
      <c r="B713" s="55"/>
      <c r="C713" s="55"/>
      <c r="D713" s="55"/>
      <c r="E713" s="55"/>
      <c r="F713" s="55"/>
      <c r="G713" s="55"/>
      <c r="H713" s="55"/>
      <c r="I713" s="1"/>
      <c r="J713" s="1"/>
    </row>
    <row r="714" spans="1:10" x14ac:dyDescent="0.75">
      <c r="A714" s="34" t="s">
        <v>399</v>
      </c>
      <c r="B714" s="35"/>
      <c r="C714" s="35"/>
      <c r="D714" s="35"/>
      <c r="E714" s="35"/>
      <c r="F714" s="35"/>
      <c r="G714" s="36"/>
      <c r="H714" s="1"/>
      <c r="I714" s="1"/>
      <c r="J714" s="1"/>
    </row>
    <row r="715" spans="1:10" ht="21.5" x14ac:dyDescent="0.75">
      <c r="A715" s="2" t="s">
        <v>3</v>
      </c>
      <c r="B715" s="3" t="s">
        <v>4</v>
      </c>
      <c r="C715" s="4"/>
      <c r="D715" s="5" t="s">
        <v>5</v>
      </c>
      <c r="E715" s="3" t="s">
        <v>6</v>
      </c>
      <c r="F715" s="3" t="s">
        <v>7</v>
      </c>
      <c r="G715" s="6" t="s">
        <v>8</v>
      </c>
      <c r="H715" s="1"/>
      <c r="I715" s="1"/>
      <c r="J715" s="1"/>
    </row>
    <row r="716" spans="1:10" x14ac:dyDescent="0.75">
      <c r="A716" s="10">
        <v>43677</v>
      </c>
      <c r="B716" s="11"/>
      <c r="C716" s="56" t="s">
        <v>19</v>
      </c>
      <c r="D716" s="57"/>
      <c r="E716" s="11"/>
      <c r="F716" s="11"/>
      <c r="G716" s="12">
        <v>113076.92</v>
      </c>
      <c r="H716" s="1"/>
      <c r="I716" s="1"/>
      <c r="J716" s="1"/>
    </row>
    <row r="717" spans="1:10" x14ac:dyDescent="0.75">
      <c r="A717" s="13">
        <v>43678</v>
      </c>
      <c r="B717" s="13">
        <v>43678</v>
      </c>
      <c r="C717" s="58" t="s">
        <v>28</v>
      </c>
      <c r="D717" s="59"/>
      <c r="E717" s="15" t="s">
        <v>21</v>
      </c>
      <c r="F717" s="14">
        <v>48031.89</v>
      </c>
      <c r="G717" s="14">
        <v>161108.81</v>
      </c>
      <c r="H717" s="1"/>
      <c r="I717" s="1"/>
      <c r="J717" s="1"/>
    </row>
    <row r="718" spans="1:10" x14ac:dyDescent="0.75">
      <c r="A718" s="16">
        <v>43678</v>
      </c>
      <c r="B718" s="16">
        <v>43678</v>
      </c>
      <c r="C718" s="53" t="s">
        <v>400</v>
      </c>
      <c r="D718" s="54"/>
      <c r="E718" s="17">
        <v>1230</v>
      </c>
      <c r="F718" s="18" t="s">
        <v>21</v>
      </c>
      <c r="G718" s="17">
        <v>159878.81</v>
      </c>
      <c r="H718" s="1"/>
      <c r="I718" s="1"/>
      <c r="J718" s="1"/>
    </row>
    <row r="719" spans="1:10" x14ac:dyDescent="0.75">
      <c r="A719" s="16">
        <v>43678</v>
      </c>
      <c r="B719" s="16">
        <v>43678</v>
      </c>
      <c r="C719" s="53" t="s">
        <v>401</v>
      </c>
      <c r="D719" s="54"/>
      <c r="E719" s="17">
        <v>6260</v>
      </c>
      <c r="F719" s="18" t="s">
        <v>21</v>
      </c>
      <c r="G719" s="17">
        <v>153618.81</v>
      </c>
      <c r="H719" s="1"/>
      <c r="I719" s="1"/>
      <c r="J719" s="1"/>
    </row>
    <row r="720" spans="1:10" x14ac:dyDescent="0.75">
      <c r="A720" s="16">
        <v>43679</v>
      </c>
      <c r="B720" s="16">
        <v>43679</v>
      </c>
      <c r="C720" s="53" t="s">
        <v>28</v>
      </c>
      <c r="D720" s="54"/>
      <c r="E720" s="18" t="s">
        <v>21</v>
      </c>
      <c r="F720" s="17">
        <v>1954.34</v>
      </c>
      <c r="G720" s="17">
        <v>155573.15</v>
      </c>
      <c r="H720" s="1"/>
      <c r="I720" s="1"/>
      <c r="J720" s="1"/>
    </row>
    <row r="721" spans="1:10" x14ac:dyDescent="0.75">
      <c r="A721" s="16">
        <v>43683</v>
      </c>
      <c r="B721" s="16">
        <v>43683</v>
      </c>
      <c r="C721" s="53" t="s">
        <v>28</v>
      </c>
      <c r="D721" s="54"/>
      <c r="E721" s="18" t="s">
        <v>21</v>
      </c>
      <c r="F721" s="17">
        <v>8694.58</v>
      </c>
      <c r="G721" s="17">
        <v>164267.73000000001</v>
      </c>
      <c r="H721" s="1"/>
      <c r="I721" s="1"/>
      <c r="J721" s="1"/>
    </row>
    <row r="722" spans="1:10" x14ac:dyDescent="0.75">
      <c r="A722" s="16">
        <v>43685</v>
      </c>
      <c r="B722" s="16">
        <v>43685</v>
      </c>
      <c r="C722" s="53" t="s">
        <v>28</v>
      </c>
      <c r="D722" s="54"/>
      <c r="E722" s="18" t="s">
        <v>21</v>
      </c>
      <c r="F722" s="17">
        <v>8252.2900000000009</v>
      </c>
      <c r="G722" s="17">
        <v>172520.02</v>
      </c>
      <c r="H722" s="1"/>
      <c r="I722" s="1"/>
      <c r="J722" s="1"/>
    </row>
    <row r="723" spans="1:10" x14ac:dyDescent="0.75">
      <c r="A723" s="16">
        <v>43686</v>
      </c>
      <c r="B723" s="16">
        <v>43686</v>
      </c>
      <c r="C723" s="53" t="s">
        <v>402</v>
      </c>
      <c r="D723" s="54"/>
      <c r="E723" s="17">
        <v>150000</v>
      </c>
      <c r="F723" s="18" t="s">
        <v>21</v>
      </c>
      <c r="G723" s="17">
        <v>22520.02</v>
      </c>
      <c r="H723" s="1"/>
      <c r="I723" s="1"/>
      <c r="J723" s="1"/>
    </row>
    <row r="724" spans="1:10" x14ac:dyDescent="0.75">
      <c r="A724" s="16">
        <v>43686</v>
      </c>
      <c r="B724" s="16">
        <v>43686</v>
      </c>
      <c r="C724" s="53" t="s">
        <v>403</v>
      </c>
      <c r="D724" s="54"/>
      <c r="E724" s="19">
        <v>3.5</v>
      </c>
      <c r="F724" s="18" t="s">
        <v>21</v>
      </c>
      <c r="G724" s="17">
        <v>22516.52</v>
      </c>
      <c r="H724" s="1"/>
      <c r="I724" s="1"/>
      <c r="J724" s="1"/>
    </row>
    <row r="725" spans="1:10" x14ac:dyDescent="0.75">
      <c r="A725" s="26"/>
      <c r="B725" s="26"/>
      <c r="C725" s="58" t="s">
        <v>404</v>
      </c>
      <c r="D725" s="59"/>
      <c r="E725" s="26"/>
      <c r="F725" s="26"/>
      <c r="G725" s="26"/>
      <c r="H725" s="1"/>
      <c r="I725" s="1"/>
      <c r="J725" s="1"/>
    </row>
    <row r="726" spans="1:10" x14ac:dyDescent="0.75">
      <c r="A726" s="13">
        <v>43690</v>
      </c>
      <c r="B726" s="13">
        <v>43690</v>
      </c>
      <c r="C726" s="58" t="s">
        <v>28</v>
      </c>
      <c r="D726" s="59"/>
      <c r="E726" s="15" t="s">
        <v>21</v>
      </c>
      <c r="F726" s="14">
        <v>6936.22</v>
      </c>
      <c r="G726" s="14">
        <v>29452.74</v>
      </c>
      <c r="H726" s="1"/>
      <c r="I726" s="1"/>
      <c r="J726" s="1"/>
    </row>
    <row r="727" spans="1:10" x14ac:dyDescent="0.75">
      <c r="A727" s="16">
        <v>43693</v>
      </c>
      <c r="B727" s="16">
        <v>43693</v>
      </c>
      <c r="C727" s="53" t="s">
        <v>28</v>
      </c>
      <c r="D727" s="54"/>
      <c r="E727" s="18" t="s">
        <v>21</v>
      </c>
      <c r="F727" s="17">
        <v>2760.15</v>
      </c>
      <c r="G727" s="17">
        <v>32212.89</v>
      </c>
      <c r="H727" s="1"/>
      <c r="I727" s="1"/>
      <c r="J727" s="1"/>
    </row>
    <row r="728" spans="1:10" x14ac:dyDescent="0.75">
      <c r="A728" s="16">
        <v>43697</v>
      </c>
      <c r="B728" s="16">
        <v>43697</v>
      </c>
      <c r="C728" s="53" t="s">
        <v>28</v>
      </c>
      <c r="D728" s="54"/>
      <c r="E728" s="18" t="s">
        <v>21</v>
      </c>
      <c r="F728" s="17">
        <v>4873.05</v>
      </c>
      <c r="G728" s="17">
        <v>37085.94</v>
      </c>
      <c r="H728" s="1"/>
      <c r="I728" s="1"/>
      <c r="J728" s="1"/>
    </row>
    <row r="729" spans="1:10" x14ac:dyDescent="0.75">
      <c r="A729" s="16">
        <v>43699</v>
      </c>
      <c r="B729" s="16">
        <v>43699</v>
      </c>
      <c r="C729" s="53" t="s">
        <v>28</v>
      </c>
      <c r="D729" s="54"/>
      <c r="E729" s="18" t="s">
        <v>21</v>
      </c>
      <c r="F729" s="17">
        <v>11277.88</v>
      </c>
      <c r="G729" s="17">
        <v>48363.82</v>
      </c>
      <c r="H729" s="1"/>
      <c r="I729" s="1"/>
      <c r="J729" s="1"/>
    </row>
    <row r="730" spans="1:10" x14ac:dyDescent="0.75">
      <c r="A730" s="20"/>
      <c r="B730" s="20"/>
      <c r="C730" s="8"/>
      <c r="D730" s="9"/>
      <c r="E730" s="20"/>
      <c r="F730" s="20"/>
      <c r="G730" s="20"/>
      <c r="H730" s="1"/>
      <c r="I730" s="1"/>
      <c r="J730" s="1"/>
    </row>
    <row r="731" spans="1:10" x14ac:dyDescent="0.75">
      <c r="A731" s="34" t="s">
        <v>15</v>
      </c>
      <c r="B731" s="35"/>
      <c r="C731" s="35"/>
      <c r="D731" s="35"/>
      <c r="E731" s="35"/>
      <c r="F731" s="35"/>
      <c r="G731" s="36"/>
      <c r="H731" s="1"/>
      <c r="I731" s="1"/>
      <c r="J731" s="1"/>
    </row>
    <row r="732" spans="1:10" x14ac:dyDescent="0.75">
      <c r="A732" s="21" t="s">
        <v>32</v>
      </c>
      <c r="B732" s="22"/>
      <c r="C732" s="22"/>
      <c r="D732" s="23" t="s">
        <v>33</v>
      </c>
      <c r="E732" s="22"/>
      <c r="F732" s="22"/>
      <c r="G732" s="24"/>
      <c r="H732" s="1"/>
      <c r="I732" s="1"/>
      <c r="J732" s="1"/>
    </row>
    <row r="733" spans="1:10" x14ac:dyDescent="0.75">
      <c r="A733" s="37" t="s">
        <v>405</v>
      </c>
      <c r="B733" s="37"/>
      <c r="C733" s="37"/>
      <c r="D733" s="37"/>
      <c r="E733" s="37"/>
      <c r="F733" s="37"/>
      <c r="G733" s="37"/>
      <c r="H733" s="37"/>
      <c r="I733" s="1"/>
      <c r="J733" s="1"/>
    </row>
    <row r="734" spans="1:10" x14ac:dyDescent="0.75">
      <c r="A734" s="55" t="s">
        <v>0</v>
      </c>
      <c r="B734" s="55"/>
      <c r="C734" s="55"/>
      <c r="D734" s="55"/>
      <c r="E734" s="55"/>
      <c r="F734" s="55"/>
      <c r="G734" s="55"/>
      <c r="H734" s="55"/>
      <c r="I734" s="1"/>
      <c r="J734" s="1"/>
    </row>
    <row r="735" spans="1:10" x14ac:dyDescent="0.75">
      <c r="A735" s="55" t="s">
        <v>1</v>
      </c>
      <c r="B735" s="55"/>
      <c r="C735" s="55"/>
      <c r="D735" s="55"/>
      <c r="E735" s="55"/>
      <c r="F735" s="55"/>
      <c r="G735" s="55"/>
      <c r="H735" s="55"/>
      <c r="I735" s="1"/>
      <c r="J735" s="1"/>
    </row>
    <row r="736" spans="1:10" x14ac:dyDescent="0.75">
      <c r="A736" s="38" t="s">
        <v>35</v>
      </c>
      <c r="B736" s="39"/>
      <c r="C736" s="39"/>
      <c r="D736" s="39"/>
      <c r="E736" s="39"/>
      <c r="F736" s="39"/>
      <c r="G736" s="40"/>
      <c r="H736" s="1"/>
      <c r="I736" s="1"/>
      <c r="J736" s="1"/>
    </row>
    <row r="737" spans="1:10" ht="21.5" x14ac:dyDescent="0.75">
      <c r="A737" s="2" t="s">
        <v>3</v>
      </c>
      <c r="B737" s="3" t="s">
        <v>4</v>
      </c>
      <c r="C737" s="4"/>
      <c r="D737" s="5" t="s">
        <v>5</v>
      </c>
      <c r="E737" s="3" t="s">
        <v>6</v>
      </c>
      <c r="F737" s="3" t="s">
        <v>7</v>
      </c>
      <c r="G737" s="6" t="s">
        <v>8</v>
      </c>
      <c r="H737" s="1"/>
      <c r="I737" s="1"/>
      <c r="J737" s="1"/>
    </row>
    <row r="738" spans="1:10" ht="32.25" x14ac:dyDescent="0.75">
      <c r="A738" s="41" t="s">
        <v>406</v>
      </c>
      <c r="B738" s="41" t="s">
        <v>407</v>
      </c>
      <c r="C738" s="68" t="s">
        <v>408</v>
      </c>
      <c r="D738" s="69"/>
      <c r="E738" s="7" t="s">
        <v>409</v>
      </c>
      <c r="F738" s="7" t="s">
        <v>410</v>
      </c>
      <c r="G738" s="72" t="s">
        <v>411</v>
      </c>
      <c r="H738" s="1"/>
      <c r="I738" s="1"/>
      <c r="J738" s="1"/>
    </row>
    <row r="739" spans="1:10" x14ac:dyDescent="0.75">
      <c r="A739" s="42"/>
      <c r="B739" s="42"/>
      <c r="C739" s="70"/>
      <c r="D739" s="71"/>
      <c r="E739" s="63">
        <v>161493.5</v>
      </c>
      <c r="F739" s="63">
        <v>104004.44</v>
      </c>
      <c r="G739" s="73"/>
      <c r="H739" s="1"/>
      <c r="I739" s="1"/>
      <c r="J739" s="1"/>
    </row>
    <row r="740" spans="1:10" x14ac:dyDescent="0.75">
      <c r="A740" s="43"/>
      <c r="B740" s="43"/>
      <c r="C740" s="8"/>
      <c r="D740" s="9"/>
      <c r="E740" s="64"/>
      <c r="F740" s="64"/>
      <c r="G740" s="74"/>
      <c r="H740" s="1"/>
      <c r="I740" s="1"/>
      <c r="J740" s="1"/>
    </row>
    <row r="741" spans="1:10" x14ac:dyDescent="0.75">
      <c r="A741" s="34" t="s">
        <v>15</v>
      </c>
      <c r="B741" s="35"/>
      <c r="C741" s="35"/>
      <c r="D741" s="35"/>
      <c r="E741" s="35"/>
      <c r="F741" s="35"/>
      <c r="G741" s="36"/>
      <c r="H741" s="1"/>
      <c r="I741" s="1"/>
      <c r="J741" s="1"/>
    </row>
    <row r="742" spans="1:10" x14ac:dyDescent="0.75">
      <c r="A742" s="34" t="s">
        <v>16</v>
      </c>
      <c r="B742" s="35"/>
      <c r="C742" s="35"/>
      <c r="D742" s="35"/>
      <c r="E742" s="35"/>
      <c r="F742" s="35"/>
      <c r="G742" s="36"/>
      <c r="H742" s="1"/>
      <c r="I742" s="1"/>
      <c r="J742" s="1"/>
    </row>
    <row r="743" spans="1:10" x14ac:dyDescent="0.75">
      <c r="A743" s="37" t="s">
        <v>412</v>
      </c>
      <c r="B743" s="37"/>
      <c r="C743" s="37"/>
      <c r="D743" s="37"/>
      <c r="E743" s="37"/>
      <c r="F743" s="37"/>
      <c r="G743" s="37"/>
      <c r="H743" s="37"/>
      <c r="I743" s="1"/>
      <c r="J743" s="1"/>
    </row>
    <row r="744" spans="1:10" x14ac:dyDescent="0.75">
      <c r="A744" s="55" t="s">
        <v>0</v>
      </c>
      <c r="B744" s="55"/>
      <c r="C744" s="55"/>
      <c r="D744" s="55"/>
      <c r="E744" s="55"/>
      <c r="F744" s="55"/>
      <c r="G744" s="55"/>
      <c r="H744" s="55"/>
      <c r="I744" s="1"/>
      <c r="J744" s="1"/>
    </row>
    <row r="745" spans="1:10" x14ac:dyDescent="0.75">
      <c r="A745" s="55" t="s">
        <v>1</v>
      </c>
      <c r="B745" s="55"/>
      <c r="C745" s="55"/>
      <c r="D745" s="55"/>
      <c r="E745" s="55"/>
      <c r="F745" s="55"/>
      <c r="G745" s="55"/>
      <c r="H745" s="55"/>
      <c r="I745" s="1"/>
      <c r="J745" s="1"/>
    </row>
    <row r="746" spans="1:10" x14ac:dyDescent="0.75">
      <c r="A746" s="34" t="s">
        <v>413</v>
      </c>
      <c r="B746" s="35"/>
      <c r="C746" s="35"/>
      <c r="D746" s="35"/>
      <c r="E746" s="35"/>
      <c r="F746" s="35"/>
      <c r="G746" s="36"/>
      <c r="H746" s="1"/>
      <c r="I746" s="1"/>
      <c r="J746" s="1"/>
    </row>
    <row r="747" spans="1:10" ht="21.5" x14ac:dyDescent="0.75">
      <c r="A747" s="2" t="s">
        <v>3</v>
      </c>
      <c r="B747" s="3" t="s">
        <v>4</v>
      </c>
      <c r="C747" s="4"/>
      <c r="D747" s="5" t="s">
        <v>5</v>
      </c>
      <c r="E747" s="3" t="s">
        <v>6</v>
      </c>
      <c r="F747" s="3" t="s">
        <v>7</v>
      </c>
      <c r="G747" s="6" t="s">
        <v>8</v>
      </c>
      <c r="H747" s="1"/>
      <c r="I747" s="1"/>
      <c r="J747" s="1"/>
    </row>
    <row r="748" spans="1:10" x14ac:dyDescent="0.75">
      <c r="A748" s="10">
        <v>43706</v>
      </c>
      <c r="B748" s="11"/>
      <c r="C748" s="56" t="s">
        <v>19</v>
      </c>
      <c r="D748" s="57"/>
      <c r="E748" s="11"/>
      <c r="F748" s="11"/>
      <c r="G748" s="12">
        <v>55587.86</v>
      </c>
      <c r="H748" s="1"/>
      <c r="I748" s="1"/>
      <c r="J748" s="1"/>
    </row>
    <row r="749" spans="1:10" x14ac:dyDescent="0.75">
      <c r="A749" s="13">
        <v>43712</v>
      </c>
      <c r="B749" s="13">
        <v>43712</v>
      </c>
      <c r="C749" s="58" t="s">
        <v>28</v>
      </c>
      <c r="D749" s="59"/>
      <c r="E749" s="15" t="s">
        <v>21</v>
      </c>
      <c r="F749" s="14">
        <v>23953.98</v>
      </c>
      <c r="G749" s="14">
        <v>79541.84</v>
      </c>
      <c r="H749" s="1"/>
      <c r="I749" s="1"/>
      <c r="J749" s="1"/>
    </row>
    <row r="750" spans="1:10" x14ac:dyDescent="0.75">
      <c r="A750" s="16">
        <v>43713</v>
      </c>
      <c r="B750" s="16">
        <v>43713</v>
      </c>
      <c r="C750" s="53" t="s">
        <v>28</v>
      </c>
      <c r="D750" s="54"/>
      <c r="E750" s="18" t="s">
        <v>21</v>
      </c>
      <c r="F750" s="17">
        <v>6229.75</v>
      </c>
      <c r="G750" s="17">
        <v>85771.59</v>
      </c>
      <c r="H750" s="1"/>
      <c r="I750" s="1"/>
      <c r="J750" s="1"/>
    </row>
    <row r="751" spans="1:10" x14ac:dyDescent="0.75">
      <c r="A751" s="16">
        <v>43713</v>
      </c>
      <c r="B751" s="16">
        <v>43713</v>
      </c>
      <c r="C751" s="53" t="s">
        <v>414</v>
      </c>
      <c r="D751" s="54"/>
      <c r="E751" s="17">
        <v>11178.78</v>
      </c>
      <c r="F751" s="18" t="s">
        <v>21</v>
      </c>
      <c r="G751" s="17">
        <v>74592.81</v>
      </c>
      <c r="H751" s="1"/>
      <c r="I751" s="1"/>
      <c r="J751" s="1"/>
    </row>
    <row r="752" spans="1:10" x14ac:dyDescent="0.75">
      <c r="A752" s="16">
        <v>43714</v>
      </c>
      <c r="B752" s="16">
        <v>43714</v>
      </c>
      <c r="C752" s="53" t="s">
        <v>28</v>
      </c>
      <c r="D752" s="54"/>
      <c r="E752" s="18" t="s">
        <v>21</v>
      </c>
      <c r="F752" s="17">
        <v>12331</v>
      </c>
      <c r="G752" s="17">
        <v>86923.81</v>
      </c>
      <c r="H752" s="1"/>
      <c r="I752" s="1"/>
      <c r="J752" s="1"/>
    </row>
    <row r="753" spans="1:10" x14ac:dyDescent="0.75">
      <c r="A753" s="16">
        <v>43717</v>
      </c>
      <c r="B753" s="16">
        <v>43717</v>
      </c>
      <c r="C753" s="53" t="s">
        <v>28</v>
      </c>
      <c r="D753" s="54"/>
      <c r="E753" s="18" t="s">
        <v>21</v>
      </c>
      <c r="F753" s="17">
        <v>38508.379999999997</v>
      </c>
      <c r="G753" s="17">
        <v>125432.19</v>
      </c>
      <c r="H753" s="1"/>
      <c r="I753" s="1"/>
      <c r="J753" s="1"/>
    </row>
    <row r="754" spans="1:10" x14ac:dyDescent="0.75">
      <c r="A754" s="16">
        <v>43718</v>
      </c>
      <c r="B754" s="16">
        <v>43718</v>
      </c>
      <c r="C754" s="53" t="s">
        <v>28</v>
      </c>
      <c r="D754" s="54"/>
      <c r="E754" s="18" t="s">
        <v>21</v>
      </c>
      <c r="F754" s="17">
        <v>158091.51</v>
      </c>
      <c r="G754" s="17">
        <v>283523.7</v>
      </c>
      <c r="H754" s="1"/>
      <c r="I754" s="1"/>
      <c r="J754" s="1"/>
    </row>
    <row r="755" spans="1:10" x14ac:dyDescent="0.75">
      <c r="A755" s="16">
        <v>43719</v>
      </c>
      <c r="B755" s="16">
        <v>43719</v>
      </c>
      <c r="C755" s="53" t="s">
        <v>28</v>
      </c>
      <c r="D755" s="54"/>
      <c r="E755" s="18" t="s">
        <v>21</v>
      </c>
      <c r="F755" s="17">
        <v>28383.29</v>
      </c>
      <c r="G755" s="17">
        <v>311906.99</v>
      </c>
      <c r="H755" s="1"/>
      <c r="I755" s="1"/>
      <c r="J755" s="1"/>
    </row>
    <row r="756" spans="1:10" x14ac:dyDescent="0.75">
      <c r="A756" s="16">
        <v>43720</v>
      </c>
      <c r="B756" s="16">
        <v>43720</v>
      </c>
      <c r="C756" s="53" t="s">
        <v>28</v>
      </c>
      <c r="D756" s="54"/>
      <c r="E756" s="18" t="s">
        <v>21</v>
      </c>
      <c r="F756" s="17">
        <v>36168.97</v>
      </c>
      <c r="G756" s="17">
        <v>348075.96</v>
      </c>
      <c r="H756" s="1"/>
      <c r="I756" s="1"/>
      <c r="J756" s="1"/>
    </row>
    <row r="757" spans="1:10" x14ac:dyDescent="0.75">
      <c r="A757" s="16">
        <v>43721</v>
      </c>
      <c r="B757" s="16">
        <v>43721</v>
      </c>
      <c r="C757" s="53" t="s">
        <v>28</v>
      </c>
      <c r="D757" s="54"/>
      <c r="E757" s="18" t="s">
        <v>21</v>
      </c>
      <c r="F757" s="17">
        <v>99246.06</v>
      </c>
      <c r="G757" s="17">
        <v>447322.02</v>
      </c>
      <c r="H757" s="1"/>
      <c r="I757" s="1"/>
      <c r="J757" s="1"/>
    </row>
    <row r="758" spans="1:10" x14ac:dyDescent="0.75">
      <c r="A758" s="16">
        <v>43721</v>
      </c>
      <c r="B758" s="16">
        <v>43721</v>
      </c>
      <c r="C758" s="53" t="s">
        <v>415</v>
      </c>
      <c r="D758" s="54"/>
      <c r="E758" s="17">
        <v>280000</v>
      </c>
      <c r="F758" s="18" t="s">
        <v>21</v>
      </c>
      <c r="G758" s="17">
        <v>167322.01999999999</v>
      </c>
      <c r="H758" s="1"/>
      <c r="I758" s="1"/>
      <c r="J758" s="1"/>
    </row>
    <row r="759" spans="1:10" x14ac:dyDescent="0.75">
      <c r="A759" s="16">
        <v>43724</v>
      </c>
      <c r="B759" s="16">
        <v>43724</v>
      </c>
      <c r="C759" s="53" t="s">
        <v>28</v>
      </c>
      <c r="D759" s="54"/>
      <c r="E759" s="18" t="s">
        <v>21</v>
      </c>
      <c r="F759" s="17">
        <v>30898</v>
      </c>
      <c r="G759" s="17">
        <v>198220.02</v>
      </c>
      <c r="H759" s="1"/>
      <c r="I759" s="1"/>
      <c r="J759" s="1"/>
    </row>
    <row r="760" spans="1:10" x14ac:dyDescent="0.75">
      <c r="A760" s="16">
        <v>43725</v>
      </c>
      <c r="B760" s="16">
        <v>43725</v>
      </c>
      <c r="C760" s="53" t="s">
        <v>28</v>
      </c>
      <c r="D760" s="54"/>
      <c r="E760" s="18" t="s">
        <v>21</v>
      </c>
      <c r="F760" s="17">
        <v>32313.51</v>
      </c>
      <c r="G760" s="17">
        <v>230533.53</v>
      </c>
      <c r="H760" s="1"/>
      <c r="I760" s="1"/>
      <c r="J760" s="1"/>
    </row>
    <row r="761" spans="1:10" x14ac:dyDescent="0.75">
      <c r="A761" s="20"/>
      <c r="B761" s="20"/>
      <c r="C761" s="8"/>
      <c r="D761" s="9"/>
      <c r="E761" s="20"/>
      <c r="F761" s="20"/>
      <c r="G761" s="20"/>
      <c r="H761" s="1"/>
      <c r="I761" s="1"/>
      <c r="J761" s="1"/>
    </row>
    <row r="762" spans="1:10" x14ac:dyDescent="0.75">
      <c r="A762" s="34" t="s">
        <v>15</v>
      </c>
      <c r="B762" s="35"/>
      <c r="C762" s="35"/>
      <c r="D762" s="35"/>
      <c r="E762" s="35"/>
      <c r="F762" s="35"/>
      <c r="G762" s="36"/>
      <c r="H762" s="1"/>
      <c r="I762" s="1"/>
      <c r="J762" s="1"/>
    </row>
    <row r="763" spans="1:10" x14ac:dyDescent="0.75">
      <c r="A763" s="21" t="s">
        <v>32</v>
      </c>
      <c r="B763" s="22"/>
      <c r="C763" s="22"/>
      <c r="D763" s="23" t="s">
        <v>33</v>
      </c>
      <c r="E763" s="22"/>
      <c r="F763" s="22"/>
      <c r="G763" s="24"/>
      <c r="H763" s="1"/>
      <c r="I763" s="1"/>
      <c r="J763" s="1"/>
    </row>
    <row r="764" spans="1:10" x14ac:dyDescent="0.75">
      <c r="A764" s="37" t="s">
        <v>416</v>
      </c>
      <c r="B764" s="37"/>
      <c r="C764" s="37"/>
      <c r="D764" s="37"/>
      <c r="E764" s="37"/>
      <c r="F764" s="37"/>
      <c r="G764" s="37"/>
      <c r="H764" s="37"/>
      <c r="I764" s="1"/>
      <c r="J764" s="1"/>
    </row>
    <row r="765" spans="1:10" x14ac:dyDescent="0.75">
      <c r="A765" s="55" t="s">
        <v>0</v>
      </c>
      <c r="B765" s="55"/>
      <c r="C765" s="55"/>
      <c r="D765" s="55"/>
      <c r="E765" s="55"/>
      <c r="F765" s="55"/>
      <c r="G765" s="55"/>
      <c r="H765" s="55"/>
      <c r="I765" s="1"/>
      <c r="J765" s="1"/>
    </row>
    <row r="766" spans="1:10" x14ac:dyDescent="0.75">
      <c r="A766" s="55" t="s">
        <v>1</v>
      </c>
      <c r="B766" s="55"/>
      <c r="C766" s="55"/>
      <c r="D766" s="55"/>
      <c r="E766" s="55"/>
      <c r="F766" s="55"/>
      <c r="G766" s="55"/>
      <c r="H766" s="55"/>
      <c r="I766" s="1"/>
      <c r="J766" s="1"/>
    </row>
    <row r="767" spans="1:10" x14ac:dyDescent="0.75">
      <c r="A767" s="38" t="s">
        <v>35</v>
      </c>
      <c r="B767" s="39"/>
      <c r="C767" s="39"/>
      <c r="D767" s="39"/>
      <c r="E767" s="39"/>
      <c r="F767" s="39"/>
      <c r="G767" s="40"/>
      <c r="H767" s="1"/>
      <c r="I767" s="1"/>
      <c r="J767" s="1"/>
    </row>
    <row r="768" spans="1:10" ht="21.5" x14ac:dyDescent="0.75">
      <c r="A768" s="2" t="s">
        <v>3</v>
      </c>
      <c r="B768" s="3" t="s">
        <v>4</v>
      </c>
      <c r="C768" s="4"/>
      <c r="D768" s="5" t="s">
        <v>5</v>
      </c>
      <c r="E768" s="3" t="s">
        <v>6</v>
      </c>
      <c r="F768" s="3" t="s">
        <v>7</v>
      </c>
      <c r="G768" s="6" t="s">
        <v>8</v>
      </c>
      <c r="H768" s="1"/>
      <c r="I768" s="1"/>
      <c r="J768" s="1"/>
    </row>
    <row r="769" spans="1:10" x14ac:dyDescent="0.75">
      <c r="A769" s="10">
        <v>43725</v>
      </c>
      <c r="B769" s="11"/>
      <c r="C769" s="56" t="s">
        <v>19</v>
      </c>
      <c r="D769" s="57"/>
      <c r="E769" s="11"/>
      <c r="F769" s="11"/>
      <c r="G769" s="12">
        <v>230533.53</v>
      </c>
      <c r="H769" s="1"/>
      <c r="I769" s="1"/>
      <c r="J769" s="1"/>
    </row>
    <row r="770" spans="1:10" x14ac:dyDescent="0.75">
      <c r="A770" s="13">
        <v>43726</v>
      </c>
      <c r="B770" s="13">
        <v>43726</v>
      </c>
      <c r="C770" s="58" t="s">
        <v>28</v>
      </c>
      <c r="D770" s="59"/>
      <c r="E770" s="15" t="s">
        <v>21</v>
      </c>
      <c r="F770" s="14">
        <v>6347</v>
      </c>
      <c r="G770" s="14">
        <v>236880.53</v>
      </c>
      <c r="H770" s="1"/>
      <c r="I770" s="1"/>
      <c r="J770" s="1"/>
    </row>
    <row r="771" spans="1:10" x14ac:dyDescent="0.75">
      <c r="A771" s="16">
        <v>43727</v>
      </c>
      <c r="B771" s="16">
        <v>43727</v>
      </c>
      <c r="C771" s="53" t="s">
        <v>28</v>
      </c>
      <c r="D771" s="54"/>
      <c r="E771" s="18" t="s">
        <v>21</v>
      </c>
      <c r="F771" s="17">
        <v>37460.230000000003</v>
      </c>
      <c r="G771" s="17">
        <v>274340.76</v>
      </c>
      <c r="H771" s="1"/>
      <c r="I771" s="1"/>
      <c r="J771" s="1"/>
    </row>
    <row r="772" spans="1:10" x14ac:dyDescent="0.75">
      <c r="A772" s="16">
        <v>43728</v>
      </c>
      <c r="B772" s="16">
        <v>43728</v>
      </c>
      <c r="C772" s="53" t="s">
        <v>28</v>
      </c>
      <c r="D772" s="54"/>
      <c r="E772" s="18" t="s">
        <v>21</v>
      </c>
      <c r="F772" s="17">
        <v>44019.16</v>
      </c>
      <c r="G772" s="17">
        <v>318359.92</v>
      </c>
      <c r="H772" s="1"/>
      <c r="I772" s="1"/>
      <c r="J772" s="1"/>
    </row>
    <row r="773" spans="1:10" x14ac:dyDescent="0.75">
      <c r="A773" s="16">
        <v>43728</v>
      </c>
      <c r="B773" s="16">
        <v>43728</v>
      </c>
      <c r="C773" s="53" t="s">
        <v>417</v>
      </c>
      <c r="D773" s="54"/>
      <c r="E773" s="19">
        <v>800</v>
      </c>
      <c r="F773" s="18" t="s">
        <v>21</v>
      </c>
      <c r="G773" s="17">
        <v>317559.92</v>
      </c>
      <c r="H773" s="1"/>
      <c r="I773" s="1"/>
      <c r="J773" s="1"/>
    </row>
    <row r="774" spans="1:10" x14ac:dyDescent="0.75">
      <c r="A774" s="16">
        <v>43732</v>
      </c>
      <c r="B774" s="16">
        <v>43732</v>
      </c>
      <c r="C774" s="53" t="s">
        <v>418</v>
      </c>
      <c r="D774" s="54"/>
      <c r="E774" s="17">
        <v>200000</v>
      </c>
      <c r="F774" s="18" t="s">
        <v>21</v>
      </c>
      <c r="G774" s="17">
        <v>117559.92</v>
      </c>
      <c r="H774" s="1"/>
      <c r="I774" s="1"/>
      <c r="J774" s="1"/>
    </row>
    <row r="775" spans="1:10" x14ac:dyDescent="0.75">
      <c r="A775" s="16">
        <v>43733</v>
      </c>
      <c r="B775" s="16">
        <v>43733</v>
      </c>
      <c r="C775" s="53" t="s">
        <v>28</v>
      </c>
      <c r="D775" s="54"/>
      <c r="E775" s="18" t="s">
        <v>21</v>
      </c>
      <c r="F775" s="17">
        <v>32778.800000000003</v>
      </c>
      <c r="G775" s="17">
        <v>150338.72</v>
      </c>
      <c r="H775" s="1"/>
      <c r="I775" s="1"/>
      <c r="J775" s="1"/>
    </row>
    <row r="776" spans="1:10" x14ac:dyDescent="0.75">
      <c r="A776" s="16">
        <v>43734</v>
      </c>
      <c r="B776" s="16">
        <v>43734</v>
      </c>
      <c r="C776" s="53" t="s">
        <v>28</v>
      </c>
      <c r="D776" s="54"/>
      <c r="E776" s="18" t="s">
        <v>21</v>
      </c>
      <c r="F776" s="17">
        <v>1837</v>
      </c>
      <c r="G776" s="17">
        <v>152175.72</v>
      </c>
      <c r="H776" s="1"/>
      <c r="I776" s="1"/>
      <c r="J776" s="1"/>
    </row>
    <row r="777" spans="1:10" x14ac:dyDescent="0.75">
      <c r="A777" s="16">
        <v>43735</v>
      </c>
      <c r="B777" s="16">
        <v>43735</v>
      </c>
      <c r="C777" s="53" t="s">
        <v>28</v>
      </c>
      <c r="D777" s="54"/>
      <c r="E777" s="18" t="s">
        <v>21</v>
      </c>
      <c r="F777" s="17">
        <v>21131.99</v>
      </c>
      <c r="G777" s="17">
        <v>173307.71</v>
      </c>
      <c r="H777" s="1"/>
      <c r="I777" s="1"/>
      <c r="J777" s="1"/>
    </row>
    <row r="778" spans="1:10" x14ac:dyDescent="0.75">
      <c r="A778" s="16">
        <v>43735</v>
      </c>
      <c r="B778" s="16">
        <v>43735</v>
      </c>
      <c r="C778" s="53" t="s">
        <v>419</v>
      </c>
      <c r="D778" s="54"/>
      <c r="E778" s="17">
        <v>2000</v>
      </c>
      <c r="F778" s="18" t="s">
        <v>21</v>
      </c>
      <c r="G778" s="17">
        <v>171307.71</v>
      </c>
      <c r="H778" s="1"/>
      <c r="I778" s="1"/>
      <c r="J778" s="1"/>
    </row>
    <row r="779" spans="1:10" x14ac:dyDescent="0.75">
      <c r="A779" s="16">
        <v>43735</v>
      </c>
      <c r="B779" s="16">
        <v>43735</v>
      </c>
      <c r="C779" s="53" t="s">
        <v>420</v>
      </c>
      <c r="D779" s="54"/>
      <c r="E779" s="17">
        <v>4537.3500000000004</v>
      </c>
      <c r="F779" s="18" t="s">
        <v>21</v>
      </c>
      <c r="G779" s="17">
        <v>166770.35999999999</v>
      </c>
      <c r="H779" s="1"/>
      <c r="I779" s="1"/>
      <c r="J779" s="1"/>
    </row>
    <row r="780" spans="1:10" x14ac:dyDescent="0.75">
      <c r="A780" s="16">
        <v>43735</v>
      </c>
      <c r="B780" s="16">
        <v>43735</v>
      </c>
      <c r="C780" s="53" t="s">
        <v>421</v>
      </c>
      <c r="D780" s="54"/>
      <c r="E780" s="17">
        <v>5726.36</v>
      </c>
      <c r="F780" s="18" t="s">
        <v>21</v>
      </c>
      <c r="G780" s="17">
        <v>161044</v>
      </c>
      <c r="H780" s="1"/>
      <c r="I780" s="1"/>
      <c r="J780" s="1"/>
    </row>
    <row r="781" spans="1:10" x14ac:dyDescent="0.75">
      <c r="A781" s="16">
        <v>43735</v>
      </c>
      <c r="B781" s="16">
        <v>43735</v>
      </c>
      <c r="C781" s="53" t="s">
        <v>422</v>
      </c>
      <c r="D781" s="54"/>
      <c r="E781" s="17">
        <v>5238</v>
      </c>
      <c r="F781" s="18" t="s">
        <v>21</v>
      </c>
      <c r="G781" s="17">
        <v>155806</v>
      </c>
      <c r="H781" s="1"/>
      <c r="I781" s="1"/>
      <c r="J781" s="1"/>
    </row>
    <row r="782" spans="1:10" x14ac:dyDescent="0.75">
      <c r="A782" s="20"/>
      <c r="B782" s="20"/>
      <c r="C782" s="8"/>
      <c r="D782" s="9"/>
      <c r="E782" s="20"/>
      <c r="F782" s="20"/>
      <c r="G782" s="20"/>
      <c r="H782" s="1"/>
      <c r="I782" s="1"/>
      <c r="J782" s="1"/>
    </row>
    <row r="783" spans="1:10" x14ac:dyDescent="0.75">
      <c r="A783" s="34" t="s">
        <v>15</v>
      </c>
      <c r="B783" s="35"/>
      <c r="C783" s="35"/>
      <c r="D783" s="35"/>
      <c r="E783" s="35"/>
      <c r="F783" s="35"/>
      <c r="G783" s="36"/>
      <c r="H783" s="1"/>
      <c r="I783" s="1"/>
      <c r="J783" s="1"/>
    </row>
    <row r="784" spans="1:10" x14ac:dyDescent="0.75">
      <c r="A784" s="21" t="s">
        <v>32</v>
      </c>
      <c r="B784" s="22"/>
      <c r="C784" s="22"/>
      <c r="D784" s="23" t="s">
        <v>33</v>
      </c>
      <c r="E784" s="22"/>
      <c r="F784" s="22"/>
      <c r="G784" s="24"/>
      <c r="H784" s="1"/>
      <c r="I784" s="1"/>
      <c r="J784" s="1"/>
    </row>
    <row r="785" spans="1:10" x14ac:dyDescent="0.75">
      <c r="A785" s="37" t="s">
        <v>423</v>
      </c>
      <c r="B785" s="37"/>
      <c r="C785" s="37"/>
      <c r="D785" s="37"/>
      <c r="E785" s="37"/>
      <c r="F785" s="37"/>
      <c r="G785" s="37"/>
      <c r="H785" s="37"/>
      <c r="I785" s="1"/>
      <c r="J785" s="1"/>
    </row>
    <row r="786" spans="1:10" x14ac:dyDescent="0.75">
      <c r="A786" s="55" t="s">
        <v>0</v>
      </c>
      <c r="B786" s="55"/>
      <c r="C786" s="55"/>
      <c r="D786" s="55"/>
      <c r="E786" s="55"/>
      <c r="F786" s="55"/>
      <c r="G786" s="55"/>
      <c r="H786" s="55"/>
      <c r="I786" s="1"/>
      <c r="J786" s="1"/>
    </row>
    <row r="787" spans="1:10" x14ac:dyDescent="0.75">
      <c r="A787" s="55" t="s">
        <v>1</v>
      </c>
      <c r="B787" s="55"/>
      <c r="C787" s="55"/>
      <c r="D787" s="55"/>
      <c r="E787" s="55"/>
      <c r="F787" s="55"/>
      <c r="G787" s="55"/>
      <c r="H787" s="55"/>
      <c r="I787" s="1"/>
      <c r="J787" s="1"/>
    </row>
    <row r="788" spans="1:10" x14ac:dyDescent="0.75">
      <c r="A788" s="38" t="s">
        <v>35</v>
      </c>
      <c r="B788" s="39"/>
      <c r="C788" s="39"/>
      <c r="D788" s="39"/>
      <c r="E788" s="39"/>
      <c r="F788" s="39"/>
      <c r="G788" s="40"/>
      <c r="H788" s="1"/>
      <c r="I788" s="1"/>
      <c r="J788" s="1"/>
    </row>
    <row r="789" spans="1:10" ht="21.5" x14ac:dyDescent="0.75">
      <c r="A789" s="2" t="s">
        <v>3</v>
      </c>
      <c r="B789" s="3" t="s">
        <v>4</v>
      </c>
      <c r="C789" s="4"/>
      <c r="D789" s="5" t="s">
        <v>5</v>
      </c>
      <c r="E789" s="3" t="s">
        <v>6</v>
      </c>
      <c r="F789" s="3" t="s">
        <v>7</v>
      </c>
      <c r="G789" s="6" t="s">
        <v>8</v>
      </c>
      <c r="H789" s="1"/>
      <c r="I789" s="1"/>
      <c r="J789" s="1"/>
    </row>
    <row r="790" spans="1:10" x14ac:dyDescent="0.75">
      <c r="A790" s="41" t="s">
        <v>424</v>
      </c>
      <c r="B790" s="65">
        <v>43738</v>
      </c>
      <c r="C790" s="44" t="s">
        <v>425</v>
      </c>
      <c r="D790" s="45"/>
      <c r="E790" s="27" t="s">
        <v>21</v>
      </c>
      <c r="F790" s="28">
        <v>19018</v>
      </c>
      <c r="G790" s="48" t="s">
        <v>426</v>
      </c>
      <c r="H790" s="1"/>
      <c r="I790" s="1"/>
      <c r="J790" s="1"/>
    </row>
    <row r="791" spans="1:10" x14ac:dyDescent="0.75">
      <c r="A791" s="42"/>
      <c r="B791" s="66"/>
      <c r="C791" s="46"/>
      <c r="D791" s="47"/>
      <c r="E791" s="63">
        <v>509480.49</v>
      </c>
      <c r="F791" s="63">
        <v>628716.63</v>
      </c>
      <c r="G791" s="49"/>
      <c r="H791" s="1"/>
      <c r="I791" s="1"/>
      <c r="J791" s="1"/>
    </row>
    <row r="792" spans="1:10" x14ac:dyDescent="0.75">
      <c r="A792" s="43"/>
      <c r="B792" s="67"/>
      <c r="C792" s="8"/>
      <c r="D792" s="9"/>
      <c r="E792" s="64"/>
      <c r="F792" s="64"/>
      <c r="G792" s="50"/>
      <c r="H792" s="1"/>
      <c r="I792" s="1"/>
      <c r="J792" s="1"/>
    </row>
    <row r="793" spans="1:10" x14ac:dyDescent="0.75">
      <c r="A793" s="34" t="s">
        <v>15</v>
      </c>
      <c r="B793" s="35"/>
      <c r="C793" s="35"/>
      <c r="D793" s="35"/>
      <c r="E793" s="35"/>
      <c r="F793" s="35"/>
      <c r="G793" s="36"/>
      <c r="H793" s="1"/>
      <c r="I793" s="1"/>
      <c r="J793" s="1"/>
    </row>
    <row r="794" spans="1:10" x14ac:dyDescent="0.75">
      <c r="A794" s="34" t="s">
        <v>16</v>
      </c>
      <c r="B794" s="35"/>
      <c r="C794" s="35"/>
      <c r="D794" s="35"/>
      <c r="E794" s="35"/>
      <c r="F794" s="35"/>
      <c r="G794" s="36"/>
      <c r="H794" s="1"/>
      <c r="I794" s="1"/>
      <c r="J794" s="1"/>
    </row>
    <row r="795" spans="1:10" x14ac:dyDescent="0.75">
      <c r="A795" s="37" t="s">
        <v>427</v>
      </c>
      <c r="B795" s="37"/>
      <c r="C795" s="37"/>
      <c r="D795" s="37"/>
      <c r="E795" s="37"/>
      <c r="F795" s="37"/>
      <c r="G795" s="37"/>
      <c r="H795" s="37"/>
      <c r="I795" s="1"/>
      <c r="J795" s="1"/>
    </row>
    <row r="796" spans="1:10" x14ac:dyDescent="0.75">
      <c r="A796" s="55" t="s">
        <v>0</v>
      </c>
      <c r="B796" s="55"/>
      <c r="C796" s="55"/>
      <c r="D796" s="55"/>
      <c r="E796" s="55"/>
      <c r="F796" s="55"/>
      <c r="G796" s="55"/>
      <c r="H796" s="55"/>
      <c r="I796" s="1"/>
      <c r="J796" s="1"/>
    </row>
    <row r="797" spans="1:10" x14ac:dyDescent="0.75">
      <c r="A797" s="55" t="s">
        <v>1</v>
      </c>
      <c r="B797" s="55"/>
      <c r="C797" s="55"/>
      <c r="D797" s="55"/>
      <c r="E797" s="55"/>
      <c r="F797" s="55"/>
      <c r="G797" s="55"/>
      <c r="H797" s="55"/>
      <c r="I797" s="1"/>
      <c r="J797" s="1"/>
    </row>
    <row r="798" spans="1:10" x14ac:dyDescent="0.75">
      <c r="A798" s="34" t="s">
        <v>428</v>
      </c>
      <c r="B798" s="35"/>
      <c r="C798" s="35"/>
      <c r="D798" s="35"/>
      <c r="E798" s="35"/>
      <c r="F798" s="35"/>
      <c r="G798" s="36"/>
      <c r="H798" s="1"/>
      <c r="I798" s="1"/>
      <c r="J798" s="1"/>
    </row>
    <row r="799" spans="1:10" ht="21.5" x14ac:dyDescent="0.75">
      <c r="A799" s="2" t="s">
        <v>3</v>
      </c>
      <c r="B799" s="3" t="s">
        <v>4</v>
      </c>
      <c r="C799" s="4"/>
      <c r="D799" s="5" t="s">
        <v>5</v>
      </c>
      <c r="E799" s="3" t="s">
        <v>6</v>
      </c>
      <c r="F799" s="3" t="s">
        <v>7</v>
      </c>
      <c r="G799" s="6" t="s">
        <v>8</v>
      </c>
      <c r="H799" s="1"/>
      <c r="I799" s="1"/>
      <c r="J799" s="1"/>
    </row>
    <row r="800" spans="1:10" x14ac:dyDescent="0.75">
      <c r="A800" s="10">
        <v>43738</v>
      </c>
      <c r="B800" s="11"/>
      <c r="C800" s="56" t="s">
        <v>19</v>
      </c>
      <c r="D800" s="57"/>
      <c r="E800" s="11"/>
      <c r="F800" s="11"/>
      <c r="G800" s="12">
        <v>174824</v>
      </c>
      <c r="H800" s="1"/>
      <c r="I800" s="1"/>
      <c r="J800" s="1"/>
    </row>
    <row r="801" spans="1:10" x14ac:dyDescent="0.75">
      <c r="A801" s="13">
        <v>43739</v>
      </c>
      <c r="B801" s="13">
        <v>43739</v>
      </c>
      <c r="C801" s="58" t="s">
        <v>28</v>
      </c>
      <c r="D801" s="59"/>
      <c r="E801" s="15" t="s">
        <v>21</v>
      </c>
      <c r="F801" s="14">
        <v>22880.22</v>
      </c>
      <c r="G801" s="14">
        <v>197704.22</v>
      </c>
      <c r="H801" s="1"/>
      <c r="I801" s="1"/>
      <c r="J801" s="1"/>
    </row>
    <row r="802" spans="1:10" x14ac:dyDescent="0.75">
      <c r="A802" s="16">
        <v>43741</v>
      </c>
      <c r="B802" s="16">
        <v>43741</v>
      </c>
      <c r="C802" s="53" t="s">
        <v>28</v>
      </c>
      <c r="D802" s="54"/>
      <c r="E802" s="18" t="s">
        <v>21</v>
      </c>
      <c r="F802" s="17">
        <v>2708.5</v>
      </c>
      <c r="G802" s="17">
        <v>200412.72</v>
      </c>
      <c r="H802" s="1"/>
      <c r="I802" s="1"/>
      <c r="J802" s="1"/>
    </row>
    <row r="803" spans="1:10" x14ac:dyDescent="0.75">
      <c r="A803" s="16">
        <v>43741</v>
      </c>
      <c r="B803" s="16">
        <v>43741</v>
      </c>
      <c r="C803" s="53" t="s">
        <v>429</v>
      </c>
      <c r="D803" s="54"/>
      <c r="E803" s="19">
        <v>667.3</v>
      </c>
      <c r="F803" s="18" t="s">
        <v>21</v>
      </c>
      <c r="G803" s="17">
        <v>199745.42</v>
      </c>
      <c r="H803" s="1"/>
      <c r="I803" s="1"/>
      <c r="J803" s="1"/>
    </row>
    <row r="804" spans="1:10" x14ac:dyDescent="0.75">
      <c r="A804" s="16">
        <v>43741</v>
      </c>
      <c r="B804" s="16">
        <v>43741</v>
      </c>
      <c r="C804" s="53" t="s">
        <v>430</v>
      </c>
      <c r="D804" s="54"/>
      <c r="E804" s="17">
        <v>8079.61</v>
      </c>
      <c r="F804" s="18" t="s">
        <v>21</v>
      </c>
      <c r="G804" s="17">
        <v>191665.81</v>
      </c>
      <c r="H804" s="1"/>
      <c r="I804" s="1"/>
      <c r="J804" s="1"/>
    </row>
    <row r="805" spans="1:10" x14ac:dyDescent="0.75">
      <c r="A805" s="16">
        <v>43742</v>
      </c>
      <c r="B805" s="16">
        <v>43742</v>
      </c>
      <c r="C805" s="53" t="s">
        <v>28</v>
      </c>
      <c r="D805" s="54"/>
      <c r="E805" s="18" t="s">
        <v>21</v>
      </c>
      <c r="F805" s="17">
        <v>31236.799999999999</v>
      </c>
      <c r="G805" s="17">
        <v>222902.61</v>
      </c>
      <c r="H805" s="1"/>
      <c r="I805" s="1"/>
      <c r="J805" s="1"/>
    </row>
    <row r="806" spans="1:10" x14ac:dyDescent="0.75">
      <c r="A806" s="16">
        <v>43745</v>
      </c>
      <c r="B806" s="16">
        <v>43745</v>
      </c>
      <c r="C806" s="53" t="s">
        <v>28</v>
      </c>
      <c r="D806" s="54"/>
      <c r="E806" s="18" t="s">
        <v>21</v>
      </c>
      <c r="F806" s="17">
        <v>51712.56</v>
      </c>
      <c r="G806" s="17">
        <v>274615.17</v>
      </c>
      <c r="H806" s="1"/>
      <c r="I806" s="1"/>
      <c r="J806" s="1"/>
    </row>
    <row r="807" spans="1:10" x14ac:dyDescent="0.75">
      <c r="A807" s="16">
        <v>43745</v>
      </c>
      <c r="B807" s="16">
        <v>43745</v>
      </c>
      <c r="C807" s="53" t="s">
        <v>431</v>
      </c>
      <c r="D807" s="54"/>
      <c r="E807" s="17">
        <v>2892.24</v>
      </c>
      <c r="F807" s="18" t="s">
        <v>21</v>
      </c>
      <c r="G807" s="17">
        <v>271722.93</v>
      </c>
      <c r="H807" s="1"/>
      <c r="I807" s="1"/>
      <c r="J807" s="1"/>
    </row>
    <row r="808" spans="1:10" x14ac:dyDescent="0.75">
      <c r="A808" s="16">
        <v>43745</v>
      </c>
      <c r="B808" s="16">
        <v>43745</v>
      </c>
      <c r="C808" s="53" t="s">
        <v>432</v>
      </c>
      <c r="D808" s="54"/>
      <c r="E808" s="17">
        <v>31104.39</v>
      </c>
      <c r="F808" s="18" t="s">
        <v>21</v>
      </c>
      <c r="G808" s="17">
        <v>240618.54</v>
      </c>
      <c r="H808" s="1"/>
      <c r="I808" s="1"/>
      <c r="J808" s="1"/>
    </row>
    <row r="809" spans="1:10" x14ac:dyDescent="0.75">
      <c r="A809" s="16">
        <v>43745</v>
      </c>
      <c r="B809" s="16">
        <v>43745</v>
      </c>
      <c r="C809" s="53" t="s">
        <v>433</v>
      </c>
      <c r="D809" s="54"/>
      <c r="E809" s="17">
        <v>65985.8</v>
      </c>
      <c r="F809" s="18" t="s">
        <v>21</v>
      </c>
      <c r="G809" s="17">
        <v>174632.74</v>
      </c>
      <c r="H809" s="1"/>
      <c r="I809" s="1"/>
      <c r="J809" s="1"/>
    </row>
    <row r="810" spans="1:10" x14ac:dyDescent="0.75">
      <c r="A810" s="16">
        <v>43746</v>
      </c>
      <c r="B810" s="16">
        <v>43746</v>
      </c>
      <c r="C810" s="53" t="s">
        <v>28</v>
      </c>
      <c r="D810" s="54"/>
      <c r="E810" s="18" t="s">
        <v>21</v>
      </c>
      <c r="F810" s="17">
        <v>65884.649999999994</v>
      </c>
      <c r="G810" s="17">
        <v>240517.39</v>
      </c>
      <c r="H810" s="1"/>
      <c r="I810" s="1"/>
      <c r="J810" s="1"/>
    </row>
    <row r="811" spans="1:10" x14ac:dyDescent="0.75">
      <c r="A811" s="16">
        <v>43747</v>
      </c>
      <c r="B811" s="16">
        <v>43747</v>
      </c>
      <c r="C811" s="53" t="s">
        <v>28</v>
      </c>
      <c r="D811" s="54"/>
      <c r="E811" s="18" t="s">
        <v>21</v>
      </c>
      <c r="F811" s="17">
        <v>12647.95</v>
      </c>
      <c r="G811" s="17">
        <v>253165.34</v>
      </c>
      <c r="H811" s="1"/>
      <c r="I811" s="1"/>
      <c r="J811" s="1"/>
    </row>
    <row r="812" spans="1:10" x14ac:dyDescent="0.75">
      <c r="A812" s="16">
        <v>43747</v>
      </c>
      <c r="B812" s="16">
        <v>43747</v>
      </c>
      <c r="C812" s="53" t="s">
        <v>434</v>
      </c>
      <c r="D812" s="54"/>
      <c r="E812" s="17">
        <v>1628</v>
      </c>
      <c r="F812" s="18" t="s">
        <v>21</v>
      </c>
      <c r="G812" s="17">
        <v>251537.34</v>
      </c>
      <c r="H812" s="1"/>
      <c r="I812" s="1"/>
      <c r="J812" s="1"/>
    </row>
    <row r="813" spans="1:10" x14ac:dyDescent="0.75">
      <c r="A813" s="20"/>
      <c r="B813" s="20"/>
      <c r="C813" s="8"/>
      <c r="D813" s="9"/>
      <c r="E813" s="20"/>
      <c r="F813" s="20"/>
      <c r="G813" s="20"/>
      <c r="H813" s="1"/>
      <c r="I813" s="1"/>
      <c r="J813" s="1"/>
    </row>
    <row r="814" spans="1:10" x14ac:dyDescent="0.75">
      <c r="A814" s="34" t="s">
        <v>15</v>
      </c>
      <c r="B814" s="35"/>
      <c r="C814" s="35"/>
      <c r="D814" s="35"/>
      <c r="E814" s="35"/>
      <c r="F814" s="35"/>
      <c r="G814" s="36"/>
      <c r="H814" s="1"/>
      <c r="I814" s="1"/>
      <c r="J814" s="1"/>
    </row>
    <row r="815" spans="1:10" x14ac:dyDescent="0.75">
      <c r="A815" s="21" t="s">
        <v>32</v>
      </c>
      <c r="B815" s="22"/>
      <c r="C815" s="22"/>
      <c r="D815" s="23" t="s">
        <v>33</v>
      </c>
      <c r="E815" s="22"/>
      <c r="F815" s="22"/>
      <c r="G815" s="24"/>
      <c r="H815" s="1"/>
      <c r="I815" s="1"/>
      <c r="J815" s="1"/>
    </row>
    <row r="816" spans="1:10" x14ac:dyDescent="0.75">
      <c r="A816" s="37" t="s">
        <v>435</v>
      </c>
      <c r="B816" s="37"/>
      <c r="C816" s="37"/>
      <c r="D816" s="37"/>
      <c r="E816" s="37"/>
      <c r="F816" s="37"/>
      <c r="G816" s="37"/>
      <c r="H816" s="37"/>
      <c r="I816" s="1"/>
      <c r="J816" s="1"/>
    </row>
    <row r="817" spans="1:10" x14ac:dyDescent="0.75">
      <c r="A817" s="55" t="s">
        <v>0</v>
      </c>
      <c r="B817" s="55"/>
      <c r="C817" s="55"/>
      <c r="D817" s="55"/>
      <c r="E817" s="55"/>
      <c r="F817" s="55"/>
      <c r="G817" s="55"/>
      <c r="H817" s="55"/>
      <c r="I817" s="1"/>
      <c r="J817" s="1"/>
    </row>
    <row r="818" spans="1:10" x14ac:dyDescent="0.75">
      <c r="A818" s="55" t="s">
        <v>1</v>
      </c>
      <c r="B818" s="55"/>
      <c r="C818" s="55"/>
      <c r="D818" s="55"/>
      <c r="E818" s="55"/>
      <c r="F818" s="55"/>
      <c r="G818" s="55"/>
      <c r="H818" s="55"/>
      <c r="I818" s="1"/>
      <c r="J818" s="1"/>
    </row>
    <row r="819" spans="1:10" x14ac:dyDescent="0.75">
      <c r="A819" s="38" t="s">
        <v>35</v>
      </c>
      <c r="B819" s="39"/>
      <c r="C819" s="39"/>
      <c r="D819" s="39"/>
      <c r="E819" s="39"/>
      <c r="F819" s="39"/>
      <c r="G819" s="40"/>
      <c r="H819" s="1"/>
      <c r="I819" s="1"/>
      <c r="J819" s="1"/>
    </row>
    <row r="820" spans="1:10" ht="21.5" x14ac:dyDescent="0.75">
      <c r="A820" s="2" t="s">
        <v>3</v>
      </c>
      <c r="B820" s="3" t="s">
        <v>4</v>
      </c>
      <c r="C820" s="4"/>
      <c r="D820" s="5" t="s">
        <v>5</v>
      </c>
      <c r="E820" s="3" t="s">
        <v>6</v>
      </c>
      <c r="F820" s="3" t="s">
        <v>7</v>
      </c>
      <c r="G820" s="6" t="s">
        <v>8</v>
      </c>
      <c r="H820" s="1"/>
      <c r="I820" s="1"/>
      <c r="J820" s="1"/>
    </row>
    <row r="821" spans="1:10" x14ac:dyDescent="0.75">
      <c r="A821" s="10">
        <v>43747</v>
      </c>
      <c r="B821" s="11"/>
      <c r="C821" s="56" t="s">
        <v>19</v>
      </c>
      <c r="D821" s="57"/>
      <c r="E821" s="11"/>
      <c r="F821" s="11"/>
      <c r="G821" s="12">
        <v>251537.34</v>
      </c>
      <c r="H821" s="1"/>
      <c r="I821" s="1"/>
      <c r="J821" s="1"/>
    </row>
    <row r="822" spans="1:10" x14ac:dyDescent="0.75">
      <c r="A822" s="13">
        <v>43748</v>
      </c>
      <c r="B822" s="13">
        <v>43748</v>
      </c>
      <c r="C822" s="58" t="s">
        <v>28</v>
      </c>
      <c r="D822" s="59"/>
      <c r="E822" s="15" t="s">
        <v>21</v>
      </c>
      <c r="F822" s="14">
        <v>14426.33</v>
      </c>
      <c r="G822" s="14">
        <v>265963.67</v>
      </c>
      <c r="H822" s="1"/>
      <c r="I822" s="1"/>
      <c r="J822" s="1"/>
    </row>
    <row r="823" spans="1:10" x14ac:dyDescent="0.75">
      <c r="A823" s="16">
        <v>43748</v>
      </c>
      <c r="B823" s="16">
        <v>43748</v>
      </c>
      <c r="C823" s="53" t="s">
        <v>436</v>
      </c>
      <c r="D823" s="54"/>
      <c r="E823" s="17">
        <v>3414.96</v>
      </c>
      <c r="F823" s="18" t="s">
        <v>21</v>
      </c>
      <c r="G823" s="17">
        <v>262548.71000000002</v>
      </c>
      <c r="H823" s="1"/>
      <c r="I823" s="1"/>
      <c r="J823" s="1"/>
    </row>
    <row r="824" spans="1:10" x14ac:dyDescent="0.75">
      <c r="A824" s="16">
        <v>43748</v>
      </c>
      <c r="B824" s="16">
        <v>43748</v>
      </c>
      <c r="C824" s="53" t="s">
        <v>437</v>
      </c>
      <c r="D824" s="54"/>
      <c r="E824" s="17">
        <v>7432.04</v>
      </c>
      <c r="F824" s="18" t="s">
        <v>21</v>
      </c>
      <c r="G824" s="17">
        <v>255116.67</v>
      </c>
      <c r="H824" s="1"/>
      <c r="I824" s="1"/>
      <c r="J824" s="1"/>
    </row>
    <row r="825" spans="1:10" x14ac:dyDescent="0.75">
      <c r="A825" s="16">
        <v>43749</v>
      </c>
      <c r="B825" s="16">
        <v>43749</v>
      </c>
      <c r="C825" s="53" t="s">
        <v>28</v>
      </c>
      <c r="D825" s="54"/>
      <c r="E825" s="18" t="s">
        <v>21</v>
      </c>
      <c r="F825" s="17">
        <v>63531.61</v>
      </c>
      <c r="G825" s="17">
        <v>318648.28000000003</v>
      </c>
      <c r="H825" s="1"/>
      <c r="I825" s="1"/>
      <c r="J825" s="1"/>
    </row>
    <row r="826" spans="1:10" x14ac:dyDescent="0.75">
      <c r="A826" s="16">
        <v>43749</v>
      </c>
      <c r="B826" s="16">
        <v>43749</v>
      </c>
      <c r="C826" s="53" t="s">
        <v>438</v>
      </c>
      <c r="D826" s="54"/>
      <c r="E826" s="19">
        <v>500</v>
      </c>
      <c r="F826" s="18" t="s">
        <v>21</v>
      </c>
      <c r="G826" s="17">
        <v>318148.28000000003</v>
      </c>
      <c r="H826" s="1"/>
      <c r="I826" s="1"/>
      <c r="J826" s="1"/>
    </row>
    <row r="827" spans="1:10" x14ac:dyDescent="0.75">
      <c r="A827" s="16">
        <v>43752</v>
      </c>
      <c r="B827" s="16">
        <v>43752</v>
      </c>
      <c r="C827" s="53" t="s">
        <v>28</v>
      </c>
      <c r="D827" s="54"/>
      <c r="E827" s="18" t="s">
        <v>21</v>
      </c>
      <c r="F827" s="17">
        <v>387482.71</v>
      </c>
      <c r="G827" s="17">
        <v>705630.99</v>
      </c>
      <c r="H827" s="1"/>
      <c r="I827" s="1"/>
      <c r="J827" s="1"/>
    </row>
    <row r="828" spans="1:10" x14ac:dyDescent="0.75">
      <c r="A828" s="16">
        <v>43752</v>
      </c>
      <c r="B828" s="16">
        <v>43752</v>
      </c>
      <c r="C828" s="53" t="s">
        <v>439</v>
      </c>
      <c r="D828" s="54"/>
      <c r="E828" s="17">
        <v>17390</v>
      </c>
      <c r="F828" s="18" t="s">
        <v>21</v>
      </c>
      <c r="G828" s="17">
        <v>688240.99</v>
      </c>
      <c r="H828" s="1"/>
      <c r="I828" s="1"/>
      <c r="J828" s="1"/>
    </row>
    <row r="829" spans="1:10" x14ac:dyDescent="0.75">
      <c r="A829" s="16">
        <v>43753</v>
      </c>
      <c r="B829" s="16">
        <v>43753</v>
      </c>
      <c r="C829" s="53" t="s">
        <v>28</v>
      </c>
      <c r="D829" s="54"/>
      <c r="E829" s="18" t="s">
        <v>21</v>
      </c>
      <c r="F829" s="17">
        <v>11790.19</v>
      </c>
      <c r="G829" s="17">
        <v>700031.18</v>
      </c>
      <c r="H829" s="1"/>
      <c r="I829" s="1"/>
      <c r="J829" s="1"/>
    </row>
    <row r="830" spans="1:10" x14ac:dyDescent="0.75">
      <c r="A830" s="16">
        <v>43754</v>
      </c>
      <c r="B830" s="16">
        <v>43754</v>
      </c>
      <c r="C830" s="53" t="s">
        <v>28</v>
      </c>
      <c r="D830" s="54"/>
      <c r="E830" s="18" t="s">
        <v>21</v>
      </c>
      <c r="F830" s="17">
        <v>13057</v>
      </c>
      <c r="G830" s="17">
        <v>713088.18</v>
      </c>
      <c r="H830" s="1"/>
      <c r="I830" s="1"/>
      <c r="J830" s="1"/>
    </row>
    <row r="831" spans="1:10" x14ac:dyDescent="0.75">
      <c r="A831" s="16">
        <v>43755</v>
      </c>
      <c r="B831" s="16">
        <v>43755</v>
      </c>
      <c r="C831" s="53" t="s">
        <v>28</v>
      </c>
      <c r="D831" s="54"/>
      <c r="E831" s="18" t="s">
        <v>21</v>
      </c>
      <c r="F831" s="17">
        <v>15301.69</v>
      </c>
      <c r="G831" s="17">
        <v>728389.87</v>
      </c>
      <c r="H831" s="1"/>
      <c r="I831" s="1"/>
      <c r="J831" s="1"/>
    </row>
    <row r="832" spans="1:10" x14ac:dyDescent="0.75">
      <c r="A832" s="16">
        <v>43755</v>
      </c>
      <c r="B832" s="16">
        <v>43755</v>
      </c>
      <c r="C832" s="53" t="s">
        <v>440</v>
      </c>
      <c r="D832" s="54"/>
      <c r="E832" s="17">
        <v>14333.53</v>
      </c>
      <c r="F832" s="18" t="s">
        <v>21</v>
      </c>
      <c r="G832" s="17">
        <v>714056.34</v>
      </c>
      <c r="H832" s="1"/>
      <c r="I832" s="1"/>
      <c r="J832" s="1"/>
    </row>
    <row r="833" spans="1:10" x14ac:dyDescent="0.75">
      <c r="A833" s="16">
        <v>43756</v>
      </c>
      <c r="B833" s="16">
        <v>43756</v>
      </c>
      <c r="C833" s="53" t="s">
        <v>28</v>
      </c>
      <c r="D833" s="54"/>
      <c r="E833" s="18" t="s">
        <v>21</v>
      </c>
      <c r="F833" s="17">
        <v>20936.419999999998</v>
      </c>
      <c r="G833" s="17">
        <v>734992.76</v>
      </c>
      <c r="H833" s="1"/>
      <c r="I833" s="1"/>
      <c r="J833" s="1"/>
    </row>
    <row r="834" spans="1:10" x14ac:dyDescent="0.75">
      <c r="A834" s="20"/>
      <c r="B834" s="20"/>
      <c r="C834" s="8"/>
      <c r="D834" s="9"/>
      <c r="E834" s="20"/>
      <c r="F834" s="20"/>
      <c r="G834" s="20"/>
      <c r="H834" s="1"/>
      <c r="I834" s="1"/>
      <c r="J834" s="1"/>
    </row>
    <row r="835" spans="1:10" x14ac:dyDescent="0.75">
      <c r="A835" s="34" t="s">
        <v>15</v>
      </c>
      <c r="B835" s="35"/>
      <c r="C835" s="35"/>
      <c r="D835" s="35"/>
      <c r="E835" s="35"/>
      <c r="F835" s="35"/>
      <c r="G835" s="36"/>
      <c r="H835" s="1"/>
      <c r="I835" s="1"/>
      <c r="J835" s="1"/>
    </row>
    <row r="836" spans="1:10" x14ac:dyDescent="0.75">
      <c r="A836" s="21" t="s">
        <v>32</v>
      </c>
      <c r="B836" s="22"/>
      <c r="C836" s="22"/>
      <c r="D836" s="23" t="s">
        <v>33</v>
      </c>
      <c r="E836" s="22"/>
      <c r="F836" s="22"/>
      <c r="G836" s="24"/>
      <c r="H836" s="1"/>
      <c r="I836" s="1"/>
      <c r="J836" s="1"/>
    </row>
    <row r="837" spans="1:10" x14ac:dyDescent="0.75">
      <c r="A837" s="37" t="s">
        <v>441</v>
      </c>
      <c r="B837" s="37"/>
      <c r="C837" s="37"/>
      <c r="D837" s="37"/>
      <c r="E837" s="37"/>
      <c r="F837" s="37"/>
      <c r="G837" s="37"/>
      <c r="H837" s="37"/>
      <c r="I837" s="1"/>
      <c r="J837" s="1"/>
    </row>
    <row r="838" spans="1:10" x14ac:dyDescent="0.75">
      <c r="A838" s="55" t="s">
        <v>0</v>
      </c>
      <c r="B838" s="55"/>
      <c r="C838" s="55"/>
      <c r="D838" s="55"/>
      <c r="E838" s="55"/>
      <c r="F838" s="55"/>
      <c r="G838" s="55"/>
      <c r="H838" s="55"/>
      <c r="I838" s="1"/>
      <c r="J838" s="1"/>
    </row>
    <row r="839" spans="1:10" x14ac:dyDescent="0.75">
      <c r="A839" s="55" t="s">
        <v>1</v>
      </c>
      <c r="B839" s="55"/>
      <c r="C839" s="55"/>
      <c r="D839" s="55"/>
      <c r="E839" s="55"/>
      <c r="F839" s="55"/>
      <c r="G839" s="55"/>
      <c r="H839" s="55"/>
      <c r="I839" s="1"/>
      <c r="J839" s="1"/>
    </row>
    <row r="840" spans="1:10" x14ac:dyDescent="0.75">
      <c r="A840" s="38" t="s">
        <v>35</v>
      </c>
      <c r="B840" s="39"/>
      <c r="C840" s="39"/>
      <c r="D840" s="39"/>
      <c r="E840" s="39"/>
      <c r="F840" s="39"/>
      <c r="G840" s="40"/>
      <c r="H840" s="1"/>
      <c r="I840" s="1"/>
      <c r="J840" s="1"/>
    </row>
    <row r="841" spans="1:10" ht="21.5" x14ac:dyDescent="0.75">
      <c r="A841" s="2" t="s">
        <v>3</v>
      </c>
      <c r="B841" s="3" t="s">
        <v>4</v>
      </c>
      <c r="C841" s="4"/>
      <c r="D841" s="5" t="s">
        <v>5</v>
      </c>
      <c r="E841" s="3" t="s">
        <v>6</v>
      </c>
      <c r="F841" s="3" t="s">
        <v>7</v>
      </c>
      <c r="G841" s="6" t="s">
        <v>8</v>
      </c>
      <c r="H841" s="1"/>
      <c r="I841" s="1"/>
      <c r="J841" s="1"/>
    </row>
    <row r="842" spans="1:10" x14ac:dyDescent="0.75">
      <c r="A842" s="10">
        <v>43756</v>
      </c>
      <c r="B842" s="11"/>
      <c r="C842" s="56" t="s">
        <v>19</v>
      </c>
      <c r="D842" s="57"/>
      <c r="E842" s="11"/>
      <c r="F842" s="11"/>
      <c r="G842" s="12">
        <v>734992.76</v>
      </c>
      <c r="H842" s="1"/>
      <c r="I842" s="1"/>
      <c r="J842" s="1"/>
    </row>
    <row r="843" spans="1:10" x14ac:dyDescent="0.75">
      <c r="A843" s="13">
        <v>43756</v>
      </c>
      <c r="B843" s="13">
        <v>43756</v>
      </c>
      <c r="C843" s="58" t="s">
        <v>442</v>
      </c>
      <c r="D843" s="59"/>
      <c r="E843" s="14">
        <v>2666</v>
      </c>
      <c r="F843" s="15" t="s">
        <v>21</v>
      </c>
      <c r="G843" s="14">
        <v>732326.76</v>
      </c>
      <c r="H843" s="1"/>
      <c r="I843" s="1"/>
      <c r="J843" s="1"/>
    </row>
    <row r="844" spans="1:10" x14ac:dyDescent="0.75">
      <c r="A844" s="16">
        <v>43756</v>
      </c>
      <c r="B844" s="16">
        <v>43756</v>
      </c>
      <c r="C844" s="53" t="s">
        <v>443</v>
      </c>
      <c r="D844" s="54"/>
      <c r="E844" s="17">
        <v>1576.25</v>
      </c>
      <c r="F844" s="18" t="s">
        <v>21</v>
      </c>
      <c r="G844" s="17">
        <v>730750.51</v>
      </c>
      <c r="H844" s="1"/>
      <c r="I844" s="1"/>
      <c r="J844" s="1"/>
    </row>
    <row r="845" spans="1:10" x14ac:dyDescent="0.75">
      <c r="A845" s="16">
        <v>43756</v>
      </c>
      <c r="B845" s="16">
        <v>43756</v>
      </c>
      <c r="C845" s="53" t="s">
        <v>444</v>
      </c>
      <c r="D845" s="54"/>
      <c r="E845" s="17">
        <v>22701.14</v>
      </c>
      <c r="F845" s="18" t="s">
        <v>21</v>
      </c>
      <c r="G845" s="17">
        <v>708049.37</v>
      </c>
      <c r="H845" s="1"/>
      <c r="I845" s="1"/>
      <c r="J845" s="1"/>
    </row>
    <row r="846" spans="1:10" x14ac:dyDescent="0.75">
      <c r="A846" s="16">
        <v>43756</v>
      </c>
      <c r="B846" s="16">
        <v>43756</v>
      </c>
      <c r="C846" s="53" t="s">
        <v>445</v>
      </c>
      <c r="D846" s="54"/>
      <c r="E846" s="17">
        <v>32199.56</v>
      </c>
      <c r="F846" s="18" t="s">
        <v>21</v>
      </c>
      <c r="G846" s="17">
        <v>675849.81</v>
      </c>
      <c r="H846" s="1"/>
      <c r="I846" s="1"/>
      <c r="J846" s="1"/>
    </row>
    <row r="847" spans="1:10" x14ac:dyDescent="0.75">
      <c r="A847" s="16">
        <v>43759</v>
      </c>
      <c r="B847" s="16">
        <v>43759</v>
      </c>
      <c r="C847" s="53" t="s">
        <v>28</v>
      </c>
      <c r="D847" s="54"/>
      <c r="E847" s="18" t="s">
        <v>21</v>
      </c>
      <c r="F847" s="17">
        <v>32658.98</v>
      </c>
      <c r="G847" s="17">
        <v>708508.79</v>
      </c>
      <c r="H847" s="1"/>
      <c r="I847" s="1"/>
      <c r="J847" s="1"/>
    </row>
    <row r="848" spans="1:10" x14ac:dyDescent="0.75">
      <c r="A848" s="16">
        <v>43759</v>
      </c>
      <c r="B848" s="16">
        <v>43759</v>
      </c>
      <c r="C848" s="53" t="s">
        <v>446</v>
      </c>
      <c r="D848" s="54"/>
      <c r="E848" s="19">
        <v>640.20000000000005</v>
      </c>
      <c r="F848" s="18" t="s">
        <v>21</v>
      </c>
      <c r="G848" s="17">
        <v>707868.59</v>
      </c>
      <c r="H848" s="1"/>
      <c r="I848" s="1"/>
      <c r="J848" s="1"/>
    </row>
    <row r="849" spans="1:10" x14ac:dyDescent="0.75">
      <c r="A849" s="16">
        <v>43759</v>
      </c>
      <c r="B849" s="16">
        <v>43759</v>
      </c>
      <c r="C849" s="53" t="s">
        <v>447</v>
      </c>
      <c r="D849" s="54"/>
      <c r="E849" s="17">
        <v>4156.26</v>
      </c>
      <c r="F849" s="18" t="s">
        <v>21</v>
      </c>
      <c r="G849" s="17">
        <v>703712.33</v>
      </c>
      <c r="H849" s="1"/>
      <c r="I849" s="1"/>
      <c r="J849" s="1"/>
    </row>
    <row r="850" spans="1:10" x14ac:dyDescent="0.75">
      <c r="A850" s="16">
        <v>43760</v>
      </c>
      <c r="B850" s="16">
        <v>43760</v>
      </c>
      <c r="C850" s="53" t="s">
        <v>28</v>
      </c>
      <c r="D850" s="54"/>
      <c r="E850" s="18" t="s">
        <v>21</v>
      </c>
      <c r="F850" s="17">
        <v>2528.6</v>
      </c>
      <c r="G850" s="17">
        <v>706240.93</v>
      </c>
      <c r="H850" s="1"/>
      <c r="I850" s="1"/>
      <c r="J850" s="1"/>
    </row>
    <row r="851" spans="1:10" x14ac:dyDescent="0.75">
      <c r="A851" s="16">
        <v>43760</v>
      </c>
      <c r="B851" s="16">
        <v>43760</v>
      </c>
      <c r="C851" s="53" t="s">
        <v>448</v>
      </c>
      <c r="D851" s="54"/>
      <c r="E851" s="19">
        <v>174.6</v>
      </c>
      <c r="F851" s="18" t="s">
        <v>21</v>
      </c>
      <c r="G851" s="17">
        <v>706066.33</v>
      </c>
      <c r="H851" s="1"/>
      <c r="I851" s="1"/>
      <c r="J851" s="1"/>
    </row>
    <row r="852" spans="1:10" x14ac:dyDescent="0.75">
      <c r="A852" s="16">
        <v>43760</v>
      </c>
      <c r="B852" s="16">
        <v>43760</v>
      </c>
      <c r="C852" s="53" t="s">
        <v>449</v>
      </c>
      <c r="D852" s="54"/>
      <c r="E852" s="17">
        <v>3388.47</v>
      </c>
      <c r="F852" s="18" t="s">
        <v>21</v>
      </c>
      <c r="G852" s="17">
        <v>702677.86</v>
      </c>
      <c r="H852" s="1"/>
      <c r="I852" s="1"/>
      <c r="J852" s="1"/>
    </row>
    <row r="853" spans="1:10" x14ac:dyDescent="0.75">
      <c r="A853" s="16">
        <v>43760</v>
      </c>
      <c r="B853" s="16">
        <v>43760</v>
      </c>
      <c r="C853" s="53" t="s">
        <v>450</v>
      </c>
      <c r="D853" s="54"/>
      <c r="E853" s="17">
        <v>6200</v>
      </c>
      <c r="F853" s="18" t="s">
        <v>21</v>
      </c>
      <c r="G853" s="17">
        <v>696477.86</v>
      </c>
      <c r="H853" s="1"/>
      <c r="I853" s="1"/>
      <c r="J853" s="1"/>
    </row>
    <row r="854" spans="1:10" x14ac:dyDescent="0.75">
      <c r="A854" s="16">
        <v>43760</v>
      </c>
      <c r="B854" s="16">
        <v>43760</v>
      </c>
      <c r="C854" s="53" t="s">
        <v>451</v>
      </c>
      <c r="D854" s="54"/>
      <c r="E854" s="17">
        <v>16205</v>
      </c>
      <c r="F854" s="18" t="s">
        <v>21</v>
      </c>
      <c r="G854" s="17">
        <v>680272.86</v>
      </c>
      <c r="H854" s="1"/>
      <c r="I854" s="1"/>
      <c r="J854" s="1"/>
    </row>
    <row r="855" spans="1:10" x14ac:dyDescent="0.75">
      <c r="A855" s="20"/>
      <c r="B855" s="20"/>
      <c r="C855" s="8"/>
      <c r="D855" s="9"/>
      <c r="E855" s="20"/>
      <c r="F855" s="20"/>
      <c r="G855" s="20"/>
      <c r="H855" s="1"/>
      <c r="I855" s="1"/>
      <c r="J855" s="1"/>
    </row>
    <row r="856" spans="1:10" x14ac:dyDescent="0.75">
      <c r="A856" s="34" t="s">
        <v>15</v>
      </c>
      <c r="B856" s="35"/>
      <c r="C856" s="35"/>
      <c r="D856" s="35"/>
      <c r="E856" s="35"/>
      <c r="F856" s="35"/>
      <c r="G856" s="36"/>
      <c r="H856" s="1"/>
      <c r="I856" s="1"/>
      <c r="J856" s="1"/>
    </row>
    <row r="857" spans="1:10" x14ac:dyDescent="0.75">
      <c r="A857" s="21" t="s">
        <v>32</v>
      </c>
      <c r="B857" s="22"/>
      <c r="C857" s="22"/>
      <c r="D857" s="23" t="s">
        <v>33</v>
      </c>
      <c r="E857" s="22"/>
      <c r="F857" s="22"/>
      <c r="G857" s="24"/>
      <c r="H857" s="1"/>
      <c r="I857" s="1"/>
      <c r="J857" s="1"/>
    </row>
    <row r="858" spans="1:10" x14ac:dyDescent="0.75">
      <c r="A858" s="37" t="s">
        <v>452</v>
      </c>
      <c r="B858" s="37"/>
      <c r="C858" s="37"/>
      <c r="D858" s="37"/>
      <c r="E858" s="37"/>
      <c r="F858" s="37"/>
      <c r="G858" s="37"/>
      <c r="H858" s="37"/>
      <c r="I858" s="1"/>
      <c r="J858" s="1"/>
    </row>
    <row r="859" spans="1:10" x14ac:dyDescent="0.75">
      <c r="A859" s="55" t="s">
        <v>0</v>
      </c>
      <c r="B859" s="55"/>
      <c r="C859" s="55"/>
      <c r="D859" s="55"/>
      <c r="E859" s="55"/>
      <c r="F859" s="55"/>
      <c r="G859" s="55"/>
      <c r="H859" s="55"/>
      <c r="I859" s="1"/>
      <c r="J859" s="1"/>
    </row>
    <row r="860" spans="1:10" x14ac:dyDescent="0.75">
      <c r="A860" s="55" t="s">
        <v>1</v>
      </c>
      <c r="B860" s="55"/>
      <c r="C860" s="55"/>
      <c r="D860" s="55"/>
      <c r="E860" s="55"/>
      <c r="F860" s="55"/>
      <c r="G860" s="55"/>
      <c r="H860" s="55"/>
      <c r="I860" s="1"/>
      <c r="J860" s="1"/>
    </row>
    <row r="861" spans="1:10" x14ac:dyDescent="0.75">
      <c r="A861" s="38" t="s">
        <v>35</v>
      </c>
      <c r="B861" s="39"/>
      <c r="C861" s="39"/>
      <c r="D861" s="39"/>
      <c r="E861" s="39"/>
      <c r="F861" s="39"/>
      <c r="G861" s="40"/>
      <c r="H861" s="1"/>
      <c r="I861" s="1"/>
      <c r="J861" s="1"/>
    </row>
    <row r="862" spans="1:10" ht="21.5" x14ac:dyDescent="0.75">
      <c r="A862" s="2" t="s">
        <v>3</v>
      </c>
      <c r="B862" s="3" t="s">
        <v>4</v>
      </c>
      <c r="C862" s="4"/>
      <c r="D862" s="5" t="s">
        <v>5</v>
      </c>
      <c r="E862" s="3" t="s">
        <v>6</v>
      </c>
      <c r="F862" s="3" t="s">
        <v>7</v>
      </c>
      <c r="G862" s="6" t="s">
        <v>8</v>
      </c>
      <c r="H862" s="1"/>
      <c r="I862" s="1"/>
      <c r="J862" s="1"/>
    </row>
    <row r="863" spans="1:10" x14ac:dyDescent="0.75">
      <c r="A863" s="10">
        <v>43760</v>
      </c>
      <c r="B863" s="11"/>
      <c r="C863" s="56" t="s">
        <v>19</v>
      </c>
      <c r="D863" s="57"/>
      <c r="E863" s="11"/>
      <c r="F863" s="11"/>
      <c r="G863" s="12">
        <v>680272.86</v>
      </c>
      <c r="H863" s="1"/>
      <c r="I863" s="1"/>
      <c r="J863" s="1"/>
    </row>
    <row r="864" spans="1:10" x14ac:dyDescent="0.75">
      <c r="A864" s="13">
        <v>43761</v>
      </c>
      <c r="B864" s="13">
        <v>43761</v>
      </c>
      <c r="C864" s="58" t="s">
        <v>28</v>
      </c>
      <c r="D864" s="59"/>
      <c r="E864" s="15" t="s">
        <v>21</v>
      </c>
      <c r="F864" s="14">
        <v>4334.55</v>
      </c>
      <c r="G864" s="14">
        <v>684607.41</v>
      </c>
      <c r="H864" s="1"/>
      <c r="I864" s="1"/>
      <c r="J864" s="1"/>
    </row>
    <row r="865" spans="1:10" x14ac:dyDescent="0.75">
      <c r="A865" s="16">
        <v>43761</v>
      </c>
      <c r="B865" s="16">
        <v>43761</v>
      </c>
      <c r="C865" s="53" t="s">
        <v>453</v>
      </c>
      <c r="D865" s="54"/>
      <c r="E865" s="17">
        <v>20849.47</v>
      </c>
      <c r="F865" s="18" t="s">
        <v>21</v>
      </c>
      <c r="G865" s="17">
        <v>663757.93999999994</v>
      </c>
      <c r="H865" s="1"/>
      <c r="I865" s="1"/>
      <c r="J865" s="1"/>
    </row>
    <row r="866" spans="1:10" x14ac:dyDescent="0.75">
      <c r="A866" s="16">
        <v>43762</v>
      </c>
      <c r="B866" s="16">
        <v>43762</v>
      </c>
      <c r="C866" s="53" t="s">
        <v>28</v>
      </c>
      <c r="D866" s="54"/>
      <c r="E866" s="18" t="s">
        <v>21</v>
      </c>
      <c r="F866" s="17">
        <v>1501.31</v>
      </c>
      <c r="G866" s="17">
        <v>665259.25</v>
      </c>
      <c r="H866" s="1"/>
      <c r="I866" s="1"/>
      <c r="J866" s="1"/>
    </row>
    <row r="867" spans="1:10" x14ac:dyDescent="0.75">
      <c r="A867" s="16">
        <v>43763</v>
      </c>
      <c r="B867" s="16">
        <v>43763</v>
      </c>
      <c r="C867" s="53" t="s">
        <v>454</v>
      </c>
      <c r="D867" s="54"/>
      <c r="E867" s="17">
        <v>9271.94</v>
      </c>
      <c r="F867" s="18" t="s">
        <v>21</v>
      </c>
      <c r="G867" s="17">
        <v>655987.31000000006</v>
      </c>
      <c r="H867" s="1"/>
      <c r="I867" s="1"/>
      <c r="J867" s="1"/>
    </row>
    <row r="868" spans="1:10" x14ac:dyDescent="0.75">
      <c r="A868" s="16">
        <v>43763</v>
      </c>
      <c r="B868" s="16">
        <v>43763</v>
      </c>
      <c r="C868" s="53" t="s">
        <v>455</v>
      </c>
      <c r="D868" s="54"/>
      <c r="E868" s="17">
        <v>2220</v>
      </c>
      <c r="F868" s="18" t="s">
        <v>21</v>
      </c>
      <c r="G868" s="17">
        <v>653767.31000000006</v>
      </c>
      <c r="H868" s="1"/>
      <c r="I868" s="1"/>
      <c r="J868" s="1"/>
    </row>
    <row r="869" spans="1:10" x14ac:dyDescent="0.75">
      <c r="A869" s="16">
        <v>43766</v>
      </c>
      <c r="B869" s="16">
        <v>43766</v>
      </c>
      <c r="C869" s="53" t="s">
        <v>456</v>
      </c>
      <c r="D869" s="54"/>
      <c r="E869" s="19">
        <v>1</v>
      </c>
      <c r="F869" s="18" t="s">
        <v>21</v>
      </c>
      <c r="G869" s="17">
        <v>653766.31000000006</v>
      </c>
      <c r="H869" s="1"/>
      <c r="I869" s="1"/>
      <c r="J869" s="1"/>
    </row>
    <row r="870" spans="1:10" x14ac:dyDescent="0.75">
      <c r="A870" s="16">
        <v>43766</v>
      </c>
      <c r="B870" s="16">
        <v>43766</v>
      </c>
      <c r="C870" s="53" t="s">
        <v>457</v>
      </c>
      <c r="D870" s="54"/>
      <c r="E870" s="17">
        <v>1753.76</v>
      </c>
      <c r="F870" s="18" t="s">
        <v>21</v>
      </c>
      <c r="G870" s="17">
        <v>652012.55000000005</v>
      </c>
      <c r="H870" s="1"/>
      <c r="I870" s="1"/>
      <c r="J870" s="1"/>
    </row>
    <row r="871" spans="1:10" x14ac:dyDescent="0.75">
      <c r="A871" s="16">
        <v>43766</v>
      </c>
      <c r="B871" s="16">
        <v>43766</v>
      </c>
      <c r="C871" s="53" t="s">
        <v>458</v>
      </c>
      <c r="D871" s="54"/>
      <c r="E871" s="17">
        <v>2614.15</v>
      </c>
      <c r="F871" s="18" t="s">
        <v>21</v>
      </c>
      <c r="G871" s="17">
        <v>649398.4</v>
      </c>
      <c r="H871" s="1"/>
      <c r="I871" s="1"/>
      <c r="J871" s="1"/>
    </row>
    <row r="872" spans="1:10" x14ac:dyDescent="0.75">
      <c r="A872" s="16">
        <v>43766</v>
      </c>
      <c r="B872" s="16">
        <v>43766</v>
      </c>
      <c r="C872" s="53" t="s">
        <v>459</v>
      </c>
      <c r="D872" s="54"/>
      <c r="E872" s="17">
        <v>25035.91</v>
      </c>
      <c r="F872" s="18" t="s">
        <v>21</v>
      </c>
      <c r="G872" s="17">
        <v>624362.49</v>
      </c>
      <c r="H872" s="1"/>
      <c r="I872" s="1"/>
      <c r="J872" s="1"/>
    </row>
    <row r="873" spans="1:10" x14ac:dyDescent="0.75">
      <c r="A873" s="16">
        <v>43766</v>
      </c>
      <c r="B873" s="16">
        <v>43766</v>
      </c>
      <c r="C873" s="53" t="s">
        <v>460</v>
      </c>
      <c r="D873" s="54"/>
      <c r="E873" s="17">
        <v>250000</v>
      </c>
      <c r="F873" s="18" t="s">
        <v>21</v>
      </c>
      <c r="G873" s="17">
        <v>374362.49</v>
      </c>
      <c r="H873" s="1"/>
      <c r="I873" s="1"/>
      <c r="J873" s="1"/>
    </row>
    <row r="874" spans="1:10" x14ac:dyDescent="0.75">
      <c r="A874" s="16">
        <v>43767</v>
      </c>
      <c r="B874" s="16">
        <v>43767</v>
      </c>
      <c r="C874" s="53" t="s">
        <v>28</v>
      </c>
      <c r="D874" s="54"/>
      <c r="E874" s="18" t="s">
        <v>21</v>
      </c>
      <c r="F874" s="17">
        <v>67902.3</v>
      </c>
      <c r="G874" s="17">
        <v>442264.79</v>
      </c>
      <c r="H874" s="1"/>
      <c r="I874" s="1"/>
      <c r="J874" s="1"/>
    </row>
    <row r="875" spans="1:10" x14ac:dyDescent="0.75">
      <c r="A875" s="16">
        <v>43767</v>
      </c>
      <c r="B875" s="16">
        <v>43767</v>
      </c>
      <c r="C875" s="53" t="s">
        <v>461</v>
      </c>
      <c r="D875" s="54"/>
      <c r="E875" s="17">
        <v>9728.7800000000007</v>
      </c>
      <c r="F875" s="18" t="s">
        <v>21</v>
      </c>
      <c r="G875" s="17">
        <v>432536.01</v>
      </c>
      <c r="H875" s="1"/>
      <c r="I875" s="1"/>
      <c r="J875" s="1"/>
    </row>
    <row r="876" spans="1:10" x14ac:dyDescent="0.75">
      <c r="A876" s="20"/>
      <c r="B876" s="20"/>
      <c r="C876" s="8"/>
      <c r="D876" s="9"/>
      <c r="E876" s="20"/>
      <c r="F876" s="20"/>
      <c r="G876" s="20"/>
      <c r="H876" s="1"/>
      <c r="I876" s="1"/>
      <c r="J876" s="1"/>
    </row>
    <row r="877" spans="1:10" x14ac:dyDescent="0.75">
      <c r="A877" s="34" t="s">
        <v>15</v>
      </c>
      <c r="B877" s="35"/>
      <c r="C877" s="35"/>
      <c r="D877" s="35"/>
      <c r="E877" s="35"/>
      <c r="F877" s="35"/>
      <c r="G877" s="36"/>
      <c r="H877" s="1"/>
      <c r="I877" s="1"/>
      <c r="J877" s="1"/>
    </row>
    <row r="878" spans="1:10" x14ac:dyDescent="0.75">
      <c r="A878" s="21" t="s">
        <v>32</v>
      </c>
      <c r="B878" s="22"/>
      <c r="C878" s="22"/>
      <c r="D878" s="23" t="s">
        <v>33</v>
      </c>
      <c r="E878" s="22"/>
      <c r="F878" s="22"/>
      <c r="G878" s="24"/>
      <c r="H878" s="1"/>
      <c r="I878" s="1"/>
      <c r="J878" s="1"/>
    </row>
    <row r="879" spans="1:10" x14ac:dyDescent="0.75">
      <c r="A879" s="37" t="s">
        <v>462</v>
      </c>
      <c r="B879" s="37"/>
      <c r="C879" s="37"/>
      <c r="D879" s="37"/>
      <c r="E879" s="37"/>
      <c r="F879" s="37"/>
      <c r="G879" s="37"/>
      <c r="H879" s="37"/>
      <c r="I879" s="1"/>
      <c r="J879" s="1"/>
    </row>
    <row r="880" spans="1:10" x14ac:dyDescent="0.75">
      <c r="A880" s="55" t="s">
        <v>0</v>
      </c>
      <c r="B880" s="55"/>
      <c r="C880" s="55"/>
      <c r="D880" s="55"/>
      <c r="E880" s="55"/>
      <c r="F880" s="55"/>
      <c r="G880" s="55"/>
      <c r="H880" s="55"/>
      <c r="I880" s="1"/>
      <c r="J880" s="1"/>
    </row>
    <row r="881" spans="1:10" x14ac:dyDescent="0.75">
      <c r="A881" s="55" t="s">
        <v>1</v>
      </c>
      <c r="B881" s="55"/>
      <c r="C881" s="55"/>
      <c r="D881" s="55"/>
      <c r="E881" s="55"/>
      <c r="F881" s="55"/>
      <c r="G881" s="55"/>
      <c r="H881" s="55"/>
      <c r="I881" s="1"/>
      <c r="J881" s="1"/>
    </row>
    <row r="882" spans="1:10" x14ac:dyDescent="0.75">
      <c r="A882" s="38" t="s">
        <v>35</v>
      </c>
      <c r="B882" s="39"/>
      <c r="C882" s="39"/>
      <c r="D882" s="39"/>
      <c r="E882" s="39"/>
      <c r="F882" s="39"/>
      <c r="G882" s="40"/>
      <c r="H882" s="1"/>
      <c r="I882" s="1"/>
      <c r="J882" s="1"/>
    </row>
    <row r="883" spans="1:10" ht="21.5" x14ac:dyDescent="0.75">
      <c r="A883" s="2" t="s">
        <v>3</v>
      </c>
      <c r="B883" s="3" t="s">
        <v>4</v>
      </c>
      <c r="C883" s="4"/>
      <c r="D883" s="5" t="s">
        <v>5</v>
      </c>
      <c r="E883" s="3" t="s">
        <v>6</v>
      </c>
      <c r="F883" s="3" t="s">
        <v>7</v>
      </c>
      <c r="G883" s="6" t="s">
        <v>8</v>
      </c>
      <c r="H883" s="1"/>
      <c r="I883" s="1"/>
      <c r="J883" s="1"/>
    </row>
    <row r="884" spans="1:10" x14ac:dyDescent="0.75">
      <c r="A884" s="10">
        <v>43767</v>
      </c>
      <c r="B884" s="11"/>
      <c r="C884" s="56" t="s">
        <v>19</v>
      </c>
      <c r="D884" s="57"/>
      <c r="E884" s="11"/>
      <c r="F884" s="11"/>
      <c r="G884" s="12">
        <v>432536.01</v>
      </c>
      <c r="H884" s="1"/>
      <c r="I884" s="1"/>
      <c r="J884" s="1"/>
    </row>
    <row r="885" spans="1:10" x14ac:dyDescent="0.75">
      <c r="A885" s="13">
        <v>43767</v>
      </c>
      <c r="B885" s="13">
        <v>43767</v>
      </c>
      <c r="C885" s="58" t="s">
        <v>463</v>
      </c>
      <c r="D885" s="59"/>
      <c r="E885" s="14">
        <v>16650</v>
      </c>
      <c r="F885" s="15" t="s">
        <v>21</v>
      </c>
      <c r="G885" s="14">
        <v>415886.01</v>
      </c>
      <c r="H885" s="1"/>
      <c r="I885" s="1"/>
      <c r="J885" s="1"/>
    </row>
    <row r="886" spans="1:10" x14ac:dyDescent="0.75">
      <c r="A886" s="16">
        <v>43767</v>
      </c>
      <c r="B886" s="16">
        <v>43767</v>
      </c>
      <c r="C886" s="53" t="s">
        <v>464</v>
      </c>
      <c r="D886" s="54"/>
      <c r="E886" s="17">
        <v>19381.07</v>
      </c>
      <c r="F886" s="18" t="s">
        <v>21</v>
      </c>
      <c r="G886" s="17">
        <v>396504.94</v>
      </c>
      <c r="H886" s="1"/>
      <c r="I886" s="1"/>
      <c r="J886" s="1"/>
    </row>
    <row r="887" spans="1:10" x14ac:dyDescent="0.75">
      <c r="A887" s="16">
        <v>43767</v>
      </c>
      <c r="B887" s="16">
        <v>43767</v>
      </c>
      <c r="C887" s="53" t="s">
        <v>465</v>
      </c>
      <c r="D887" s="54"/>
      <c r="E887" s="17">
        <v>30261.45</v>
      </c>
      <c r="F887" s="18" t="s">
        <v>21</v>
      </c>
      <c r="G887" s="17">
        <v>366243.49</v>
      </c>
      <c r="H887" s="1"/>
      <c r="I887" s="1"/>
      <c r="J887" s="1"/>
    </row>
    <row r="888" spans="1:10" x14ac:dyDescent="0.75">
      <c r="A888" s="16">
        <v>43768</v>
      </c>
      <c r="B888" s="16">
        <v>43768</v>
      </c>
      <c r="C888" s="53" t="s">
        <v>28</v>
      </c>
      <c r="D888" s="54"/>
      <c r="E888" s="18" t="s">
        <v>21</v>
      </c>
      <c r="F888" s="17">
        <v>145095.47</v>
      </c>
      <c r="G888" s="17">
        <v>511338.96</v>
      </c>
      <c r="H888" s="1"/>
      <c r="I888" s="1"/>
      <c r="J888" s="1"/>
    </row>
    <row r="889" spans="1:10" x14ac:dyDescent="0.75">
      <c r="A889" s="16">
        <v>43768</v>
      </c>
      <c r="B889" s="16">
        <v>43768</v>
      </c>
      <c r="C889" s="53" t="s">
        <v>466</v>
      </c>
      <c r="D889" s="54"/>
      <c r="E889" s="17">
        <v>1948.46</v>
      </c>
      <c r="F889" s="18" t="s">
        <v>21</v>
      </c>
      <c r="G889" s="17">
        <v>509390.5</v>
      </c>
      <c r="H889" s="1"/>
      <c r="I889" s="1"/>
      <c r="J889" s="1"/>
    </row>
    <row r="890" spans="1:10" x14ac:dyDescent="0.75">
      <c r="A890" s="16">
        <v>43768</v>
      </c>
      <c r="B890" s="16">
        <v>43768</v>
      </c>
      <c r="C890" s="53" t="s">
        <v>467</v>
      </c>
      <c r="D890" s="54"/>
      <c r="E890" s="17">
        <v>3564.1</v>
      </c>
      <c r="F890" s="18" t="s">
        <v>21</v>
      </c>
      <c r="G890" s="17">
        <v>505826.4</v>
      </c>
      <c r="H890" s="1"/>
      <c r="I890" s="1"/>
      <c r="J890" s="1"/>
    </row>
    <row r="891" spans="1:10" x14ac:dyDescent="0.75">
      <c r="A891" s="16">
        <v>43768</v>
      </c>
      <c r="B891" s="16">
        <v>43768</v>
      </c>
      <c r="C891" s="53" t="s">
        <v>468</v>
      </c>
      <c r="D891" s="54"/>
      <c r="E891" s="17">
        <v>7469.92</v>
      </c>
      <c r="F891" s="18" t="s">
        <v>21</v>
      </c>
      <c r="G891" s="17">
        <v>498356.47999999998</v>
      </c>
      <c r="H891" s="1"/>
      <c r="I891" s="1"/>
      <c r="J891" s="1"/>
    </row>
    <row r="892" spans="1:10" x14ac:dyDescent="0.75">
      <c r="A892" s="16">
        <v>43768</v>
      </c>
      <c r="B892" s="16">
        <v>43768</v>
      </c>
      <c r="C892" s="53" t="s">
        <v>469</v>
      </c>
      <c r="D892" s="54"/>
      <c r="E892" s="17">
        <v>8730</v>
      </c>
      <c r="F892" s="18" t="s">
        <v>21</v>
      </c>
      <c r="G892" s="17">
        <v>489626.48</v>
      </c>
      <c r="H892" s="1"/>
      <c r="I892" s="1"/>
      <c r="J892" s="1"/>
    </row>
    <row r="893" spans="1:10" x14ac:dyDescent="0.75">
      <c r="A893" s="16">
        <v>43768</v>
      </c>
      <c r="B893" s="16">
        <v>43768</v>
      </c>
      <c r="C893" s="53" t="s">
        <v>470</v>
      </c>
      <c r="D893" s="54"/>
      <c r="E893" s="17">
        <v>20199.759999999998</v>
      </c>
      <c r="F893" s="18" t="s">
        <v>21</v>
      </c>
      <c r="G893" s="17">
        <v>469426.72</v>
      </c>
      <c r="H893" s="1"/>
      <c r="I893" s="1"/>
      <c r="J893" s="1"/>
    </row>
    <row r="894" spans="1:10" x14ac:dyDescent="0.75">
      <c r="A894" s="16">
        <v>43768</v>
      </c>
      <c r="B894" s="16">
        <v>43768</v>
      </c>
      <c r="C894" s="53" t="s">
        <v>471</v>
      </c>
      <c r="D894" s="54"/>
      <c r="E894" s="17">
        <v>21030.080000000002</v>
      </c>
      <c r="F894" s="18" t="s">
        <v>21</v>
      </c>
      <c r="G894" s="17">
        <v>448396.64</v>
      </c>
      <c r="H894" s="1"/>
      <c r="I894" s="1"/>
      <c r="J894" s="1"/>
    </row>
    <row r="895" spans="1:10" x14ac:dyDescent="0.75">
      <c r="A895" s="16">
        <v>43768</v>
      </c>
      <c r="B895" s="16">
        <v>43768</v>
      </c>
      <c r="C895" s="53" t="s">
        <v>472</v>
      </c>
      <c r="D895" s="54"/>
      <c r="E895" s="17">
        <v>41672.17</v>
      </c>
      <c r="F895" s="18" t="s">
        <v>21</v>
      </c>
      <c r="G895" s="17">
        <v>406724.47</v>
      </c>
      <c r="H895" s="1"/>
      <c r="I895" s="1"/>
      <c r="J895" s="1"/>
    </row>
    <row r="896" spans="1:10" x14ac:dyDescent="0.75">
      <c r="A896" s="16">
        <v>43769</v>
      </c>
      <c r="B896" s="16">
        <v>43769</v>
      </c>
      <c r="C896" s="53" t="s">
        <v>28</v>
      </c>
      <c r="D896" s="54"/>
      <c r="E896" s="18" t="s">
        <v>21</v>
      </c>
      <c r="F896" s="17">
        <v>40327.74</v>
      </c>
      <c r="G896" s="17">
        <v>447052.21</v>
      </c>
      <c r="H896" s="1"/>
      <c r="I896" s="1"/>
      <c r="J896" s="1"/>
    </row>
    <row r="897" spans="1:10" x14ac:dyDescent="0.75">
      <c r="A897" s="20"/>
      <c r="B897" s="20"/>
      <c r="C897" s="8"/>
      <c r="D897" s="9"/>
      <c r="E897" s="20"/>
      <c r="F897" s="20"/>
      <c r="G897" s="20"/>
      <c r="H897" s="1"/>
      <c r="I897" s="1"/>
      <c r="J897" s="1"/>
    </row>
    <row r="898" spans="1:10" x14ac:dyDescent="0.75">
      <c r="A898" s="34" t="s">
        <v>15</v>
      </c>
      <c r="B898" s="35"/>
      <c r="C898" s="35"/>
      <c r="D898" s="35"/>
      <c r="E898" s="35"/>
      <c r="F898" s="35"/>
      <c r="G898" s="36"/>
      <c r="H898" s="1"/>
      <c r="I898" s="1"/>
      <c r="J898" s="1"/>
    </row>
    <row r="899" spans="1:10" x14ac:dyDescent="0.75">
      <c r="A899" s="21" t="s">
        <v>32</v>
      </c>
      <c r="B899" s="22"/>
      <c r="C899" s="22"/>
      <c r="D899" s="23" t="s">
        <v>33</v>
      </c>
      <c r="E899" s="22"/>
      <c r="F899" s="22"/>
      <c r="G899" s="24"/>
      <c r="H899" s="1"/>
      <c r="I899" s="1"/>
      <c r="J899" s="1"/>
    </row>
    <row r="900" spans="1:10" x14ac:dyDescent="0.75">
      <c r="A900" s="37" t="s">
        <v>473</v>
      </c>
      <c r="B900" s="37"/>
      <c r="C900" s="37"/>
      <c r="D900" s="37"/>
      <c r="E900" s="37"/>
      <c r="F900" s="37"/>
      <c r="G900" s="37"/>
      <c r="H900" s="37"/>
      <c r="I900" s="1"/>
      <c r="J900" s="1"/>
    </row>
    <row r="901" spans="1:10" x14ac:dyDescent="0.75">
      <c r="A901" s="55" t="s">
        <v>0</v>
      </c>
      <c r="B901" s="55"/>
      <c r="C901" s="55"/>
      <c r="D901" s="55"/>
      <c r="E901" s="55"/>
      <c r="F901" s="55"/>
      <c r="G901" s="55"/>
      <c r="H901" s="55"/>
      <c r="I901" s="1"/>
      <c r="J901" s="1"/>
    </row>
    <row r="902" spans="1:10" x14ac:dyDescent="0.75">
      <c r="A902" s="55" t="s">
        <v>1</v>
      </c>
      <c r="B902" s="55"/>
      <c r="C902" s="55"/>
      <c r="D902" s="55"/>
      <c r="E902" s="55"/>
      <c r="F902" s="55"/>
      <c r="G902" s="55"/>
      <c r="H902" s="55"/>
      <c r="I902" s="1"/>
      <c r="J902" s="1"/>
    </row>
    <row r="903" spans="1:10" x14ac:dyDescent="0.75">
      <c r="A903" s="38" t="s">
        <v>35</v>
      </c>
      <c r="B903" s="39"/>
      <c r="C903" s="39"/>
      <c r="D903" s="39"/>
      <c r="E903" s="39"/>
      <c r="F903" s="39"/>
      <c r="G903" s="40"/>
      <c r="H903" s="1"/>
      <c r="I903" s="1"/>
      <c r="J903" s="1"/>
    </row>
    <row r="904" spans="1:10" ht="21.5" x14ac:dyDescent="0.75">
      <c r="A904" s="2" t="s">
        <v>3</v>
      </c>
      <c r="B904" s="3" t="s">
        <v>4</v>
      </c>
      <c r="C904" s="4"/>
      <c r="D904" s="5" t="s">
        <v>5</v>
      </c>
      <c r="E904" s="3" t="s">
        <v>6</v>
      </c>
      <c r="F904" s="3" t="s">
        <v>7</v>
      </c>
      <c r="G904" s="6" t="s">
        <v>8</v>
      </c>
      <c r="H904" s="1"/>
      <c r="I904" s="1"/>
      <c r="J904" s="1"/>
    </row>
    <row r="905" spans="1:10" ht="64.5" x14ac:dyDescent="0.75">
      <c r="A905" s="41" t="s">
        <v>474</v>
      </c>
      <c r="B905" s="41" t="s">
        <v>475</v>
      </c>
      <c r="C905" s="44" t="s">
        <v>476</v>
      </c>
      <c r="D905" s="45"/>
      <c r="E905" s="29" t="s">
        <v>477</v>
      </c>
      <c r="F905" s="7" t="s">
        <v>478</v>
      </c>
      <c r="G905" s="48" t="s">
        <v>479</v>
      </c>
      <c r="H905" s="1"/>
      <c r="I905" s="1"/>
      <c r="J905" s="1"/>
    </row>
    <row r="906" spans="1:10" x14ac:dyDescent="0.75">
      <c r="A906" s="42"/>
      <c r="B906" s="42"/>
      <c r="C906" s="46"/>
      <c r="D906" s="47"/>
      <c r="E906" s="63">
        <v>821916.76</v>
      </c>
      <c r="F906" s="51">
        <v>1007945.58</v>
      </c>
      <c r="G906" s="49"/>
      <c r="H906" s="1"/>
      <c r="I906" s="1"/>
      <c r="J906" s="1"/>
    </row>
    <row r="907" spans="1:10" x14ac:dyDescent="0.75">
      <c r="A907" s="43"/>
      <c r="B907" s="43"/>
      <c r="C907" s="8"/>
      <c r="D907" s="9"/>
      <c r="E907" s="64"/>
      <c r="F907" s="52"/>
      <c r="G907" s="50"/>
      <c r="H907" s="1"/>
      <c r="I907" s="1"/>
      <c r="J907" s="1"/>
    </row>
    <row r="908" spans="1:10" x14ac:dyDescent="0.75">
      <c r="A908" s="34" t="s">
        <v>15</v>
      </c>
      <c r="B908" s="35"/>
      <c r="C908" s="35"/>
      <c r="D908" s="35"/>
      <c r="E908" s="35"/>
      <c r="F908" s="35"/>
      <c r="G908" s="36"/>
      <c r="H908" s="1"/>
      <c r="I908" s="1"/>
      <c r="J908" s="1"/>
    </row>
    <row r="909" spans="1:10" x14ac:dyDescent="0.75">
      <c r="A909" s="34" t="s">
        <v>16</v>
      </c>
      <c r="B909" s="35"/>
      <c r="C909" s="35"/>
      <c r="D909" s="35"/>
      <c r="E909" s="35"/>
      <c r="F909" s="35"/>
      <c r="G909" s="36"/>
      <c r="H909" s="1"/>
      <c r="I909" s="1"/>
      <c r="J909" s="1"/>
    </row>
    <row r="910" spans="1:10" x14ac:dyDescent="0.75">
      <c r="A910" s="37" t="s">
        <v>480</v>
      </c>
      <c r="B910" s="37"/>
      <c r="C910" s="37"/>
      <c r="D910" s="37"/>
      <c r="E910" s="37"/>
      <c r="F910" s="37"/>
      <c r="G910" s="37"/>
      <c r="H910" s="37"/>
      <c r="I910" s="1"/>
      <c r="J910" s="1"/>
    </row>
    <row r="911" spans="1:10" x14ac:dyDescent="0.75">
      <c r="A911" s="55" t="s">
        <v>0</v>
      </c>
      <c r="B911" s="55"/>
      <c r="C911" s="55"/>
      <c r="D911" s="55"/>
      <c r="E911" s="55"/>
      <c r="F911" s="55"/>
      <c r="G911" s="55"/>
      <c r="H911" s="55"/>
      <c r="I911" s="1"/>
      <c r="J911" s="1"/>
    </row>
    <row r="912" spans="1:10" x14ac:dyDescent="0.75">
      <c r="A912" s="55" t="s">
        <v>1</v>
      </c>
      <c r="B912" s="55"/>
      <c r="C912" s="55"/>
      <c r="D912" s="55"/>
      <c r="E912" s="55"/>
      <c r="F912" s="55"/>
      <c r="G912" s="55"/>
      <c r="H912" s="55"/>
      <c r="I912" s="1"/>
      <c r="J912" s="1"/>
    </row>
    <row r="913" spans="1:10" x14ac:dyDescent="0.75">
      <c r="A913" s="34" t="s">
        <v>481</v>
      </c>
      <c r="B913" s="35"/>
      <c r="C913" s="35"/>
      <c r="D913" s="35"/>
      <c r="E913" s="35"/>
      <c r="F913" s="35"/>
      <c r="G913" s="36"/>
      <c r="H913" s="1"/>
      <c r="I913" s="1"/>
      <c r="J913" s="1"/>
    </row>
    <row r="914" spans="1:10" ht="21.5" x14ac:dyDescent="0.75">
      <c r="A914" s="2" t="s">
        <v>3</v>
      </c>
      <c r="B914" s="3" t="s">
        <v>4</v>
      </c>
      <c r="C914" s="4"/>
      <c r="D914" s="5" t="s">
        <v>5</v>
      </c>
      <c r="E914" s="3" t="s">
        <v>6</v>
      </c>
      <c r="F914" s="3" t="s">
        <v>7</v>
      </c>
      <c r="G914" s="6" t="s">
        <v>8</v>
      </c>
      <c r="H914" s="1"/>
      <c r="I914" s="1"/>
      <c r="J914" s="1"/>
    </row>
    <row r="915" spans="1:10" x14ac:dyDescent="0.75">
      <c r="A915" s="10">
        <v>43769</v>
      </c>
      <c r="B915" s="11"/>
      <c r="C915" s="56" t="s">
        <v>19</v>
      </c>
      <c r="D915" s="57"/>
      <c r="E915" s="11"/>
      <c r="F915" s="11"/>
      <c r="G915" s="12">
        <v>360852.82</v>
      </c>
      <c r="H915" s="1"/>
      <c r="I915" s="1"/>
      <c r="J915" s="1"/>
    </row>
    <row r="916" spans="1:10" x14ac:dyDescent="0.75">
      <c r="A916" s="13">
        <v>43770</v>
      </c>
      <c r="B916" s="13">
        <v>43770</v>
      </c>
      <c r="C916" s="58" t="s">
        <v>28</v>
      </c>
      <c r="D916" s="59"/>
      <c r="E916" s="15" t="s">
        <v>21</v>
      </c>
      <c r="F916" s="14">
        <v>47176.52</v>
      </c>
      <c r="G916" s="14">
        <v>408029.34</v>
      </c>
      <c r="H916" s="1"/>
      <c r="I916" s="1"/>
      <c r="J916" s="1"/>
    </row>
    <row r="917" spans="1:10" x14ac:dyDescent="0.75">
      <c r="A917" s="16">
        <v>43770</v>
      </c>
      <c r="B917" s="16">
        <v>43770</v>
      </c>
      <c r="C917" s="53" t="s">
        <v>482</v>
      </c>
      <c r="D917" s="54"/>
      <c r="E917" s="17">
        <v>1874.49</v>
      </c>
      <c r="F917" s="18" t="s">
        <v>21</v>
      </c>
      <c r="G917" s="17">
        <v>406154.85</v>
      </c>
      <c r="H917" s="1"/>
      <c r="I917" s="1"/>
      <c r="J917" s="1"/>
    </row>
    <row r="918" spans="1:10" x14ac:dyDescent="0.75">
      <c r="A918" s="16">
        <v>43770</v>
      </c>
      <c r="B918" s="16">
        <v>43770</v>
      </c>
      <c r="C918" s="53" t="s">
        <v>483</v>
      </c>
      <c r="D918" s="54"/>
      <c r="E918" s="17">
        <v>2425.5</v>
      </c>
      <c r="F918" s="18" t="s">
        <v>21</v>
      </c>
      <c r="G918" s="17">
        <v>403729.35</v>
      </c>
      <c r="H918" s="1"/>
      <c r="I918" s="1"/>
      <c r="J918" s="1"/>
    </row>
    <row r="919" spans="1:10" x14ac:dyDescent="0.75">
      <c r="A919" s="16">
        <v>43773</v>
      </c>
      <c r="B919" s="16">
        <v>43773</v>
      </c>
      <c r="C919" s="53" t="s">
        <v>28</v>
      </c>
      <c r="D919" s="54"/>
      <c r="E919" s="18" t="s">
        <v>21</v>
      </c>
      <c r="F919" s="19">
        <v>832.5</v>
      </c>
      <c r="G919" s="17">
        <v>404561.85</v>
      </c>
      <c r="H919" s="1"/>
      <c r="I919" s="1"/>
      <c r="J919" s="1"/>
    </row>
    <row r="920" spans="1:10" x14ac:dyDescent="0.75">
      <c r="A920" s="16">
        <v>43773</v>
      </c>
      <c r="B920" s="16">
        <v>43773</v>
      </c>
      <c r="C920" s="53" t="s">
        <v>484</v>
      </c>
      <c r="D920" s="54"/>
      <c r="E920" s="17">
        <v>1105.8</v>
      </c>
      <c r="F920" s="18" t="s">
        <v>21</v>
      </c>
      <c r="G920" s="17">
        <v>403456.05</v>
      </c>
      <c r="H920" s="1"/>
      <c r="I920" s="1"/>
      <c r="J920" s="1"/>
    </row>
    <row r="921" spans="1:10" x14ac:dyDescent="0.75">
      <c r="A921" s="16">
        <v>43773</v>
      </c>
      <c r="B921" s="16">
        <v>43773</v>
      </c>
      <c r="C921" s="53" t="s">
        <v>485</v>
      </c>
      <c r="D921" s="54"/>
      <c r="E921" s="17">
        <v>2183.62</v>
      </c>
      <c r="F921" s="18" t="s">
        <v>21</v>
      </c>
      <c r="G921" s="17">
        <v>401272.43</v>
      </c>
      <c r="H921" s="1"/>
      <c r="I921" s="1"/>
      <c r="J921" s="1"/>
    </row>
    <row r="922" spans="1:10" x14ac:dyDescent="0.75">
      <c r="A922" s="16">
        <v>43773</v>
      </c>
      <c r="B922" s="16">
        <v>43773</v>
      </c>
      <c r="C922" s="53" t="s">
        <v>486</v>
      </c>
      <c r="D922" s="54"/>
      <c r="E922" s="17">
        <v>9335.9699999999993</v>
      </c>
      <c r="F922" s="18" t="s">
        <v>21</v>
      </c>
      <c r="G922" s="17">
        <v>391936.46</v>
      </c>
      <c r="H922" s="1"/>
      <c r="I922" s="1"/>
      <c r="J922" s="1"/>
    </row>
    <row r="923" spans="1:10" x14ac:dyDescent="0.75">
      <c r="A923" s="16">
        <v>43773</v>
      </c>
      <c r="B923" s="16">
        <v>43773</v>
      </c>
      <c r="C923" s="53" t="s">
        <v>487</v>
      </c>
      <c r="D923" s="54"/>
      <c r="E923" s="17">
        <v>9450.6200000000008</v>
      </c>
      <c r="F923" s="18" t="s">
        <v>21</v>
      </c>
      <c r="G923" s="17">
        <v>382485.84</v>
      </c>
      <c r="H923" s="1"/>
      <c r="I923" s="1"/>
      <c r="J923" s="1"/>
    </row>
    <row r="924" spans="1:10" x14ac:dyDescent="0.75">
      <c r="A924" s="16">
        <v>43774</v>
      </c>
      <c r="B924" s="16">
        <v>43774</v>
      </c>
      <c r="C924" s="53" t="s">
        <v>28</v>
      </c>
      <c r="D924" s="54"/>
      <c r="E924" s="18" t="s">
        <v>21</v>
      </c>
      <c r="F924" s="17">
        <v>707460</v>
      </c>
      <c r="G924" s="17">
        <v>1089945.8400000001</v>
      </c>
      <c r="H924" s="1"/>
      <c r="I924" s="1"/>
      <c r="J924" s="1"/>
    </row>
    <row r="925" spans="1:10" x14ac:dyDescent="0.75">
      <c r="A925" s="16">
        <v>43774</v>
      </c>
      <c r="B925" s="16">
        <v>43774</v>
      </c>
      <c r="C925" s="53" t="s">
        <v>488</v>
      </c>
      <c r="D925" s="54"/>
      <c r="E925" s="19">
        <v>647.5</v>
      </c>
      <c r="F925" s="18" t="s">
        <v>21</v>
      </c>
      <c r="G925" s="17">
        <v>1089298.3400000001</v>
      </c>
      <c r="H925" s="1"/>
      <c r="I925" s="1"/>
      <c r="J925" s="1"/>
    </row>
    <row r="926" spans="1:10" x14ac:dyDescent="0.75">
      <c r="A926" s="16">
        <v>43775</v>
      </c>
      <c r="B926" s="16">
        <v>43775</v>
      </c>
      <c r="C926" s="53" t="s">
        <v>489</v>
      </c>
      <c r="D926" s="54"/>
      <c r="E926" s="17">
        <v>4950.46</v>
      </c>
      <c r="F926" s="18" t="s">
        <v>21</v>
      </c>
      <c r="G926" s="17">
        <v>1084347.8799999999</v>
      </c>
      <c r="H926" s="1"/>
      <c r="I926" s="1"/>
      <c r="J926" s="1"/>
    </row>
    <row r="927" spans="1:10" x14ac:dyDescent="0.75">
      <c r="A927" s="16">
        <v>43776</v>
      </c>
      <c r="B927" s="16">
        <v>43776</v>
      </c>
      <c r="C927" s="53" t="s">
        <v>28</v>
      </c>
      <c r="D927" s="54"/>
      <c r="E927" s="18" t="s">
        <v>21</v>
      </c>
      <c r="F927" s="17">
        <v>61522.7</v>
      </c>
      <c r="G927" s="17">
        <v>1145870.58</v>
      </c>
      <c r="H927" s="1"/>
      <c r="I927" s="1"/>
      <c r="J927" s="1"/>
    </row>
    <row r="928" spans="1:10" x14ac:dyDescent="0.75">
      <c r="A928" s="20"/>
      <c r="B928" s="20"/>
      <c r="C928" s="8"/>
      <c r="D928" s="9"/>
      <c r="E928" s="20"/>
      <c r="F928" s="20"/>
      <c r="G928" s="20"/>
      <c r="H928" s="1"/>
      <c r="I928" s="1"/>
      <c r="J928" s="1"/>
    </row>
    <row r="929" spans="1:10" x14ac:dyDescent="0.75">
      <c r="A929" s="34" t="s">
        <v>15</v>
      </c>
      <c r="B929" s="35"/>
      <c r="C929" s="35"/>
      <c r="D929" s="35"/>
      <c r="E929" s="35"/>
      <c r="F929" s="35"/>
      <c r="G929" s="36"/>
      <c r="H929" s="1"/>
      <c r="I929" s="1"/>
      <c r="J929" s="1"/>
    </row>
    <row r="930" spans="1:10" x14ac:dyDescent="0.75">
      <c r="A930" s="21" t="s">
        <v>32</v>
      </c>
      <c r="B930" s="22"/>
      <c r="C930" s="22"/>
      <c r="D930" s="23" t="s">
        <v>33</v>
      </c>
      <c r="E930" s="22"/>
      <c r="F930" s="22"/>
      <c r="G930" s="24"/>
      <c r="H930" s="1"/>
      <c r="I930" s="1"/>
      <c r="J930" s="1"/>
    </row>
    <row r="931" spans="1:10" x14ac:dyDescent="0.75">
      <c r="A931" s="37" t="s">
        <v>490</v>
      </c>
      <c r="B931" s="37"/>
      <c r="C931" s="37"/>
      <c r="D931" s="37"/>
      <c r="E931" s="37"/>
      <c r="F931" s="37"/>
      <c r="G931" s="37"/>
      <c r="H931" s="37"/>
      <c r="I931" s="1"/>
      <c r="J931" s="1"/>
    </row>
    <row r="932" spans="1:10" x14ac:dyDescent="0.75">
      <c r="A932" s="55" t="s">
        <v>0</v>
      </c>
      <c r="B932" s="55"/>
      <c r="C932" s="55"/>
      <c r="D932" s="55"/>
      <c r="E932" s="55"/>
      <c r="F932" s="55"/>
      <c r="G932" s="55"/>
      <c r="H932" s="55"/>
      <c r="I932" s="1"/>
      <c r="J932" s="1"/>
    </row>
    <row r="933" spans="1:10" x14ac:dyDescent="0.75">
      <c r="A933" s="55" t="s">
        <v>1</v>
      </c>
      <c r="B933" s="55"/>
      <c r="C933" s="55"/>
      <c r="D933" s="55"/>
      <c r="E933" s="55"/>
      <c r="F933" s="55"/>
      <c r="G933" s="55"/>
      <c r="H933" s="55"/>
      <c r="I933" s="1"/>
      <c r="J933" s="1"/>
    </row>
    <row r="934" spans="1:10" x14ac:dyDescent="0.75">
      <c r="A934" s="38" t="s">
        <v>35</v>
      </c>
      <c r="B934" s="39"/>
      <c r="C934" s="39"/>
      <c r="D934" s="39"/>
      <c r="E934" s="39"/>
      <c r="F934" s="39"/>
      <c r="G934" s="40"/>
      <c r="H934" s="1"/>
      <c r="I934" s="1"/>
      <c r="J934" s="1"/>
    </row>
    <row r="935" spans="1:10" ht="21.5" x14ac:dyDescent="0.75">
      <c r="A935" s="2" t="s">
        <v>3</v>
      </c>
      <c r="B935" s="3" t="s">
        <v>4</v>
      </c>
      <c r="C935" s="4"/>
      <c r="D935" s="5" t="s">
        <v>5</v>
      </c>
      <c r="E935" s="3" t="s">
        <v>6</v>
      </c>
      <c r="F935" s="3" t="s">
        <v>7</v>
      </c>
      <c r="G935" s="6" t="s">
        <v>8</v>
      </c>
      <c r="H935" s="1"/>
      <c r="I935" s="1"/>
      <c r="J935" s="1"/>
    </row>
    <row r="936" spans="1:10" x14ac:dyDescent="0.75">
      <c r="A936" s="10">
        <v>43776</v>
      </c>
      <c r="B936" s="11"/>
      <c r="C936" s="56" t="s">
        <v>19</v>
      </c>
      <c r="D936" s="57"/>
      <c r="E936" s="11"/>
      <c r="F936" s="11"/>
      <c r="G936" s="12">
        <v>1145870.58</v>
      </c>
      <c r="H936" s="1"/>
      <c r="I936" s="1"/>
      <c r="J936" s="1"/>
    </row>
    <row r="937" spans="1:10" x14ac:dyDescent="0.75">
      <c r="A937" s="13">
        <v>43776</v>
      </c>
      <c r="B937" s="13">
        <v>43776</v>
      </c>
      <c r="C937" s="58" t="s">
        <v>491</v>
      </c>
      <c r="D937" s="59"/>
      <c r="E937" s="14">
        <v>80000</v>
      </c>
      <c r="F937" s="15" t="s">
        <v>21</v>
      </c>
      <c r="G937" s="14">
        <v>1065870.58</v>
      </c>
      <c r="H937" s="1"/>
      <c r="I937" s="1"/>
      <c r="J937" s="1"/>
    </row>
    <row r="938" spans="1:10" x14ac:dyDescent="0.75">
      <c r="A938" s="16">
        <v>43776</v>
      </c>
      <c r="B938" s="16">
        <v>43776</v>
      </c>
      <c r="C938" s="53" t="s">
        <v>492</v>
      </c>
      <c r="D938" s="54"/>
      <c r="E938" s="19">
        <v>567.21</v>
      </c>
      <c r="F938" s="18" t="s">
        <v>21</v>
      </c>
      <c r="G938" s="17">
        <v>1065303.3700000001</v>
      </c>
      <c r="H938" s="1"/>
      <c r="I938" s="1"/>
      <c r="J938" s="1"/>
    </row>
    <row r="939" spans="1:10" x14ac:dyDescent="0.75">
      <c r="A939" s="16">
        <v>43776</v>
      </c>
      <c r="B939" s="16">
        <v>43776</v>
      </c>
      <c r="C939" s="53" t="s">
        <v>493</v>
      </c>
      <c r="D939" s="54"/>
      <c r="E939" s="17">
        <v>2968.56</v>
      </c>
      <c r="F939" s="18" t="s">
        <v>21</v>
      </c>
      <c r="G939" s="17">
        <v>1062334.81</v>
      </c>
      <c r="H939" s="1"/>
      <c r="I939" s="1"/>
      <c r="J939" s="1"/>
    </row>
    <row r="940" spans="1:10" x14ac:dyDescent="0.75">
      <c r="A940" s="16">
        <v>43776</v>
      </c>
      <c r="B940" s="16">
        <v>43776</v>
      </c>
      <c r="C940" s="53" t="s">
        <v>494</v>
      </c>
      <c r="D940" s="54"/>
      <c r="E940" s="17">
        <v>3357.66</v>
      </c>
      <c r="F940" s="18" t="s">
        <v>21</v>
      </c>
      <c r="G940" s="17">
        <v>1058977.1499999999</v>
      </c>
      <c r="H940" s="1"/>
      <c r="I940" s="1"/>
      <c r="J940" s="1"/>
    </row>
    <row r="941" spans="1:10" x14ac:dyDescent="0.75">
      <c r="A941" s="16">
        <v>43776</v>
      </c>
      <c r="B941" s="16">
        <v>43776</v>
      </c>
      <c r="C941" s="53" t="s">
        <v>495</v>
      </c>
      <c r="D941" s="54"/>
      <c r="E941" s="17">
        <v>4710.32</v>
      </c>
      <c r="F941" s="18" t="s">
        <v>21</v>
      </c>
      <c r="G941" s="17">
        <v>1054266.83</v>
      </c>
      <c r="H941" s="1"/>
      <c r="I941" s="1"/>
      <c r="J941" s="1"/>
    </row>
    <row r="942" spans="1:10" x14ac:dyDescent="0.75">
      <c r="A942" s="16">
        <v>43776</v>
      </c>
      <c r="B942" s="16">
        <v>43776</v>
      </c>
      <c r="C942" s="53" t="s">
        <v>496</v>
      </c>
      <c r="D942" s="54"/>
      <c r="E942" s="17">
        <v>10313.33</v>
      </c>
      <c r="F942" s="18" t="s">
        <v>21</v>
      </c>
      <c r="G942" s="17">
        <v>1043953.5</v>
      </c>
      <c r="H942" s="1"/>
      <c r="I942" s="1"/>
      <c r="J942" s="1"/>
    </row>
    <row r="943" spans="1:10" x14ac:dyDescent="0.75">
      <c r="A943" s="16">
        <v>43777</v>
      </c>
      <c r="B943" s="16">
        <v>43777</v>
      </c>
      <c r="C943" s="53" t="s">
        <v>497</v>
      </c>
      <c r="D943" s="54"/>
      <c r="E943" s="18" t="s">
        <v>21</v>
      </c>
      <c r="F943" s="17">
        <v>12767.87</v>
      </c>
      <c r="G943" s="17">
        <v>1056721.3700000001</v>
      </c>
      <c r="H943" s="1"/>
      <c r="I943" s="1"/>
      <c r="J943" s="1"/>
    </row>
    <row r="944" spans="1:10" x14ac:dyDescent="0.75">
      <c r="A944" s="16">
        <v>43777</v>
      </c>
      <c r="B944" s="16">
        <v>43777</v>
      </c>
      <c r="C944" s="53" t="s">
        <v>28</v>
      </c>
      <c r="D944" s="54"/>
      <c r="E944" s="18" t="s">
        <v>21</v>
      </c>
      <c r="F944" s="17">
        <v>71483.360000000001</v>
      </c>
      <c r="G944" s="17">
        <v>1128204.73</v>
      </c>
      <c r="H944" s="1"/>
      <c r="I944" s="1"/>
      <c r="J944" s="1"/>
    </row>
    <row r="945" spans="1:10" x14ac:dyDescent="0.75">
      <c r="A945" s="16">
        <v>43777</v>
      </c>
      <c r="B945" s="16">
        <v>43777</v>
      </c>
      <c r="C945" s="53" t="s">
        <v>498</v>
      </c>
      <c r="D945" s="54"/>
      <c r="E945" s="17">
        <v>1796</v>
      </c>
      <c r="F945" s="18" t="s">
        <v>21</v>
      </c>
      <c r="G945" s="17">
        <v>1126408.73</v>
      </c>
      <c r="H945" s="1"/>
      <c r="I945" s="1"/>
      <c r="J945" s="1"/>
    </row>
    <row r="946" spans="1:10" x14ac:dyDescent="0.75">
      <c r="A946" s="16">
        <v>43777</v>
      </c>
      <c r="B946" s="16">
        <v>43777</v>
      </c>
      <c r="C946" s="53" t="s">
        <v>499</v>
      </c>
      <c r="D946" s="54"/>
      <c r="E946" s="19">
        <v>449.5</v>
      </c>
      <c r="F946" s="18" t="s">
        <v>21</v>
      </c>
      <c r="G946" s="17">
        <v>1125959.23</v>
      </c>
      <c r="H946" s="1"/>
      <c r="I946" s="1"/>
      <c r="J946" s="1"/>
    </row>
    <row r="947" spans="1:10" x14ac:dyDescent="0.75">
      <c r="A947" s="16">
        <v>43777</v>
      </c>
      <c r="B947" s="16">
        <v>43777</v>
      </c>
      <c r="C947" s="53" t="s">
        <v>500</v>
      </c>
      <c r="D947" s="54"/>
      <c r="E947" s="19">
        <v>647.5</v>
      </c>
      <c r="F947" s="18" t="s">
        <v>21</v>
      </c>
      <c r="G947" s="17">
        <v>1125311.73</v>
      </c>
      <c r="H947" s="1"/>
      <c r="I947" s="1"/>
      <c r="J947" s="1"/>
    </row>
    <row r="948" spans="1:10" x14ac:dyDescent="0.75">
      <c r="A948" s="16">
        <v>43777</v>
      </c>
      <c r="B948" s="16">
        <v>43777</v>
      </c>
      <c r="C948" s="53" t="s">
        <v>501</v>
      </c>
      <c r="D948" s="54"/>
      <c r="E948" s="17">
        <v>1475.72</v>
      </c>
      <c r="F948" s="18" t="s">
        <v>21</v>
      </c>
      <c r="G948" s="17">
        <v>1123836.01</v>
      </c>
      <c r="H948" s="1"/>
      <c r="I948" s="1"/>
      <c r="J948" s="1"/>
    </row>
    <row r="949" spans="1:10" x14ac:dyDescent="0.75">
      <c r="A949" s="20"/>
      <c r="B949" s="20"/>
      <c r="C949" s="8"/>
      <c r="D949" s="9"/>
      <c r="E949" s="20"/>
      <c r="F949" s="20"/>
      <c r="G949" s="20"/>
      <c r="H949" s="1"/>
      <c r="I949" s="1"/>
      <c r="J949" s="1"/>
    </row>
    <row r="950" spans="1:10" x14ac:dyDescent="0.75">
      <c r="A950" s="34" t="s">
        <v>15</v>
      </c>
      <c r="B950" s="35"/>
      <c r="C950" s="35"/>
      <c r="D950" s="35"/>
      <c r="E950" s="35"/>
      <c r="F950" s="35"/>
      <c r="G950" s="36"/>
      <c r="H950" s="1"/>
      <c r="I950" s="1"/>
      <c r="J950" s="1"/>
    </row>
    <row r="951" spans="1:10" x14ac:dyDescent="0.75">
      <c r="A951" s="21" t="s">
        <v>32</v>
      </c>
      <c r="B951" s="22"/>
      <c r="C951" s="22"/>
      <c r="D951" s="23" t="s">
        <v>33</v>
      </c>
      <c r="E951" s="22"/>
      <c r="F951" s="22"/>
      <c r="G951" s="24"/>
      <c r="H951" s="1"/>
      <c r="I951" s="1"/>
      <c r="J951" s="1"/>
    </row>
    <row r="952" spans="1:10" x14ac:dyDescent="0.75">
      <c r="A952" s="37" t="s">
        <v>502</v>
      </c>
      <c r="B952" s="37"/>
      <c r="C952" s="37"/>
      <c r="D952" s="37"/>
      <c r="E952" s="37"/>
      <c r="F952" s="37"/>
      <c r="G952" s="37"/>
      <c r="H952" s="37"/>
      <c r="I952" s="1"/>
      <c r="J952" s="1"/>
    </row>
    <row r="953" spans="1:10" x14ac:dyDescent="0.75">
      <c r="A953" s="55" t="s">
        <v>0</v>
      </c>
      <c r="B953" s="55"/>
      <c r="C953" s="55"/>
      <c r="D953" s="55"/>
      <c r="E953" s="55"/>
      <c r="F953" s="55"/>
      <c r="G953" s="55"/>
      <c r="H953" s="55"/>
      <c r="I953" s="1"/>
      <c r="J953" s="1"/>
    </row>
    <row r="954" spans="1:10" x14ac:dyDescent="0.75">
      <c r="A954" s="55" t="s">
        <v>1</v>
      </c>
      <c r="B954" s="55"/>
      <c r="C954" s="55"/>
      <c r="D954" s="55"/>
      <c r="E954" s="55"/>
      <c r="F954" s="55"/>
      <c r="G954" s="55"/>
      <c r="H954" s="55"/>
      <c r="I954" s="1"/>
      <c r="J954" s="1"/>
    </row>
    <row r="955" spans="1:10" x14ac:dyDescent="0.75">
      <c r="A955" s="38" t="s">
        <v>35</v>
      </c>
      <c r="B955" s="39"/>
      <c r="C955" s="39"/>
      <c r="D955" s="39"/>
      <c r="E955" s="39"/>
      <c r="F955" s="39"/>
      <c r="G955" s="40"/>
      <c r="H955" s="1"/>
      <c r="I955" s="1"/>
      <c r="J955" s="1"/>
    </row>
    <row r="956" spans="1:10" ht="21.5" x14ac:dyDescent="0.75">
      <c r="A956" s="2" t="s">
        <v>3</v>
      </c>
      <c r="B956" s="3" t="s">
        <v>4</v>
      </c>
      <c r="C956" s="4"/>
      <c r="D956" s="5" t="s">
        <v>5</v>
      </c>
      <c r="E956" s="3" t="s">
        <v>6</v>
      </c>
      <c r="F956" s="3" t="s">
        <v>7</v>
      </c>
      <c r="G956" s="6" t="s">
        <v>8</v>
      </c>
      <c r="H956" s="1"/>
      <c r="I956" s="1"/>
      <c r="J956" s="1"/>
    </row>
    <row r="957" spans="1:10" x14ac:dyDescent="0.75">
      <c r="A957" s="10">
        <v>43777</v>
      </c>
      <c r="B957" s="11"/>
      <c r="C957" s="56" t="s">
        <v>19</v>
      </c>
      <c r="D957" s="57"/>
      <c r="E957" s="11"/>
      <c r="F957" s="11"/>
      <c r="G957" s="12">
        <v>1123836.01</v>
      </c>
      <c r="H957" s="1"/>
      <c r="I957" s="1"/>
      <c r="J957" s="1"/>
    </row>
    <row r="958" spans="1:10" x14ac:dyDescent="0.75">
      <c r="A958" s="13">
        <v>43777</v>
      </c>
      <c r="B958" s="13">
        <v>43777</v>
      </c>
      <c r="C958" s="58" t="s">
        <v>503</v>
      </c>
      <c r="D958" s="59"/>
      <c r="E958" s="14">
        <v>1480</v>
      </c>
      <c r="F958" s="15" t="s">
        <v>21</v>
      </c>
      <c r="G958" s="14">
        <v>1122356.01</v>
      </c>
      <c r="H958" s="1"/>
      <c r="I958" s="1"/>
      <c r="J958" s="1"/>
    </row>
    <row r="959" spans="1:10" x14ac:dyDescent="0.75">
      <c r="A959" s="16">
        <v>43777</v>
      </c>
      <c r="B959" s="16">
        <v>43777</v>
      </c>
      <c r="C959" s="53" t="s">
        <v>504</v>
      </c>
      <c r="D959" s="54"/>
      <c r="E959" s="17">
        <v>1850</v>
      </c>
      <c r="F959" s="18" t="s">
        <v>21</v>
      </c>
      <c r="G959" s="17">
        <v>1120506.01</v>
      </c>
      <c r="H959" s="1"/>
      <c r="I959" s="1"/>
      <c r="J959" s="1"/>
    </row>
    <row r="960" spans="1:10" x14ac:dyDescent="0.75">
      <c r="A960" s="16">
        <v>43777</v>
      </c>
      <c r="B960" s="16">
        <v>43777</v>
      </c>
      <c r="C960" s="53" t="s">
        <v>505</v>
      </c>
      <c r="D960" s="54"/>
      <c r="E960" s="17">
        <v>1861.5</v>
      </c>
      <c r="F960" s="18" t="s">
        <v>21</v>
      </c>
      <c r="G960" s="17">
        <v>1118644.51</v>
      </c>
      <c r="H960" s="1"/>
      <c r="I960" s="1"/>
      <c r="J960" s="1"/>
    </row>
    <row r="961" spans="1:10" x14ac:dyDescent="0.75">
      <c r="A961" s="16">
        <v>43777</v>
      </c>
      <c r="B961" s="16">
        <v>43777</v>
      </c>
      <c r="C961" s="53" t="s">
        <v>506</v>
      </c>
      <c r="D961" s="54"/>
      <c r="E961" s="17">
        <v>2218.87</v>
      </c>
      <c r="F961" s="18" t="s">
        <v>21</v>
      </c>
      <c r="G961" s="17">
        <v>1116425.6399999999</v>
      </c>
      <c r="H961" s="1"/>
      <c r="I961" s="1"/>
      <c r="J961" s="1"/>
    </row>
    <row r="962" spans="1:10" x14ac:dyDescent="0.75">
      <c r="A962" s="16">
        <v>43777</v>
      </c>
      <c r="B962" s="16">
        <v>43777</v>
      </c>
      <c r="C962" s="53" t="s">
        <v>507</v>
      </c>
      <c r="D962" s="54"/>
      <c r="E962" s="17">
        <v>2800</v>
      </c>
      <c r="F962" s="18" t="s">
        <v>21</v>
      </c>
      <c r="G962" s="17">
        <v>1113625.6399999999</v>
      </c>
      <c r="H962" s="1"/>
      <c r="I962" s="1"/>
      <c r="J962" s="1"/>
    </row>
    <row r="963" spans="1:10" x14ac:dyDescent="0.75">
      <c r="A963" s="16">
        <v>43777</v>
      </c>
      <c r="B963" s="16">
        <v>43777</v>
      </c>
      <c r="C963" s="53" t="s">
        <v>508</v>
      </c>
      <c r="D963" s="54"/>
      <c r="E963" s="17">
        <v>10249.74</v>
      </c>
      <c r="F963" s="18" t="s">
        <v>21</v>
      </c>
      <c r="G963" s="17">
        <v>1103375.8999999999</v>
      </c>
      <c r="H963" s="1"/>
      <c r="I963" s="1"/>
      <c r="J963" s="1"/>
    </row>
    <row r="964" spans="1:10" x14ac:dyDescent="0.75">
      <c r="A964" s="16">
        <v>43777</v>
      </c>
      <c r="B964" s="16">
        <v>43777</v>
      </c>
      <c r="C964" s="53" t="s">
        <v>509</v>
      </c>
      <c r="D964" s="54"/>
      <c r="E964" s="17">
        <v>18160.54</v>
      </c>
      <c r="F964" s="18" t="s">
        <v>21</v>
      </c>
      <c r="G964" s="17">
        <v>1085215.3600000001</v>
      </c>
      <c r="H964" s="1"/>
      <c r="I964" s="1"/>
      <c r="J964" s="1"/>
    </row>
    <row r="965" spans="1:10" x14ac:dyDescent="0.75">
      <c r="A965" s="16">
        <v>43777</v>
      </c>
      <c r="B965" s="16">
        <v>43777</v>
      </c>
      <c r="C965" s="53" t="s">
        <v>510</v>
      </c>
      <c r="D965" s="54"/>
      <c r="E965" s="17">
        <v>26981.74</v>
      </c>
      <c r="F965" s="18" t="s">
        <v>21</v>
      </c>
      <c r="G965" s="17">
        <v>1058233.6200000001</v>
      </c>
      <c r="H965" s="1"/>
      <c r="I965" s="1"/>
      <c r="J965" s="1"/>
    </row>
    <row r="966" spans="1:10" x14ac:dyDescent="0.75">
      <c r="A966" s="16">
        <v>43777</v>
      </c>
      <c r="B966" s="16">
        <v>43777</v>
      </c>
      <c r="C966" s="53" t="s">
        <v>511</v>
      </c>
      <c r="D966" s="54"/>
      <c r="E966" s="17">
        <v>31638.75</v>
      </c>
      <c r="F966" s="18" t="s">
        <v>21</v>
      </c>
      <c r="G966" s="17">
        <v>1026594.87</v>
      </c>
      <c r="H966" s="1"/>
      <c r="I966" s="1"/>
      <c r="J966" s="1"/>
    </row>
    <row r="967" spans="1:10" x14ac:dyDescent="0.75">
      <c r="A967" s="16">
        <v>43777</v>
      </c>
      <c r="B967" s="16">
        <v>43777</v>
      </c>
      <c r="C967" s="53" t="s">
        <v>512</v>
      </c>
      <c r="D967" s="54"/>
      <c r="E967" s="17">
        <v>53532.1</v>
      </c>
      <c r="F967" s="18" t="s">
        <v>21</v>
      </c>
      <c r="G967" s="17">
        <v>973062.77</v>
      </c>
      <c r="H967" s="1"/>
      <c r="I967" s="1"/>
      <c r="J967" s="1"/>
    </row>
    <row r="968" spans="1:10" x14ac:dyDescent="0.75">
      <c r="A968" s="16">
        <v>43777</v>
      </c>
      <c r="B968" s="16">
        <v>43777</v>
      </c>
      <c r="C968" s="53" t="s">
        <v>513</v>
      </c>
      <c r="D968" s="54"/>
      <c r="E968" s="17">
        <v>151307.18</v>
      </c>
      <c r="F968" s="18" t="s">
        <v>21</v>
      </c>
      <c r="G968" s="17">
        <v>821755.59</v>
      </c>
      <c r="H968" s="1"/>
      <c r="I968" s="1"/>
      <c r="J968" s="1"/>
    </row>
    <row r="969" spans="1:10" x14ac:dyDescent="0.75">
      <c r="A969" s="16">
        <v>43777</v>
      </c>
      <c r="B969" s="16">
        <v>43777</v>
      </c>
      <c r="C969" s="53" t="s">
        <v>514</v>
      </c>
      <c r="D969" s="54"/>
      <c r="E969" s="17">
        <v>335092.86</v>
      </c>
      <c r="F969" s="18" t="s">
        <v>21</v>
      </c>
      <c r="G969" s="17">
        <v>486662.73</v>
      </c>
      <c r="H969" s="1"/>
      <c r="I969" s="1"/>
      <c r="J969" s="1"/>
    </row>
    <row r="970" spans="1:10" x14ac:dyDescent="0.75">
      <c r="A970" s="20"/>
      <c r="B970" s="20"/>
      <c r="C970" s="8"/>
      <c r="D970" s="9"/>
      <c r="E970" s="20"/>
      <c r="F970" s="20"/>
      <c r="G970" s="20"/>
      <c r="H970" s="1"/>
      <c r="I970" s="1"/>
      <c r="J970" s="1"/>
    </row>
    <row r="971" spans="1:10" x14ac:dyDescent="0.75">
      <c r="A971" s="34" t="s">
        <v>15</v>
      </c>
      <c r="B971" s="35"/>
      <c r="C971" s="35"/>
      <c r="D971" s="35"/>
      <c r="E971" s="35"/>
      <c r="F971" s="35"/>
      <c r="G971" s="36"/>
      <c r="H971" s="1"/>
      <c r="I971" s="1"/>
      <c r="J971" s="1"/>
    </row>
    <row r="972" spans="1:10" x14ac:dyDescent="0.75">
      <c r="A972" s="21" t="s">
        <v>32</v>
      </c>
      <c r="B972" s="22"/>
      <c r="C972" s="22"/>
      <c r="D972" s="23" t="s">
        <v>33</v>
      </c>
      <c r="E972" s="22"/>
      <c r="F972" s="22"/>
      <c r="G972" s="24"/>
      <c r="H972" s="1"/>
      <c r="I972" s="1"/>
      <c r="J972" s="1"/>
    </row>
    <row r="973" spans="1:10" x14ac:dyDescent="0.75">
      <c r="A973" s="37" t="s">
        <v>515</v>
      </c>
      <c r="B973" s="37"/>
      <c r="C973" s="37"/>
      <c r="D973" s="37"/>
      <c r="E973" s="37"/>
      <c r="F973" s="37"/>
      <c r="G973" s="37"/>
      <c r="H973" s="37"/>
      <c r="I973" s="1"/>
      <c r="J973" s="1"/>
    </row>
    <row r="974" spans="1:10" x14ac:dyDescent="0.75">
      <c r="A974" s="55" t="s">
        <v>0</v>
      </c>
      <c r="B974" s="55"/>
      <c r="C974" s="55"/>
      <c r="D974" s="55"/>
      <c r="E974" s="55"/>
      <c r="F974" s="55"/>
      <c r="G974" s="55"/>
      <c r="H974" s="55"/>
      <c r="I974" s="1"/>
      <c r="J974" s="1"/>
    </row>
    <row r="975" spans="1:10" x14ac:dyDescent="0.75">
      <c r="A975" s="55" t="s">
        <v>1</v>
      </c>
      <c r="B975" s="55"/>
      <c r="C975" s="55"/>
      <c r="D975" s="55"/>
      <c r="E975" s="55"/>
      <c r="F975" s="55"/>
      <c r="G975" s="55"/>
      <c r="H975" s="55"/>
      <c r="I975" s="1"/>
      <c r="J975" s="1"/>
    </row>
    <row r="976" spans="1:10" x14ac:dyDescent="0.75">
      <c r="A976" s="38" t="s">
        <v>35</v>
      </c>
      <c r="B976" s="39"/>
      <c r="C976" s="39"/>
      <c r="D976" s="39"/>
      <c r="E976" s="39"/>
      <c r="F976" s="39"/>
      <c r="G976" s="40"/>
      <c r="H976" s="1"/>
      <c r="I976" s="1"/>
      <c r="J976" s="1"/>
    </row>
    <row r="977" spans="1:10" ht="21.5" x14ac:dyDescent="0.75">
      <c r="A977" s="2" t="s">
        <v>3</v>
      </c>
      <c r="B977" s="3" t="s">
        <v>4</v>
      </c>
      <c r="C977" s="4"/>
      <c r="D977" s="5" t="s">
        <v>5</v>
      </c>
      <c r="E977" s="3" t="s">
        <v>6</v>
      </c>
      <c r="F977" s="3" t="s">
        <v>7</v>
      </c>
      <c r="G977" s="6" t="s">
        <v>8</v>
      </c>
      <c r="H977" s="1"/>
      <c r="I977" s="1"/>
      <c r="J977" s="1"/>
    </row>
    <row r="978" spans="1:10" x14ac:dyDescent="0.75">
      <c r="A978" s="10">
        <v>43777</v>
      </c>
      <c r="B978" s="11"/>
      <c r="C978" s="56" t="s">
        <v>19</v>
      </c>
      <c r="D978" s="57"/>
      <c r="E978" s="11"/>
      <c r="F978" s="11"/>
      <c r="G978" s="12">
        <v>486662.73</v>
      </c>
      <c r="H978" s="1"/>
      <c r="I978" s="1"/>
      <c r="J978" s="1"/>
    </row>
    <row r="979" spans="1:10" x14ac:dyDescent="0.75">
      <c r="A979" s="13">
        <v>43780</v>
      </c>
      <c r="B979" s="13">
        <v>43780</v>
      </c>
      <c r="C979" s="58" t="s">
        <v>516</v>
      </c>
      <c r="D979" s="59"/>
      <c r="E979" s="14">
        <v>1621.88</v>
      </c>
      <c r="F979" s="15" t="s">
        <v>21</v>
      </c>
      <c r="G979" s="14">
        <v>485040.85</v>
      </c>
      <c r="H979" s="1"/>
      <c r="I979" s="1"/>
      <c r="J979" s="1"/>
    </row>
    <row r="980" spans="1:10" x14ac:dyDescent="0.75">
      <c r="A980" s="16">
        <v>43780</v>
      </c>
      <c r="B980" s="16">
        <v>43780</v>
      </c>
      <c r="C980" s="53" t="s">
        <v>517</v>
      </c>
      <c r="D980" s="54"/>
      <c r="E980" s="17">
        <v>2729</v>
      </c>
      <c r="F980" s="18" t="s">
        <v>21</v>
      </c>
      <c r="G980" s="17">
        <v>482311.85</v>
      </c>
      <c r="H980" s="1"/>
      <c r="I980" s="1"/>
      <c r="J980" s="1"/>
    </row>
    <row r="981" spans="1:10" x14ac:dyDescent="0.75">
      <c r="A981" s="16">
        <v>43780</v>
      </c>
      <c r="B981" s="16">
        <v>43780</v>
      </c>
      <c r="C981" s="53" t="s">
        <v>518</v>
      </c>
      <c r="D981" s="54"/>
      <c r="E981" s="19">
        <v>291</v>
      </c>
      <c r="F981" s="18" t="s">
        <v>21</v>
      </c>
      <c r="G981" s="17">
        <v>482020.85</v>
      </c>
      <c r="H981" s="1"/>
      <c r="I981" s="1"/>
      <c r="J981" s="1"/>
    </row>
    <row r="982" spans="1:10" x14ac:dyDescent="0.75">
      <c r="A982" s="16">
        <v>43780</v>
      </c>
      <c r="B982" s="16">
        <v>43780</v>
      </c>
      <c r="C982" s="53" t="s">
        <v>519</v>
      </c>
      <c r="D982" s="54"/>
      <c r="E982" s="17">
        <v>1612.14</v>
      </c>
      <c r="F982" s="18" t="s">
        <v>21</v>
      </c>
      <c r="G982" s="17">
        <v>480408.71</v>
      </c>
      <c r="H982" s="1"/>
      <c r="I982" s="1"/>
      <c r="J982" s="1"/>
    </row>
    <row r="983" spans="1:10" x14ac:dyDescent="0.75">
      <c r="A983" s="16">
        <v>43780</v>
      </c>
      <c r="B983" s="16">
        <v>43780</v>
      </c>
      <c r="C983" s="53" t="s">
        <v>520</v>
      </c>
      <c r="D983" s="54"/>
      <c r="E983" s="17">
        <v>3330</v>
      </c>
      <c r="F983" s="18" t="s">
        <v>21</v>
      </c>
      <c r="G983" s="17">
        <v>477078.71</v>
      </c>
      <c r="H983" s="1"/>
      <c r="I983" s="1"/>
      <c r="J983" s="1"/>
    </row>
    <row r="984" spans="1:10" x14ac:dyDescent="0.75">
      <c r="A984" s="16">
        <v>43780</v>
      </c>
      <c r="B984" s="16">
        <v>43780</v>
      </c>
      <c r="C984" s="53" t="s">
        <v>521</v>
      </c>
      <c r="D984" s="54"/>
      <c r="E984" s="17">
        <v>3845.52</v>
      </c>
      <c r="F984" s="18" t="s">
        <v>21</v>
      </c>
      <c r="G984" s="17">
        <v>473233.19</v>
      </c>
      <c r="H984" s="1"/>
      <c r="I984" s="1"/>
      <c r="J984" s="1"/>
    </row>
    <row r="985" spans="1:10" x14ac:dyDescent="0.75">
      <c r="A985" s="16">
        <v>43780</v>
      </c>
      <c r="B985" s="16">
        <v>43780</v>
      </c>
      <c r="C985" s="53" t="s">
        <v>522</v>
      </c>
      <c r="D985" s="54"/>
      <c r="E985" s="17">
        <v>4947</v>
      </c>
      <c r="F985" s="18" t="s">
        <v>21</v>
      </c>
      <c r="G985" s="17">
        <v>468286.19</v>
      </c>
      <c r="H985" s="1"/>
      <c r="I985" s="1"/>
      <c r="J985" s="1"/>
    </row>
    <row r="986" spans="1:10" x14ac:dyDescent="0.75">
      <c r="A986" s="16">
        <v>43780</v>
      </c>
      <c r="B986" s="16">
        <v>43780</v>
      </c>
      <c r="C986" s="53" t="s">
        <v>523</v>
      </c>
      <c r="D986" s="54"/>
      <c r="E986" s="17">
        <v>4981.13</v>
      </c>
      <c r="F986" s="18" t="s">
        <v>21</v>
      </c>
      <c r="G986" s="17">
        <v>463305.06</v>
      </c>
      <c r="H986" s="1"/>
      <c r="I986" s="1"/>
      <c r="J986" s="1"/>
    </row>
    <row r="987" spans="1:10" x14ac:dyDescent="0.75">
      <c r="A987" s="16">
        <v>43780</v>
      </c>
      <c r="B987" s="16">
        <v>43780</v>
      </c>
      <c r="C987" s="53" t="s">
        <v>524</v>
      </c>
      <c r="D987" s="54"/>
      <c r="E987" s="17">
        <v>6400</v>
      </c>
      <c r="F987" s="18" t="s">
        <v>21</v>
      </c>
      <c r="G987" s="17">
        <v>456905.06</v>
      </c>
      <c r="H987" s="1"/>
      <c r="I987" s="1"/>
      <c r="J987" s="1"/>
    </row>
    <row r="988" spans="1:10" x14ac:dyDescent="0.75">
      <c r="A988" s="16">
        <v>43780</v>
      </c>
      <c r="B988" s="16">
        <v>43780</v>
      </c>
      <c r="C988" s="53" t="s">
        <v>525</v>
      </c>
      <c r="D988" s="54"/>
      <c r="E988" s="17">
        <v>7300</v>
      </c>
      <c r="F988" s="18" t="s">
        <v>21</v>
      </c>
      <c r="G988" s="17">
        <v>449605.06</v>
      </c>
      <c r="H988" s="1"/>
      <c r="I988" s="1"/>
      <c r="J988" s="1"/>
    </row>
    <row r="989" spans="1:10" x14ac:dyDescent="0.75">
      <c r="A989" s="16">
        <v>43780</v>
      </c>
      <c r="B989" s="16">
        <v>43780</v>
      </c>
      <c r="C989" s="53" t="s">
        <v>526</v>
      </c>
      <c r="D989" s="54"/>
      <c r="E989" s="17">
        <v>10132.16</v>
      </c>
      <c r="F989" s="18" t="s">
        <v>21</v>
      </c>
      <c r="G989" s="17">
        <v>439472.9</v>
      </c>
      <c r="H989" s="1"/>
      <c r="I989" s="1"/>
      <c r="J989" s="1"/>
    </row>
    <row r="990" spans="1:10" x14ac:dyDescent="0.75">
      <c r="A990" s="16">
        <v>43780</v>
      </c>
      <c r="B990" s="16">
        <v>43780</v>
      </c>
      <c r="C990" s="53" t="s">
        <v>527</v>
      </c>
      <c r="D990" s="54"/>
      <c r="E990" s="17">
        <v>40952.43</v>
      </c>
      <c r="F990" s="18" t="s">
        <v>21</v>
      </c>
      <c r="G990" s="17">
        <v>398520.47</v>
      </c>
      <c r="H990" s="1"/>
      <c r="I990" s="1"/>
      <c r="J990" s="1"/>
    </row>
    <row r="991" spans="1:10" x14ac:dyDescent="0.75">
      <c r="A991" s="20"/>
      <c r="B991" s="20"/>
      <c r="C991" s="8"/>
      <c r="D991" s="9"/>
      <c r="E991" s="20"/>
      <c r="F991" s="20"/>
      <c r="G991" s="20"/>
      <c r="H991" s="1"/>
      <c r="I991" s="1"/>
      <c r="J991" s="1"/>
    </row>
    <row r="992" spans="1:10" x14ac:dyDescent="0.75">
      <c r="A992" s="34" t="s">
        <v>15</v>
      </c>
      <c r="B992" s="35"/>
      <c r="C992" s="35"/>
      <c r="D992" s="35"/>
      <c r="E992" s="35"/>
      <c r="F992" s="35"/>
      <c r="G992" s="36"/>
      <c r="H992" s="1"/>
      <c r="I992" s="1"/>
      <c r="J992" s="1"/>
    </row>
    <row r="993" spans="1:10" x14ac:dyDescent="0.75">
      <c r="A993" s="21" t="s">
        <v>32</v>
      </c>
      <c r="B993" s="22"/>
      <c r="C993" s="22"/>
      <c r="D993" s="23" t="s">
        <v>33</v>
      </c>
      <c r="E993" s="22"/>
      <c r="F993" s="22"/>
      <c r="G993" s="24"/>
      <c r="H993" s="1"/>
      <c r="I993" s="1"/>
      <c r="J993" s="1"/>
    </row>
    <row r="994" spans="1:10" x14ac:dyDescent="0.75">
      <c r="A994" s="37" t="s">
        <v>528</v>
      </c>
      <c r="B994" s="37"/>
      <c r="C994" s="37"/>
      <c r="D994" s="37"/>
      <c r="E994" s="37"/>
      <c r="F994" s="37"/>
      <c r="G994" s="37"/>
      <c r="H994" s="37"/>
      <c r="I994" s="1"/>
      <c r="J994" s="1"/>
    </row>
    <row r="995" spans="1:10" x14ac:dyDescent="0.75">
      <c r="A995" s="55" t="s">
        <v>0</v>
      </c>
      <c r="B995" s="55"/>
      <c r="C995" s="55"/>
      <c r="D995" s="55"/>
      <c r="E995" s="55"/>
      <c r="F995" s="55"/>
      <c r="G995" s="55"/>
      <c r="H995" s="55"/>
      <c r="I995" s="1"/>
      <c r="J995" s="1"/>
    </row>
    <row r="996" spans="1:10" x14ac:dyDescent="0.75">
      <c r="A996" s="55" t="s">
        <v>1</v>
      </c>
      <c r="B996" s="55"/>
      <c r="C996" s="55"/>
      <c r="D996" s="55"/>
      <c r="E996" s="55"/>
      <c r="F996" s="55"/>
      <c r="G996" s="55"/>
      <c r="H996" s="55"/>
      <c r="I996" s="1"/>
      <c r="J996" s="1"/>
    </row>
    <row r="997" spans="1:10" x14ac:dyDescent="0.75">
      <c r="A997" s="38" t="s">
        <v>35</v>
      </c>
      <c r="B997" s="39"/>
      <c r="C997" s="39"/>
      <c r="D997" s="39"/>
      <c r="E997" s="39"/>
      <c r="F997" s="39"/>
      <c r="G997" s="40"/>
      <c r="H997" s="1"/>
      <c r="I997" s="1"/>
      <c r="J997" s="1"/>
    </row>
    <row r="998" spans="1:10" ht="21.5" x14ac:dyDescent="0.75">
      <c r="A998" s="2" t="s">
        <v>3</v>
      </c>
      <c r="B998" s="3" t="s">
        <v>4</v>
      </c>
      <c r="C998" s="4"/>
      <c r="D998" s="5" t="s">
        <v>5</v>
      </c>
      <c r="E998" s="3" t="s">
        <v>6</v>
      </c>
      <c r="F998" s="3" t="s">
        <v>7</v>
      </c>
      <c r="G998" s="6" t="s">
        <v>8</v>
      </c>
      <c r="H998" s="1"/>
      <c r="I998" s="1"/>
      <c r="J998" s="1"/>
    </row>
    <row r="999" spans="1:10" x14ac:dyDescent="0.75">
      <c r="A999" s="10">
        <v>43780</v>
      </c>
      <c r="B999" s="11"/>
      <c r="C999" s="56" t="s">
        <v>19</v>
      </c>
      <c r="D999" s="57"/>
      <c r="E999" s="11"/>
      <c r="F999" s="11"/>
      <c r="G999" s="12">
        <v>398520.47</v>
      </c>
      <c r="H999" s="1"/>
      <c r="I999" s="1"/>
      <c r="J999" s="1"/>
    </row>
    <row r="1000" spans="1:10" x14ac:dyDescent="0.75">
      <c r="A1000" s="13">
        <v>43781</v>
      </c>
      <c r="B1000" s="13">
        <v>43781</v>
      </c>
      <c r="C1000" s="58" t="s">
        <v>529</v>
      </c>
      <c r="D1000" s="59"/>
      <c r="E1000" s="15" t="s">
        <v>21</v>
      </c>
      <c r="F1000" s="14">
        <v>1782200.55</v>
      </c>
      <c r="G1000" s="14">
        <v>2180721.02</v>
      </c>
      <c r="H1000" s="1"/>
      <c r="I1000" s="1"/>
      <c r="J1000" s="1"/>
    </row>
    <row r="1001" spans="1:10" x14ac:dyDescent="0.75">
      <c r="A1001" s="16">
        <v>43781</v>
      </c>
      <c r="B1001" s="16">
        <v>43781</v>
      </c>
      <c r="C1001" s="53" t="s">
        <v>28</v>
      </c>
      <c r="D1001" s="54"/>
      <c r="E1001" s="18" t="s">
        <v>21</v>
      </c>
      <c r="F1001" s="17">
        <v>67124.100000000006</v>
      </c>
      <c r="G1001" s="17">
        <v>2247845.12</v>
      </c>
      <c r="H1001" s="1"/>
      <c r="I1001" s="1"/>
      <c r="J1001" s="1"/>
    </row>
    <row r="1002" spans="1:10" x14ac:dyDescent="0.75">
      <c r="A1002" s="16">
        <v>43781</v>
      </c>
      <c r="B1002" s="16">
        <v>43781</v>
      </c>
      <c r="C1002" s="53" t="s">
        <v>530</v>
      </c>
      <c r="D1002" s="54"/>
      <c r="E1002" s="19">
        <v>242.5</v>
      </c>
      <c r="F1002" s="18" t="s">
        <v>21</v>
      </c>
      <c r="G1002" s="17">
        <v>2247602.62</v>
      </c>
      <c r="H1002" s="1"/>
      <c r="I1002" s="1"/>
      <c r="J1002" s="1"/>
    </row>
    <row r="1003" spans="1:10" x14ac:dyDescent="0.75">
      <c r="A1003" s="16">
        <v>43781</v>
      </c>
      <c r="B1003" s="16">
        <v>43781</v>
      </c>
      <c r="C1003" s="53" t="s">
        <v>531</v>
      </c>
      <c r="D1003" s="54"/>
      <c r="E1003" s="19">
        <v>952.75</v>
      </c>
      <c r="F1003" s="18" t="s">
        <v>21</v>
      </c>
      <c r="G1003" s="17">
        <v>2246649.87</v>
      </c>
      <c r="H1003" s="1"/>
      <c r="I1003" s="1"/>
      <c r="J1003" s="1"/>
    </row>
    <row r="1004" spans="1:10" x14ac:dyDescent="0.75">
      <c r="A1004" s="16">
        <v>43781</v>
      </c>
      <c r="B1004" s="16">
        <v>43781</v>
      </c>
      <c r="C1004" s="53" t="s">
        <v>532</v>
      </c>
      <c r="D1004" s="54"/>
      <c r="E1004" s="17">
        <v>1910.65</v>
      </c>
      <c r="F1004" s="18" t="s">
        <v>21</v>
      </c>
      <c r="G1004" s="17">
        <v>2244739.2200000002</v>
      </c>
      <c r="H1004" s="1"/>
      <c r="I1004" s="1"/>
      <c r="J1004" s="1"/>
    </row>
    <row r="1005" spans="1:10" x14ac:dyDescent="0.75">
      <c r="A1005" s="16">
        <v>43781</v>
      </c>
      <c r="B1005" s="16">
        <v>43781</v>
      </c>
      <c r="C1005" s="53" t="s">
        <v>533</v>
      </c>
      <c r="D1005" s="54"/>
      <c r="E1005" s="17">
        <v>2619</v>
      </c>
      <c r="F1005" s="18" t="s">
        <v>21</v>
      </c>
      <c r="G1005" s="17">
        <v>2242120.2200000002</v>
      </c>
      <c r="H1005" s="1"/>
      <c r="I1005" s="1"/>
      <c r="J1005" s="1"/>
    </row>
    <row r="1006" spans="1:10" x14ac:dyDescent="0.75">
      <c r="A1006" s="16">
        <v>43781</v>
      </c>
      <c r="B1006" s="16">
        <v>43781</v>
      </c>
      <c r="C1006" s="53" t="s">
        <v>534</v>
      </c>
      <c r="D1006" s="54"/>
      <c r="E1006" s="17">
        <v>2910</v>
      </c>
      <c r="F1006" s="18" t="s">
        <v>21</v>
      </c>
      <c r="G1006" s="17">
        <v>2239210.2200000002</v>
      </c>
      <c r="H1006" s="1"/>
      <c r="I1006" s="1"/>
      <c r="J1006" s="1"/>
    </row>
    <row r="1007" spans="1:10" x14ac:dyDescent="0.75">
      <c r="A1007" s="16">
        <v>43781</v>
      </c>
      <c r="B1007" s="16">
        <v>43781</v>
      </c>
      <c r="C1007" s="53" t="s">
        <v>535</v>
      </c>
      <c r="D1007" s="54"/>
      <c r="E1007" s="17">
        <v>3607.5</v>
      </c>
      <c r="F1007" s="18" t="s">
        <v>21</v>
      </c>
      <c r="G1007" s="17">
        <v>2235602.7200000002</v>
      </c>
      <c r="H1007" s="1"/>
      <c r="I1007" s="1"/>
      <c r="J1007" s="1"/>
    </row>
    <row r="1008" spans="1:10" x14ac:dyDescent="0.75">
      <c r="A1008" s="16">
        <v>43781</v>
      </c>
      <c r="B1008" s="16">
        <v>43781</v>
      </c>
      <c r="C1008" s="53" t="s">
        <v>536</v>
      </c>
      <c r="D1008" s="54"/>
      <c r="E1008" s="17">
        <v>15592.51</v>
      </c>
      <c r="F1008" s="18" t="s">
        <v>21</v>
      </c>
      <c r="G1008" s="17">
        <v>2220010.21</v>
      </c>
      <c r="H1008" s="1"/>
      <c r="I1008" s="1"/>
      <c r="J1008" s="1"/>
    </row>
    <row r="1009" spans="1:10" x14ac:dyDescent="0.75">
      <c r="A1009" s="16">
        <v>43781</v>
      </c>
      <c r="B1009" s="16">
        <v>43781</v>
      </c>
      <c r="C1009" s="53" t="s">
        <v>537</v>
      </c>
      <c r="D1009" s="54"/>
      <c r="E1009" s="17">
        <v>1782200.55</v>
      </c>
      <c r="F1009" s="18" t="s">
        <v>21</v>
      </c>
      <c r="G1009" s="17">
        <v>437809.66</v>
      </c>
      <c r="H1009" s="1"/>
      <c r="I1009" s="1"/>
      <c r="J1009" s="1"/>
    </row>
    <row r="1010" spans="1:10" x14ac:dyDescent="0.75">
      <c r="A1010" s="16">
        <v>43781</v>
      </c>
      <c r="B1010" s="16">
        <v>43781</v>
      </c>
      <c r="C1010" s="53" t="s">
        <v>538</v>
      </c>
      <c r="D1010" s="54"/>
      <c r="E1010" s="17">
        <v>17161.75</v>
      </c>
      <c r="F1010" s="18" t="s">
        <v>21</v>
      </c>
      <c r="G1010" s="17">
        <v>420647.91</v>
      </c>
      <c r="H1010" s="1"/>
      <c r="I1010" s="1"/>
      <c r="J1010" s="1"/>
    </row>
    <row r="1011" spans="1:10" x14ac:dyDescent="0.75">
      <c r="A1011" s="16">
        <v>43782</v>
      </c>
      <c r="B1011" s="16">
        <v>43782</v>
      </c>
      <c r="C1011" s="53" t="s">
        <v>28</v>
      </c>
      <c r="D1011" s="54"/>
      <c r="E1011" s="18" t="s">
        <v>21</v>
      </c>
      <c r="F1011" s="17">
        <v>41786.26</v>
      </c>
      <c r="G1011" s="17">
        <v>462434.17</v>
      </c>
      <c r="H1011" s="1"/>
      <c r="I1011" s="1"/>
      <c r="J1011" s="1"/>
    </row>
    <row r="1012" spans="1:10" x14ac:dyDescent="0.75">
      <c r="A1012" s="20"/>
      <c r="B1012" s="20"/>
      <c r="C1012" s="8"/>
      <c r="D1012" s="9"/>
      <c r="E1012" s="20"/>
      <c r="F1012" s="20"/>
      <c r="G1012" s="20"/>
      <c r="H1012" s="1"/>
      <c r="I1012" s="1"/>
      <c r="J1012" s="1"/>
    </row>
    <row r="1013" spans="1:10" x14ac:dyDescent="0.75">
      <c r="A1013" s="34" t="s">
        <v>15</v>
      </c>
      <c r="B1013" s="35"/>
      <c r="C1013" s="35"/>
      <c r="D1013" s="35"/>
      <c r="E1013" s="35"/>
      <c r="F1013" s="35"/>
      <c r="G1013" s="36"/>
      <c r="H1013" s="1"/>
      <c r="I1013" s="1"/>
      <c r="J1013" s="1"/>
    </row>
    <row r="1014" spans="1:10" x14ac:dyDescent="0.75">
      <c r="A1014" s="21" t="s">
        <v>32</v>
      </c>
      <c r="B1014" s="22"/>
      <c r="C1014" s="22"/>
      <c r="D1014" s="23" t="s">
        <v>33</v>
      </c>
      <c r="E1014" s="22"/>
      <c r="F1014" s="22"/>
      <c r="G1014" s="24"/>
      <c r="H1014" s="1"/>
      <c r="I1014" s="1"/>
      <c r="J1014" s="1"/>
    </row>
    <row r="1015" spans="1:10" x14ac:dyDescent="0.75">
      <c r="A1015" s="37" t="s">
        <v>539</v>
      </c>
      <c r="B1015" s="37"/>
      <c r="C1015" s="37"/>
      <c r="D1015" s="37"/>
      <c r="E1015" s="37"/>
      <c r="F1015" s="37"/>
      <c r="G1015" s="37"/>
      <c r="H1015" s="37"/>
      <c r="I1015" s="1"/>
      <c r="J1015" s="1"/>
    </row>
    <row r="1016" spans="1:10" x14ac:dyDescent="0.75">
      <c r="A1016" s="55" t="s">
        <v>0</v>
      </c>
      <c r="B1016" s="55"/>
      <c r="C1016" s="55"/>
      <c r="D1016" s="55"/>
      <c r="E1016" s="55"/>
      <c r="F1016" s="55"/>
      <c r="G1016" s="55"/>
      <c r="H1016" s="55"/>
      <c r="I1016" s="1"/>
      <c r="J1016" s="1"/>
    </row>
    <row r="1017" spans="1:10" x14ac:dyDescent="0.75">
      <c r="A1017" s="55" t="s">
        <v>1</v>
      </c>
      <c r="B1017" s="55"/>
      <c r="C1017" s="55"/>
      <c r="D1017" s="55"/>
      <c r="E1017" s="55"/>
      <c r="F1017" s="55"/>
      <c r="G1017" s="55"/>
      <c r="H1017" s="55"/>
      <c r="I1017" s="1"/>
      <c r="J1017" s="1"/>
    </row>
    <row r="1018" spans="1:10" x14ac:dyDescent="0.75">
      <c r="A1018" s="38" t="s">
        <v>35</v>
      </c>
      <c r="B1018" s="39"/>
      <c r="C1018" s="39"/>
      <c r="D1018" s="39"/>
      <c r="E1018" s="39"/>
      <c r="F1018" s="39"/>
      <c r="G1018" s="40"/>
      <c r="H1018" s="1"/>
      <c r="I1018" s="1"/>
      <c r="J1018" s="1"/>
    </row>
    <row r="1019" spans="1:10" ht="21.5" x14ac:dyDescent="0.75">
      <c r="A1019" s="2" t="s">
        <v>3</v>
      </c>
      <c r="B1019" s="3" t="s">
        <v>4</v>
      </c>
      <c r="C1019" s="4"/>
      <c r="D1019" s="5" t="s">
        <v>5</v>
      </c>
      <c r="E1019" s="3" t="s">
        <v>6</v>
      </c>
      <c r="F1019" s="3" t="s">
        <v>7</v>
      </c>
      <c r="G1019" s="6" t="s">
        <v>8</v>
      </c>
      <c r="H1019" s="1"/>
      <c r="I1019" s="1"/>
      <c r="J1019" s="1"/>
    </row>
    <row r="1020" spans="1:10" x14ac:dyDescent="0.75">
      <c r="A1020" s="10">
        <v>43782</v>
      </c>
      <c r="B1020" s="11"/>
      <c r="C1020" s="56" t="s">
        <v>19</v>
      </c>
      <c r="D1020" s="57"/>
      <c r="E1020" s="11"/>
      <c r="F1020" s="11"/>
      <c r="G1020" s="12">
        <v>462434.17</v>
      </c>
      <c r="H1020" s="1"/>
      <c r="I1020" s="1"/>
      <c r="J1020" s="1"/>
    </row>
    <row r="1021" spans="1:10" x14ac:dyDescent="0.75">
      <c r="A1021" s="13">
        <v>43782</v>
      </c>
      <c r="B1021" s="13">
        <v>43782</v>
      </c>
      <c r="C1021" s="58" t="s">
        <v>540</v>
      </c>
      <c r="D1021" s="59"/>
      <c r="E1021" s="25">
        <v>314.5</v>
      </c>
      <c r="F1021" s="15" t="s">
        <v>21</v>
      </c>
      <c r="G1021" s="14">
        <v>462119.67</v>
      </c>
      <c r="H1021" s="1"/>
      <c r="I1021" s="1"/>
      <c r="J1021" s="1"/>
    </row>
    <row r="1022" spans="1:10" x14ac:dyDescent="0.75">
      <c r="A1022" s="16">
        <v>43782</v>
      </c>
      <c r="B1022" s="16">
        <v>43782</v>
      </c>
      <c r="C1022" s="53" t="s">
        <v>541</v>
      </c>
      <c r="D1022" s="54"/>
      <c r="E1022" s="17">
        <v>60338.17</v>
      </c>
      <c r="F1022" s="18" t="s">
        <v>21</v>
      </c>
      <c r="G1022" s="17">
        <v>401781.5</v>
      </c>
      <c r="H1022" s="1"/>
      <c r="I1022" s="1"/>
      <c r="J1022" s="1"/>
    </row>
    <row r="1023" spans="1:10" x14ac:dyDescent="0.75">
      <c r="A1023" s="16">
        <v>43783</v>
      </c>
      <c r="B1023" s="16">
        <v>43783</v>
      </c>
      <c r="C1023" s="53" t="s">
        <v>542</v>
      </c>
      <c r="D1023" s="54"/>
      <c r="E1023" s="17">
        <v>1799.12</v>
      </c>
      <c r="F1023" s="18" t="s">
        <v>21</v>
      </c>
      <c r="G1023" s="17">
        <v>399982.38</v>
      </c>
      <c r="H1023" s="1"/>
      <c r="I1023" s="1"/>
      <c r="J1023" s="1"/>
    </row>
    <row r="1024" spans="1:10" x14ac:dyDescent="0.75">
      <c r="A1024" s="16">
        <v>43783</v>
      </c>
      <c r="B1024" s="16">
        <v>43783</v>
      </c>
      <c r="C1024" s="53" t="s">
        <v>543</v>
      </c>
      <c r="D1024" s="54"/>
      <c r="E1024" s="17">
        <v>2209.41</v>
      </c>
      <c r="F1024" s="18" t="s">
        <v>21</v>
      </c>
      <c r="G1024" s="17">
        <v>397772.97</v>
      </c>
      <c r="H1024" s="1"/>
      <c r="I1024" s="1"/>
      <c r="J1024" s="1"/>
    </row>
    <row r="1025" spans="1:10" x14ac:dyDescent="0.75">
      <c r="A1025" s="16">
        <v>43783</v>
      </c>
      <c r="B1025" s="16">
        <v>43783</v>
      </c>
      <c r="C1025" s="53" t="s">
        <v>544</v>
      </c>
      <c r="D1025" s="54"/>
      <c r="E1025" s="17">
        <v>4218</v>
      </c>
      <c r="F1025" s="18" t="s">
        <v>21</v>
      </c>
      <c r="G1025" s="17">
        <v>393554.97</v>
      </c>
      <c r="H1025" s="1"/>
      <c r="I1025" s="1"/>
      <c r="J1025" s="1"/>
    </row>
    <row r="1026" spans="1:10" x14ac:dyDescent="0.75">
      <c r="A1026" s="16">
        <v>43783</v>
      </c>
      <c r="B1026" s="16">
        <v>43783</v>
      </c>
      <c r="C1026" s="53" t="s">
        <v>545</v>
      </c>
      <c r="D1026" s="54"/>
      <c r="E1026" s="17">
        <v>4268</v>
      </c>
      <c r="F1026" s="18" t="s">
        <v>21</v>
      </c>
      <c r="G1026" s="17">
        <v>389286.97</v>
      </c>
      <c r="H1026" s="1"/>
      <c r="I1026" s="1"/>
      <c r="J1026" s="1"/>
    </row>
    <row r="1027" spans="1:10" x14ac:dyDescent="0.75">
      <c r="A1027" s="16">
        <v>43784</v>
      </c>
      <c r="B1027" s="16">
        <v>43784</v>
      </c>
      <c r="C1027" s="53" t="s">
        <v>28</v>
      </c>
      <c r="D1027" s="54"/>
      <c r="E1027" s="18" t="s">
        <v>21</v>
      </c>
      <c r="F1027" s="17">
        <v>57741.06</v>
      </c>
      <c r="G1027" s="17">
        <v>447028.03</v>
      </c>
      <c r="H1027" s="1"/>
      <c r="I1027" s="1"/>
      <c r="J1027" s="1"/>
    </row>
    <row r="1028" spans="1:10" x14ac:dyDescent="0.75">
      <c r="A1028" s="16">
        <v>43784</v>
      </c>
      <c r="B1028" s="16">
        <v>43784</v>
      </c>
      <c r="C1028" s="53" t="s">
        <v>546</v>
      </c>
      <c r="D1028" s="54"/>
      <c r="E1028" s="17">
        <v>1633.85</v>
      </c>
      <c r="F1028" s="18" t="s">
        <v>21</v>
      </c>
      <c r="G1028" s="17">
        <v>445394.18</v>
      </c>
      <c r="H1028" s="1"/>
      <c r="I1028" s="1"/>
      <c r="J1028" s="1"/>
    </row>
    <row r="1029" spans="1:10" x14ac:dyDescent="0.75">
      <c r="A1029" s="16">
        <v>43784</v>
      </c>
      <c r="B1029" s="16">
        <v>43784</v>
      </c>
      <c r="C1029" s="53" t="s">
        <v>547</v>
      </c>
      <c r="D1029" s="54"/>
      <c r="E1029" s="17">
        <v>8923.7199999999993</v>
      </c>
      <c r="F1029" s="18" t="s">
        <v>21</v>
      </c>
      <c r="G1029" s="17">
        <v>436470.46</v>
      </c>
      <c r="H1029" s="1"/>
      <c r="I1029" s="1"/>
      <c r="J1029" s="1"/>
    </row>
    <row r="1030" spans="1:10" x14ac:dyDescent="0.75">
      <c r="A1030" s="16">
        <v>43784</v>
      </c>
      <c r="B1030" s="16">
        <v>43784</v>
      </c>
      <c r="C1030" s="53" t="s">
        <v>548</v>
      </c>
      <c r="D1030" s="54"/>
      <c r="E1030" s="17">
        <v>4935.01</v>
      </c>
      <c r="F1030" s="18" t="s">
        <v>21</v>
      </c>
      <c r="G1030" s="17">
        <v>431535.45</v>
      </c>
      <c r="H1030" s="1"/>
      <c r="I1030" s="1"/>
      <c r="J1030" s="1"/>
    </row>
    <row r="1031" spans="1:10" x14ac:dyDescent="0.75">
      <c r="A1031" s="16">
        <v>43784</v>
      </c>
      <c r="B1031" s="16">
        <v>43784</v>
      </c>
      <c r="C1031" s="53" t="s">
        <v>549</v>
      </c>
      <c r="D1031" s="54"/>
      <c r="E1031" s="17">
        <v>9408.99</v>
      </c>
      <c r="F1031" s="18" t="s">
        <v>21</v>
      </c>
      <c r="G1031" s="17">
        <v>422126.46</v>
      </c>
      <c r="H1031" s="1"/>
      <c r="I1031" s="1"/>
      <c r="J1031" s="1"/>
    </row>
    <row r="1032" spans="1:10" x14ac:dyDescent="0.75">
      <c r="A1032" s="16">
        <v>43784</v>
      </c>
      <c r="B1032" s="16">
        <v>43784</v>
      </c>
      <c r="C1032" s="53" t="s">
        <v>550</v>
      </c>
      <c r="D1032" s="54"/>
      <c r="E1032" s="17">
        <v>15870.34</v>
      </c>
      <c r="F1032" s="18" t="s">
        <v>21</v>
      </c>
      <c r="G1032" s="17">
        <v>406256.12</v>
      </c>
      <c r="H1032" s="1"/>
      <c r="I1032" s="1"/>
      <c r="J1032" s="1"/>
    </row>
    <row r="1033" spans="1:10" x14ac:dyDescent="0.75">
      <c r="A1033" s="20"/>
      <c r="B1033" s="20"/>
      <c r="C1033" s="8"/>
      <c r="D1033" s="9"/>
      <c r="E1033" s="20"/>
      <c r="F1033" s="20"/>
      <c r="G1033" s="20"/>
      <c r="H1033" s="1"/>
      <c r="I1033" s="1"/>
      <c r="J1033" s="1"/>
    </row>
    <row r="1034" spans="1:10" x14ac:dyDescent="0.75">
      <c r="A1034" s="34" t="s">
        <v>15</v>
      </c>
      <c r="B1034" s="35"/>
      <c r="C1034" s="35"/>
      <c r="D1034" s="35"/>
      <c r="E1034" s="35"/>
      <c r="F1034" s="35"/>
      <c r="G1034" s="36"/>
      <c r="H1034" s="1"/>
      <c r="I1034" s="1"/>
      <c r="J1034" s="1"/>
    </row>
    <row r="1035" spans="1:10" x14ac:dyDescent="0.75">
      <c r="A1035" s="21" t="s">
        <v>32</v>
      </c>
      <c r="B1035" s="22"/>
      <c r="C1035" s="22"/>
      <c r="D1035" s="23" t="s">
        <v>33</v>
      </c>
      <c r="E1035" s="22"/>
      <c r="F1035" s="22"/>
      <c r="G1035" s="24"/>
      <c r="H1035" s="1"/>
      <c r="I1035" s="1"/>
      <c r="J1035" s="1"/>
    </row>
    <row r="1036" spans="1:10" x14ac:dyDescent="0.75">
      <c r="A1036" s="37" t="s">
        <v>551</v>
      </c>
      <c r="B1036" s="37"/>
      <c r="C1036" s="37"/>
      <c r="D1036" s="37"/>
      <c r="E1036" s="37"/>
      <c r="F1036" s="37"/>
      <c r="G1036" s="37"/>
      <c r="H1036" s="37"/>
      <c r="I1036" s="1"/>
      <c r="J1036" s="1"/>
    </row>
    <row r="1037" spans="1:10" x14ac:dyDescent="0.75">
      <c r="A1037" s="55" t="s">
        <v>0</v>
      </c>
      <c r="B1037" s="55"/>
      <c r="C1037" s="55"/>
      <c r="D1037" s="55"/>
      <c r="E1037" s="55"/>
      <c r="F1037" s="55"/>
      <c r="G1037" s="55"/>
      <c r="H1037" s="55"/>
      <c r="I1037" s="1"/>
      <c r="J1037" s="1"/>
    </row>
    <row r="1038" spans="1:10" x14ac:dyDescent="0.75">
      <c r="A1038" s="55" t="s">
        <v>1</v>
      </c>
      <c r="B1038" s="55"/>
      <c r="C1038" s="55"/>
      <c r="D1038" s="55"/>
      <c r="E1038" s="55"/>
      <c r="F1038" s="55"/>
      <c r="G1038" s="55"/>
      <c r="H1038" s="55"/>
      <c r="I1038" s="1"/>
      <c r="J1038" s="1"/>
    </row>
    <row r="1039" spans="1:10" x14ac:dyDescent="0.75">
      <c r="A1039" s="38" t="s">
        <v>35</v>
      </c>
      <c r="B1039" s="39"/>
      <c r="C1039" s="39"/>
      <c r="D1039" s="39"/>
      <c r="E1039" s="39"/>
      <c r="F1039" s="39"/>
      <c r="G1039" s="40"/>
      <c r="H1039" s="1"/>
      <c r="I1039" s="1"/>
      <c r="J1039" s="1"/>
    </row>
    <row r="1040" spans="1:10" ht="21.5" x14ac:dyDescent="0.75">
      <c r="A1040" s="2" t="s">
        <v>3</v>
      </c>
      <c r="B1040" s="3" t="s">
        <v>4</v>
      </c>
      <c r="C1040" s="4"/>
      <c r="D1040" s="5" t="s">
        <v>5</v>
      </c>
      <c r="E1040" s="3" t="s">
        <v>6</v>
      </c>
      <c r="F1040" s="3" t="s">
        <v>7</v>
      </c>
      <c r="G1040" s="6" t="s">
        <v>8</v>
      </c>
      <c r="H1040" s="1"/>
      <c r="I1040" s="1"/>
      <c r="J1040" s="1"/>
    </row>
    <row r="1041" spans="1:10" x14ac:dyDescent="0.75">
      <c r="A1041" s="10">
        <v>43784</v>
      </c>
      <c r="B1041" s="11"/>
      <c r="C1041" s="56" t="s">
        <v>19</v>
      </c>
      <c r="D1041" s="57"/>
      <c r="E1041" s="11"/>
      <c r="F1041" s="11"/>
      <c r="G1041" s="12">
        <v>406256.12</v>
      </c>
      <c r="H1041" s="1"/>
      <c r="I1041" s="1"/>
      <c r="J1041" s="1"/>
    </row>
    <row r="1042" spans="1:10" x14ac:dyDescent="0.75">
      <c r="A1042" s="13">
        <v>43787</v>
      </c>
      <c r="B1042" s="13">
        <v>43787</v>
      </c>
      <c r="C1042" s="58" t="s">
        <v>28</v>
      </c>
      <c r="D1042" s="59"/>
      <c r="E1042" s="15" t="s">
        <v>21</v>
      </c>
      <c r="F1042" s="14">
        <v>247692.33</v>
      </c>
      <c r="G1042" s="14">
        <v>653948.44999999995</v>
      </c>
      <c r="H1042" s="1"/>
      <c r="I1042" s="1"/>
      <c r="J1042" s="1"/>
    </row>
    <row r="1043" spans="1:10" x14ac:dyDescent="0.75">
      <c r="A1043" s="16">
        <v>43787</v>
      </c>
      <c r="B1043" s="16">
        <v>43787</v>
      </c>
      <c r="C1043" s="53" t="s">
        <v>552</v>
      </c>
      <c r="D1043" s="54"/>
      <c r="E1043" s="19">
        <v>1</v>
      </c>
      <c r="F1043" s="18" t="s">
        <v>21</v>
      </c>
      <c r="G1043" s="17">
        <v>653947.44999999995</v>
      </c>
      <c r="H1043" s="1"/>
      <c r="I1043" s="1"/>
      <c r="J1043" s="1"/>
    </row>
    <row r="1044" spans="1:10" x14ac:dyDescent="0.75">
      <c r="A1044" s="16">
        <v>43787</v>
      </c>
      <c r="B1044" s="16">
        <v>43787</v>
      </c>
      <c r="C1044" s="53" t="s">
        <v>553</v>
      </c>
      <c r="D1044" s="54"/>
      <c r="E1044" s="19">
        <v>314.5</v>
      </c>
      <c r="F1044" s="18" t="s">
        <v>21</v>
      </c>
      <c r="G1044" s="17">
        <v>653632.94999999995</v>
      </c>
      <c r="H1044" s="1"/>
      <c r="I1044" s="1"/>
      <c r="J1044" s="1"/>
    </row>
    <row r="1045" spans="1:10" x14ac:dyDescent="0.75">
      <c r="A1045" s="16">
        <v>43787</v>
      </c>
      <c r="B1045" s="16">
        <v>43787</v>
      </c>
      <c r="C1045" s="53" t="s">
        <v>554</v>
      </c>
      <c r="D1045" s="54"/>
      <c r="E1045" s="19">
        <v>950.6</v>
      </c>
      <c r="F1045" s="18" t="s">
        <v>21</v>
      </c>
      <c r="G1045" s="17">
        <v>652682.35</v>
      </c>
      <c r="H1045" s="1"/>
      <c r="I1045" s="1"/>
      <c r="J1045" s="1"/>
    </row>
    <row r="1046" spans="1:10" x14ac:dyDescent="0.75">
      <c r="A1046" s="16">
        <v>43787</v>
      </c>
      <c r="B1046" s="16">
        <v>43787</v>
      </c>
      <c r="C1046" s="53" t="s">
        <v>555</v>
      </c>
      <c r="D1046" s="54"/>
      <c r="E1046" s="17">
        <v>1800</v>
      </c>
      <c r="F1046" s="18" t="s">
        <v>21</v>
      </c>
      <c r="G1046" s="17">
        <v>650882.35</v>
      </c>
      <c r="H1046" s="1"/>
      <c r="I1046" s="1"/>
      <c r="J1046" s="1"/>
    </row>
    <row r="1047" spans="1:10" x14ac:dyDescent="0.75">
      <c r="A1047" s="16">
        <v>43787</v>
      </c>
      <c r="B1047" s="16">
        <v>43787</v>
      </c>
      <c r="C1047" s="53" t="s">
        <v>556</v>
      </c>
      <c r="D1047" s="54"/>
      <c r="E1047" s="17">
        <v>2078.13</v>
      </c>
      <c r="F1047" s="18" t="s">
        <v>21</v>
      </c>
      <c r="G1047" s="17">
        <v>648804.22</v>
      </c>
      <c r="H1047" s="1"/>
      <c r="I1047" s="1"/>
      <c r="J1047" s="1"/>
    </row>
    <row r="1048" spans="1:10" x14ac:dyDescent="0.75">
      <c r="A1048" s="16">
        <v>43787</v>
      </c>
      <c r="B1048" s="16">
        <v>43787</v>
      </c>
      <c r="C1048" s="53" t="s">
        <v>557</v>
      </c>
      <c r="D1048" s="54"/>
      <c r="E1048" s="17">
        <v>4311.57</v>
      </c>
      <c r="F1048" s="18" t="s">
        <v>21</v>
      </c>
      <c r="G1048" s="17">
        <v>644492.65</v>
      </c>
      <c r="H1048" s="1"/>
      <c r="I1048" s="1"/>
      <c r="J1048" s="1"/>
    </row>
    <row r="1049" spans="1:10" x14ac:dyDescent="0.75">
      <c r="A1049" s="16">
        <v>43787</v>
      </c>
      <c r="B1049" s="16">
        <v>43787</v>
      </c>
      <c r="C1049" s="53" t="s">
        <v>558</v>
      </c>
      <c r="D1049" s="54"/>
      <c r="E1049" s="17">
        <v>10233.5</v>
      </c>
      <c r="F1049" s="18" t="s">
        <v>21</v>
      </c>
      <c r="G1049" s="17">
        <v>634259.15</v>
      </c>
      <c r="H1049" s="1"/>
      <c r="I1049" s="1"/>
      <c r="J1049" s="1"/>
    </row>
    <row r="1050" spans="1:10" x14ac:dyDescent="0.75">
      <c r="A1050" s="16">
        <v>43787</v>
      </c>
      <c r="B1050" s="16">
        <v>43787</v>
      </c>
      <c r="C1050" s="53" t="s">
        <v>559</v>
      </c>
      <c r="D1050" s="54"/>
      <c r="E1050" s="17">
        <v>15128.61</v>
      </c>
      <c r="F1050" s="18" t="s">
        <v>21</v>
      </c>
      <c r="G1050" s="17">
        <v>619130.54</v>
      </c>
      <c r="H1050" s="1"/>
      <c r="I1050" s="1"/>
      <c r="J1050" s="1"/>
    </row>
    <row r="1051" spans="1:10" x14ac:dyDescent="0.75">
      <c r="A1051" s="16">
        <v>43787</v>
      </c>
      <c r="B1051" s="16">
        <v>43787</v>
      </c>
      <c r="C1051" s="53" t="s">
        <v>560</v>
      </c>
      <c r="D1051" s="54"/>
      <c r="E1051" s="17">
        <v>18076.240000000002</v>
      </c>
      <c r="F1051" s="18" t="s">
        <v>21</v>
      </c>
      <c r="G1051" s="17">
        <v>601054.30000000005</v>
      </c>
      <c r="H1051" s="1"/>
      <c r="I1051" s="1"/>
      <c r="J1051" s="1"/>
    </row>
    <row r="1052" spans="1:10" x14ac:dyDescent="0.75">
      <c r="A1052" s="16">
        <v>43787</v>
      </c>
      <c r="B1052" s="16">
        <v>43787</v>
      </c>
      <c r="C1052" s="53" t="s">
        <v>561</v>
      </c>
      <c r="D1052" s="54"/>
      <c r="E1052" s="17">
        <v>21394.94</v>
      </c>
      <c r="F1052" s="18" t="s">
        <v>21</v>
      </c>
      <c r="G1052" s="17">
        <v>579659.36</v>
      </c>
      <c r="H1052" s="1"/>
      <c r="I1052" s="1"/>
      <c r="J1052" s="1"/>
    </row>
    <row r="1053" spans="1:10" x14ac:dyDescent="0.75">
      <c r="A1053" s="16">
        <v>43787</v>
      </c>
      <c r="B1053" s="16">
        <v>43787</v>
      </c>
      <c r="C1053" s="53" t="s">
        <v>562</v>
      </c>
      <c r="D1053" s="54"/>
      <c r="E1053" s="17">
        <v>37737.15</v>
      </c>
      <c r="F1053" s="18" t="s">
        <v>21</v>
      </c>
      <c r="G1053" s="17">
        <v>541922.21</v>
      </c>
      <c r="H1053" s="1"/>
      <c r="I1053" s="1"/>
      <c r="J1053" s="1"/>
    </row>
    <row r="1054" spans="1:10" x14ac:dyDescent="0.75">
      <c r="A1054" s="20"/>
      <c r="B1054" s="20"/>
      <c r="C1054" s="8"/>
      <c r="D1054" s="9"/>
      <c r="E1054" s="20"/>
      <c r="F1054" s="20"/>
      <c r="G1054" s="20"/>
      <c r="H1054" s="1"/>
      <c r="I1054" s="1"/>
      <c r="J1054" s="1"/>
    </row>
    <row r="1055" spans="1:10" x14ac:dyDescent="0.75">
      <c r="A1055" s="34" t="s">
        <v>15</v>
      </c>
      <c r="B1055" s="35"/>
      <c r="C1055" s="35"/>
      <c r="D1055" s="35"/>
      <c r="E1055" s="35"/>
      <c r="F1055" s="35"/>
      <c r="G1055" s="36"/>
      <c r="H1055" s="1"/>
      <c r="I1055" s="1"/>
      <c r="J1055" s="1"/>
    </row>
    <row r="1056" spans="1:10" x14ac:dyDescent="0.75">
      <c r="A1056" s="21" t="s">
        <v>32</v>
      </c>
      <c r="B1056" s="22"/>
      <c r="C1056" s="22"/>
      <c r="D1056" s="23" t="s">
        <v>33</v>
      </c>
      <c r="E1056" s="22"/>
      <c r="F1056" s="22"/>
      <c r="G1056" s="24"/>
      <c r="H1056" s="1"/>
      <c r="I1056" s="1"/>
      <c r="J1056" s="1"/>
    </row>
    <row r="1057" spans="1:10" x14ac:dyDescent="0.75">
      <c r="A1057" s="37" t="s">
        <v>563</v>
      </c>
      <c r="B1057" s="37"/>
      <c r="C1057" s="37"/>
      <c r="D1057" s="37"/>
      <c r="E1057" s="37"/>
      <c r="F1057" s="37"/>
      <c r="G1057" s="37"/>
      <c r="H1057" s="37"/>
      <c r="I1057" s="1"/>
      <c r="J1057" s="1"/>
    </row>
    <row r="1058" spans="1:10" x14ac:dyDescent="0.75">
      <c r="A1058" s="55" t="s">
        <v>0</v>
      </c>
      <c r="B1058" s="55"/>
      <c r="C1058" s="55"/>
      <c r="D1058" s="55"/>
      <c r="E1058" s="55"/>
      <c r="F1058" s="55"/>
      <c r="G1058" s="55"/>
      <c r="H1058" s="55"/>
      <c r="I1058" s="1"/>
      <c r="J1058" s="1"/>
    </row>
    <row r="1059" spans="1:10" x14ac:dyDescent="0.75">
      <c r="A1059" s="55" t="s">
        <v>1</v>
      </c>
      <c r="B1059" s="55"/>
      <c r="C1059" s="55"/>
      <c r="D1059" s="55"/>
      <c r="E1059" s="55"/>
      <c r="F1059" s="55"/>
      <c r="G1059" s="55"/>
      <c r="H1059" s="55"/>
      <c r="I1059" s="1"/>
      <c r="J1059" s="1"/>
    </row>
    <row r="1060" spans="1:10" x14ac:dyDescent="0.75">
      <c r="A1060" s="38" t="s">
        <v>35</v>
      </c>
      <c r="B1060" s="39"/>
      <c r="C1060" s="39"/>
      <c r="D1060" s="39"/>
      <c r="E1060" s="39"/>
      <c r="F1060" s="39"/>
      <c r="G1060" s="40"/>
      <c r="H1060" s="1"/>
      <c r="I1060" s="1"/>
      <c r="J1060" s="1"/>
    </row>
    <row r="1061" spans="1:10" ht="21.5" x14ac:dyDescent="0.75">
      <c r="A1061" s="2" t="s">
        <v>3</v>
      </c>
      <c r="B1061" s="3" t="s">
        <v>4</v>
      </c>
      <c r="C1061" s="4"/>
      <c r="D1061" s="5" t="s">
        <v>5</v>
      </c>
      <c r="E1061" s="3" t="s">
        <v>6</v>
      </c>
      <c r="F1061" s="3" t="s">
        <v>7</v>
      </c>
      <c r="G1061" s="6" t="s">
        <v>8</v>
      </c>
      <c r="H1061" s="1"/>
      <c r="I1061" s="1"/>
      <c r="J1061" s="1"/>
    </row>
    <row r="1062" spans="1:10" x14ac:dyDescent="0.75">
      <c r="A1062" s="10">
        <v>43787</v>
      </c>
      <c r="B1062" s="11"/>
      <c r="C1062" s="56" t="s">
        <v>19</v>
      </c>
      <c r="D1062" s="57"/>
      <c r="E1062" s="11"/>
      <c r="F1062" s="11"/>
      <c r="G1062" s="12">
        <v>541922.21</v>
      </c>
      <c r="H1062" s="1"/>
      <c r="I1062" s="1"/>
      <c r="J1062" s="1"/>
    </row>
    <row r="1063" spans="1:10" x14ac:dyDescent="0.75">
      <c r="A1063" s="13">
        <v>43788</v>
      </c>
      <c r="B1063" s="13">
        <v>43788</v>
      </c>
      <c r="C1063" s="58" t="s">
        <v>564</v>
      </c>
      <c r="D1063" s="59"/>
      <c r="E1063" s="15" t="s">
        <v>21</v>
      </c>
      <c r="F1063" s="25">
        <v>100.09</v>
      </c>
      <c r="G1063" s="14">
        <v>542022.30000000005</v>
      </c>
      <c r="H1063" s="1"/>
      <c r="I1063" s="1"/>
      <c r="J1063" s="1"/>
    </row>
    <row r="1064" spans="1:10" x14ac:dyDescent="0.75">
      <c r="A1064" s="16">
        <v>43788</v>
      </c>
      <c r="B1064" s="16">
        <v>43788</v>
      </c>
      <c r="C1064" s="53" t="s">
        <v>497</v>
      </c>
      <c r="D1064" s="54"/>
      <c r="E1064" s="18" t="s">
        <v>21</v>
      </c>
      <c r="F1064" s="17">
        <v>36139.99</v>
      </c>
      <c r="G1064" s="17">
        <v>578162.29</v>
      </c>
      <c r="H1064" s="1"/>
      <c r="I1064" s="1"/>
      <c r="J1064" s="1"/>
    </row>
    <row r="1065" spans="1:10" x14ac:dyDescent="0.75">
      <c r="A1065" s="16">
        <v>43788</v>
      </c>
      <c r="B1065" s="16">
        <v>43788</v>
      </c>
      <c r="C1065" s="53" t="s">
        <v>28</v>
      </c>
      <c r="D1065" s="54"/>
      <c r="E1065" s="18" t="s">
        <v>21</v>
      </c>
      <c r="F1065" s="17">
        <v>70832.5</v>
      </c>
      <c r="G1065" s="17">
        <v>648994.79</v>
      </c>
      <c r="H1065" s="1"/>
      <c r="I1065" s="1"/>
      <c r="J1065" s="1"/>
    </row>
    <row r="1066" spans="1:10" x14ac:dyDescent="0.75">
      <c r="A1066" s="16">
        <v>43788</v>
      </c>
      <c r="B1066" s="16">
        <v>43788</v>
      </c>
      <c r="C1066" s="53" t="s">
        <v>565</v>
      </c>
      <c r="D1066" s="54"/>
      <c r="E1066" s="19">
        <v>100.09</v>
      </c>
      <c r="F1066" s="18" t="s">
        <v>21</v>
      </c>
      <c r="G1066" s="17">
        <v>648894.69999999995</v>
      </c>
      <c r="H1066" s="1"/>
      <c r="I1066" s="1"/>
      <c r="J1066" s="1"/>
    </row>
    <row r="1067" spans="1:10" x14ac:dyDescent="0.75">
      <c r="A1067" s="16">
        <v>43788</v>
      </c>
      <c r="B1067" s="16">
        <v>43788</v>
      </c>
      <c r="C1067" s="53" t="s">
        <v>566</v>
      </c>
      <c r="D1067" s="54"/>
      <c r="E1067" s="19">
        <v>699.03</v>
      </c>
      <c r="F1067" s="18" t="s">
        <v>21</v>
      </c>
      <c r="G1067" s="17">
        <v>648195.67000000004</v>
      </c>
      <c r="H1067" s="1"/>
      <c r="I1067" s="1"/>
      <c r="J1067" s="1"/>
    </row>
    <row r="1068" spans="1:10" x14ac:dyDescent="0.75">
      <c r="A1068" s="16">
        <v>43788</v>
      </c>
      <c r="B1068" s="16">
        <v>43788</v>
      </c>
      <c r="C1068" s="53" t="s">
        <v>567</v>
      </c>
      <c r="D1068" s="54"/>
      <c r="E1068" s="17">
        <v>1322.21</v>
      </c>
      <c r="F1068" s="18" t="s">
        <v>21</v>
      </c>
      <c r="G1068" s="17">
        <v>646873.46</v>
      </c>
      <c r="H1068" s="1"/>
      <c r="I1068" s="1"/>
      <c r="J1068" s="1"/>
    </row>
    <row r="1069" spans="1:10" x14ac:dyDescent="0.75">
      <c r="A1069" s="16">
        <v>43788</v>
      </c>
      <c r="B1069" s="16">
        <v>43788</v>
      </c>
      <c r="C1069" s="53" t="s">
        <v>568</v>
      </c>
      <c r="D1069" s="54"/>
      <c r="E1069" s="17">
        <v>1570</v>
      </c>
      <c r="F1069" s="18" t="s">
        <v>21</v>
      </c>
      <c r="G1069" s="17">
        <v>645303.46</v>
      </c>
      <c r="H1069" s="1"/>
      <c r="I1069" s="1"/>
      <c r="J1069" s="1"/>
    </row>
    <row r="1070" spans="1:10" x14ac:dyDescent="0.75">
      <c r="A1070" s="16">
        <v>43788</v>
      </c>
      <c r="B1070" s="16">
        <v>43788</v>
      </c>
      <c r="C1070" s="53" t="s">
        <v>569</v>
      </c>
      <c r="D1070" s="54"/>
      <c r="E1070" s="17">
        <v>5746.28</v>
      </c>
      <c r="F1070" s="18" t="s">
        <v>21</v>
      </c>
      <c r="G1070" s="17">
        <v>639557.18000000005</v>
      </c>
      <c r="H1070" s="1"/>
      <c r="I1070" s="1"/>
      <c r="J1070" s="1"/>
    </row>
    <row r="1071" spans="1:10" x14ac:dyDescent="0.75">
      <c r="A1071" s="16">
        <v>43788</v>
      </c>
      <c r="B1071" s="16">
        <v>43788</v>
      </c>
      <c r="C1071" s="53" t="s">
        <v>570</v>
      </c>
      <c r="D1071" s="54"/>
      <c r="E1071" s="17">
        <v>17698.62</v>
      </c>
      <c r="F1071" s="18" t="s">
        <v>21</v>
      </c>
      <c r="G1071" s="17">
        <v>621858.56000000006</v>
      </c>
      <c r="H1071" s="1"/>
      <c r="I1071" s="1"/>
      <c r="J1071" s="1"/>
    </row>
    <row r="1072" spans="1:10" x14ac:dyDescent="0.75">
      <c r="A1072" s="16">
        <v>43788</v>
      </c>
      <c r="B1072" s="16">
        <v>43788</v>
      </c>
      <c r="C1072" s="53" t="s">
        <v>571</v>
      </c>
      <c r="D1072" s="54"/>
      <c r="E1072" s="17">
        <v>18025.88</v>
      </c>
      <c r="F1072" s="18" t="s">
        <v>21</v>
      </c>
      <c r="G1072" s="17">
        <v>603832.68000000005</v>
      </c>
      <c r="H1072" s="1"/>
      <c r="I1072" s="1"/>
      <c r="J1072" s="1"/>
    </row>
    <row r="1073" spans="1:10" x14ac:dyDescent="0.75">
      <c r="A1073" s="16">
        <v>43788</v>
      </c>
      <c r="B1073" s="16">
        <v>43788</v>
      </c>
      <c r="C1073" s="53" t="s">
        <v>572</v>
      </c>
      <c r="D1073" s="54"/>
      <c r="E1073" s="17">
        <v>31135.24</v>
      </c>
      <c r="F1073" s="18" t="s">
        <v>21</v>
      </c>
      <c r="G1073" s="17">
        <v>572697.43999999994</v>
      </c>
      <c r="H1073" s="1"/>
      <c r="I1073" s="1"/>
      <c r="J1073" s="1"/>
    </row>
    <row r="1074" spans="1:10" x14ac:dyDescent="0.75">
      <c r="A1074" s="16">
        <v>43788</v>
      </c>
      <c r="B1074" s="16">
        <v>43788</v>
      </c>
      <c r="C1074" s="53" t="s">
        <v>573</v>
      </c>
      <c r="D1074" s="54"/>
      <c r="E1074" s="19">
        <v>12</v>
      </c>
      <c r="F1074" s="18" t="s">
        <v>21</v>
      </c>
      <c r="G1074" s="17">
        <v>572685.43999999994</v>
      </c>
      <c r="H1074" s="1"/>
      <c r="I1074" s="1"/>
      <c r="J1074" s="1"/>
    </row>
    <row r="1075" spans="1:10" x14ac:dyDescent="0.75">
      <c r="A1075" s="20"/>
      <c r="B1075" s="20"/>
      <c r="C1075" s="8"/>
      <c r="D1075" s="9"/>
      <c r="E1075" s="20"/>
      <c r="F1075" s="20"/>
      <c r="G1075" s="20"/>
      <c r="H1075" s="1"/>
      <c r="I1075" s="1"/>
      <c r="J1075" s="1"/>
    </row>
    <row r="1076" spans="1:10" x14ac:dyDescent="0.75">
      <c r="A1076" s="34" t="s">
        <v>15</v>
      </c>
      <c r="B1076" s="35"/>
      <c r="C1076" s="35"/>
      <c r="D1076" s="35"/>
      <c r="E1076" s="35"/>
      <c r="F1076" s="35"/>
      <c r="G1076" s="36"/>
      <c r="H1076" s="1"/>
      <c r="I1076" s="1"/>
      <c r="J1076" s="1"/>
    </row>
    <row r="1077" spans="1:10" x14ac:dyDescent="0.75">
      <c r="A1077" s="21" t="s">
        <v>32</v>
      </c>
      <c r="B1077" s="22"/>
      <c r="C1077" s="22"/>
      <c r="D1077" s="23" t="s">
        <v>33</v>
      </c>
      <c r="E1077" s="22"/>
      <c r="F1077" s="22"/>
      <c r="G1077" s="24"/>
      <c r="H1077" s="1"/>
      <c r="I1077" s="1"/>
      <c r="J1077" s="1"/>
    </row>
    <row r="1078" spans="1:10" x14ac:dyDescent="0.75">
      <c r="A1078" s="37" t="s">
        <v>574</v>
      </c>
      <c r="B1078" s="37"/>
      <c r="C1078" s="37"/>
      <c r="D1078" s="37"/>
      <c r="E1078" s="37"/>
      <c r="F1078" s="37"/>
      <c r="G1078" s="37"/>
      <c r="H1078" s="37"/>
      <c r="I1078" s="1"/>
      <c r="J1078" s="1"/>
    </row>
    <row r="1079" spans="1:10" x14ac:dyDescent="0.75">
      <c r="A1079" s="55" t="s">
        <v>0</v>
      </c>
      <c r="B1079" s="55"/>
      <c r="C1079" s="55"/>
      <c r="D1079" s="55"/>
      <c r="E1079" s="55"/>
      <c r="F1079" s="55"/>
      <c r="G1079" s="55"/>
      <c r="H1079" s="55"/>
      <c r="I1079" s="1"/>
      <c r="J1079" s="1"/>
    </row>
    <row r="1080" spans="1:10" x14ac:dyDescent="0.75">
      <c r="A1080" s="55" t="s">
        <v>1</v>
      </c>
      <c r="B1080" s="55"/>
      <c r="C1080" s="55"/>
      <c r="D1080" s="55"/>
      <c r="E1080" s="55"/>
      <c r="F1080" s="55"/>
      <c r="G1080" s="55"/>
      <c r="H1080" s="55"/>
      <c r="I1080" s="1"/>
      <c r="J1080" s="1"/>
    </row>
    <row r="1081" spans="1:10" x14ac:dyDescent="0.75">
      <c r="A1081" s="38" t="s">
        <v>35</v>
      </c>
      <c r="B1081" s="39"/>
      <c r="C1081" s="39"/>
      <c r="D1081" s="39"/>
      <c r="E1081" s="39"/>
      <c r="F1081" s="39"/>
      <c r="G1081" s="40"/>
      <c r="H1081" s="1"/>
      <c r="I1081" s="1"/>
      <c r="J1081" s="1"/>
    </row>
    <row r="1082" spans="1:10" ht="21.5" x14ac:dyDescent="0.75">
      <c r="A1082" s="2" t="s">
        <v>3</v>
      </c>
      <c r="B1082" s="3" t="s">
        <v>4</v>
      </c>
      <c r="C1082" s="4"/>
      <c r="D1082" s="5" t="s">
        <v>5</v>
      </c>
      <c r="E1082" s="3" t="s">
        <v>6</v>
      </c>
      <c r="F1082" s="3" t="s">
        <v>7</v>
      </c>
      <c r="G1082" s="6" t="s">
        <v>8</v>
      </c>
      <c r="H1082" s="1"/>
      <c r="I1082" s="1"/>
      <c r="J1082" s="1"/>
    </row>
    <row r="1083" spans="1:10" x14ac:dyDescent="0.75">
      <c r="A1083" s="10">
        <v>43788</v>
      </c>
      <c r="B1083" s="11"/>
      <c r="C1083" s="56" t="s">
        <v>19</v>
      </c>
      <c r="D1083" s="57"/>
      <c r="E1083" s="11"/>
      <c r="F1083" s="11"/>
      <c r="G1083" s="12">
        <v>572685.43999999994</v>
      </c>
      <c r="H1083" s="1"/>
      <c r="I1083" s="1"/>
      <c r="J1083" s="1"/>
    </row>
    <row r="1084" spans="1:10" x14ac:dyDescent="0.75">
      <c r="A1084" s="13">
        <v>43789</v>
      </c>
      <c r="B1084" s="13">
        <v>43789</v>
      </c>
      <c r="C1084" s="58" t="s">
        <v>28</v>
      </c>
      <c r="D1084" s="59"/>
      <c r="E1084" s="15" t="s">
        <v>21</v>
      </c>
      <c r="F1084" s="14">
        <v>17821</v>
      </c>
      <c r="G1084" s="14">
        <v>590506.43999999994</v>
      </c>
      <c r="H1084" s="1"/>
      <c r="I1084" s="1"/>
      <c r="J1084" s="1"/>
    </row>
    <row r="1085" spans="1:10" x14ac:dyDescent="0.75">
      <c r="A1085" s="16">
        <v>43789</v>
      </c>
      <c r="B1085" s="16">
        <v>43789</v>
      </c>
      <c r="C1085" s="53" t="s">
        <v>575</v>
      </c>
      <c r="D1085" s="54"/>
      <c r="E1085" s="17">
        <v>4389.04</v>
      </c>
      <c r="F1085" s="18" t="s">
        <v>21</v>
      </c>
      <c r="G1085" s="17">
        <v>586117.4</v>
      </c>
      <c r="H1085" s="1"/>
      <c r="I1085" s="1"/>
      <c r="J1085" s="1"/>
    </row>
    <row r="1086" spans="1:10" x14ac:dyDescent="0.75">
      <c r="A1086" s="16">
        <v>43789</v>
      </c>
      <c r="B1086" s="16">
        <v>43789</v>
      </c>
      <c r="C1086" s="53" t="s">
        <v>576</v>
      </c>
      <c r="D1086" s="54"/>
      <c r="E1086" s="17">
        <v>6317.74</v>
      </c>
      <c r="F1086" s="18" t="s">
        <v>21</v>
      </c>
      <c r="G1086" s="17">
        <v>579799.66</v>
      </c>
      <c r="H1086" s="1"/>
      <c r="I1086" s="1"/>
      <c r="J1086" s="1"/>
    </row>
    <row r="1087" spans="1:10" x14ac:dyDescent="0.75">
      <c r="A1087" s="16">
        <v>43789</v>
      </c>
      <c r="B1087" s="16">
        <v>43789</v>
      </c>
      <c r="C1087" s="53" t="s">
        <v>577</v>
      </c>
      <c r="D1087" s="54"/>
      <c r="E1087" s="17">
        <v>6456</v>
      </c>
      <c r="F1087" s="18" t="s">
        <v>21</v>
      </c>
      <c r="G1087" s="17">
        <v>573343.66</v>
      </c>
      <c r="H1087" s="1"/>
      <c r="I1087" s="1"/>
      <c r="J1087" s="1"/>
    </row>
    <row r="1088" spans="1:10" x14ac:dyDescent="0.75">
      <c r="A1088" s="16">
        <v>43789</v>
      </c>
      <c r="B1088" s="16">
        <v>43789</v>
      </c>
      <c r="C1088" s="53" t="s">
        <v>578</v>
      </c>
      <c r="D1088" s="54"/>
      <c r="E1088" s="17">
        <v>10350.540000000001</v>
      </c>
      <c r="F1088" s="18" t="s">
        <v>21</v>
      </c>
      <c r="G1088" s="17">
        <v>562993.12</v>
      </c>
      <c r="H1088" s="1"/>
      <c r="I1088" s="1"/>
      <c r="J1088" s="1"/>
    </row>
    <row r="1089" spans="1:10" x14ac:dyDescent="0.75">
      <c r="A1089" s="16">
        <v>43790</v>
      </c>
      <c r="B1089" s="16">
        <v>43790</v>
      </c>
      <c r="C1089" s="53" t="s">
        <v>28</v>
      </c>
      <c r="D1089" s="54"/>
      <c r="E1089" s="18" t="s">
        <v>21</v>
      </c>
      <c r="F1089" s="17">
        <v>12424.4</v>
      </c>
      <c r="G1089" s="17">
        <v>575417.52</v>
      </c>
      <c r="H1089" s="1"/>
      <c r="I1089" s="1"/>
      <c r="J1089" s="1"/>
    </row>
    <row r="1090" spans="1:10" x14ac:dyDescent="0.75">
      <c r="A1090" s="16">
        <v>43790</v>
      </c>
      <c r="B1090" s="16">
        <v>43790</v>
      </c>
      <c r="C1090" s="53" t="s">
        <v>579</v>
      </c>
      <c r="D1090" s="54"/>
      <c r="E1090" s="17">
        <v>2138.85</v>
      </c>
      <c r="F1090" s="18" t="s">
        <v>21</v>
      </c>
      <c r="G1090" s="17">
        <v>573278.67000000004</v>
      </c>
      <c r="H1090" s="1"/>
      <c r="I1090" s="1"/>
      <c r="J1090" s="1"/>
    </row>
    <row r="1091" spans="1:10" x14ac:dyDescent="0.75">
      <c r="A1091" s="16">
        <v>43790</v>
      </c>
      <c r="B1091" s="16">
        <v>43790</v>
      </c>
      <c r="C1091" s="53" t="s">
        <v>580</v>
      </c>
      <c r="D1091" s="54"/>
      <c r="E1091" s="17">
        <v>2182.5</v>
      </c>
      <c r="F1091" s="18" t="s">
        <v>21</v>
      </c>
      <c r="G1091" s="17">
        <v>571096.17000000004</v>
      </c>
      <c r="H1091" s="1"/>
      <c r="I1091" s="1"/>
      <c r="J1091" s="1"/>
    </row>
    <row r="1092" spans="1:10" x14ac:dyDescent="0.75">
      <c r="A1092" s="16">
        <v>43790</v>
      </c>
      <c r="B1092" s="16">
        <v>43790</v>
      </c>
      <c r="C1092" s="53" t="s">
        <v>581</v>
      </c>
      <c r="D1092" s="54"/>
      <c r="E1092" s="17">
        <v>9913.2900000000009</v>
      </c>
      <c r="F1092" s="18" t="s">
        <v>21</v>
      </c>
      <c r="G1092" s="17">
        <v>561182.88</v>
      </c>
      <c r="H1092" s="1"/>
      <c r="I1092" s="1"/>
      <c r="J1092" s="1"/>
    </row>
    <row r="1093" spans="1:10" x14ac:dyDescent="0.75">
      <c r="A1093" s="16">
        <v>43790</v>
      </c>
      <c r="B1093" s="16">
        <v>43790</v>
      </c>
      <c r="C1093" s="53" t="s">
        <v>582</v>
      </c>
      <c r="D1093" s="54"/>
      <c r="E1093" s="17">
        <v>24094.16</v>
      </c>
      <c r="F1093" s="18" t="s">
        <v>21</v>
      </c>
      <c r="G1093" s="17">
        <v>537088.72</v>
      </c>
      <c r="H1093" s="1"/>
      <c r="I1093" s="1"/>
      <c r="J1093" s="1"/>
    </row>
    <row r="1094" spans="1:10" x14ac:dyDescent="0.75">
      <c r="A1094" s="16">
        <v>43790</v>
      </c>
      <c r="B1094" s="16">
        <v>43790</v>
      </c>
      <c r="C1094" s="53" t="s">
        <v>583</v>
      </c>
      <c r="D1094" s="54"/>
      <c r="E1094" s="17">
        <v>1931.82</v>
      </c>
      <c r="F1094" s="18" t="s">
        <v>21</v>
      </c>
      <c r="G1094" s="17">
        <v>535156.9</v>
      </c>
      <c r="H1094" s="1"/>
      <c r="I1094" s="1"/>
      <c r="J1094" s="1"/>
    </row>
    <row r="1095" spans="1:10" x14ac:dyDescent="0.75">
      <c r="A1095" s="16">
        <v>43790</v>
      </c>
      <c r="B1095" s="16">
        <v>43790</v>
      </c>
      <c r="C1095" s="53" t="s">
        <v>584</v>
      </c>
      <c r="D1095" s="54"/>
      <c r="E1095" s="17">
        <v>2354.36</v>
      </c>
      <c r="F1095" s="18" t="s">
        <v>21</v>
      </c>
      <c r="G1095" s="17">
        <v>532802.54</v>
      </c>
      <c r="H1095" s="1"/>
      <c r="I1095" s="1"/>
      <c r="J1095" s="1"/>
    </row>
    <row r="1096" spans="1:10" x14ac:dyDescent="0.75">
      <c r="A1096" s="20"/>
      <c r="B1096" s="20"/>
      <c r="C1096" s="8"/>
      <c r="D1096" s="9"/>
      <c r="E1096" s="20"/>
      <c r="F1096" s="20"/>
      <c r="G1096" s="20"/>
      <c r="H1096" s="1"/>
      <c r="I1096" s="1"/>
      <c r="J1096" s="1"/>
    </row>
    <row r="1097" spans="1:10" x14ac:dyDescent="0.75">
      <c r="A1097" s="34" t="s">
        <v>15</v>
      </c>
      <c r="B1097" s="35"/>
      <c r="C1097" s="35"/>
      <c r="D1097" s="35"/>
      <c r="E1097" s="35"/>
      <c r="F1097" s="35"/>
      <c r="G1097" s="36"/>
      <c r="H1097" s="1"/>
      <c r="I1097" s="1"/>
      <c r="J1097" s="1"/>
    </row>
    <row r="1098" spans="1:10" x14ac:dyDescent="0.75">
      <c r="A1098" s="21" t="s">
        <v>32</v>
      </c>
      <c r="B1098" s="22"/>
      <c r="C1098" s="22"/>
      <c r="D1098" s="23" t="s">
        <v>33</v>
      </c>
      <c r="E1098" s="22"/>
      <c r="F1098" s="22"/>
      <c r="G1098" s="24"/>
      <c r="H1098" s="1"/>
      <c r="I1098" s="1"/>
      <c r="J1098" s="1"/>
    </row>
    <row r="1099" spans="1:10" x14ac:dyDescent="0.75">
      <c r="A1099" s="37" t="s">
        <v>585</v>
      </c>
      <c r="B1099" s="37"/>
      <c r="C1099" s="37"/>
      <c r="D1099" s="37"/>
      <c r="E1099" s="37"/>
      <c r="F1099" s="37"/>
      <c r="G1099" s="37"/>
      <c r="H1099" s="37"/>
      <c r="I1099" s="1"/>
      <c r="J1099" s="1"/>
    </row>
    <row r="1100" spans="1:10" x14ac:dyDescent="0.75">
      <c r="A1100" s="55" t="s">
        <v>0</v>
      </c>
      <c r="B1100" s="55"/>
      <c r="C1100" s="55"/>
      <c r="D1100" s="55"/>
      <c r="E1100" s="55"/>
      <c r="F1100" s="55"/>
      <c r="G1100" s="55"/>
      <c r="H1100" s="55"/>
      <c r="I1100" s="1"/>
      <c r="J1100" s="1"/>
    </row>
    <row r="1101" spans="1:10" x14ac:dyDescent="0.75">
      <c r="A1101" s="55" t="s">
        <v>1</v>
      </c>
      <c r="B1101" s="55"/>
      <c r="C1101" s="55"/>
      <c r="D1101" s="55"/>
      <c r="E1101" s="55"/>
      <c r="F1101" s="55"/>
      <c r="G1101" s="55"/>
      <c r="H1101" s="55"/>
      <c r="I1101" s="1"/>
      <c r="J1101" s="1"/>
    </row>
    <row r="1102" spans="1:10" x14ac:dyDescent="0.75">
      <c r="A1102" s="38" t="s">
        <v>35</v>
      </c>
      <c r="B1102" s="39"/>
      <c r="C1102" s="39"/>
      <c r="D1102" s="39"/>
      <c r="E1102" s="39"/>
      <c r="F1102" s="39"/>
      <c r="G1102" s="40"/>
      <c r="H1102" s="1"/>
      <c r="I1102" s="1"/>
      <c r="J1102" s="1"/>
    </row>
    <row r="1103" spans="1:10" ht="21.5" x14ac:dyDescent="0.75">
      <c r="A1103" s="2" t="s">
        <v>3</v>
      </c>
      <c r="B1103" s="3" t="s">
        <v>4</v>
      </c>
      <c r="C1103" s="4"/>
      <c r="D1103" s="5" t="s">
        <v>5</v>
      </c>
      <c r="E1103" s="3" t="s">
        <v>6</v>
      </c>
      <c r="F1103" s="3" t="s">
        <v>7</v>
      </c>
      <c r="G1103" s="6" t="s">
        <v>8</v>
      </c>
      <c r="H1103" s="1"/>
      <c r="I1103" s="1"/>
      <c r="J1103" s="1"/>
    </row>
    <row r="1104" spans="1:10" x14ac:dyDescent="0.75">
      <c r="A1104" s="10">
        <v>43790</v>
      </c>
      <c r="B1104" s="11"/>
      <c r="C1104" s="56" t="s">
        <v>19</v>
      </c>
      <c r="D1104" s="57"/>
      <c r="E1104" s="11"/>
      <c r="F1104" s="11"/>
      <c r="G1104" s="12">
        <v>532802.54</v>
      </c>
      <c r="H1104" s="1"/>
      <c r="I1104" s="1"/>
      <c r="J1104" s="1"/>
    </row>
    <row r="1105" spans="1:10" x14ac:dyDescent="0.75">
      <c r="A1105" s="13">
        <v>43791</v>
      </c>
      <c r="B1105" s="13">
        <v>43791</v>
      </c>
      <c r="C1105" s="58" t="s">
        <v>586</v>
      </c>
      <c r="D1105" s="59"/>
      <c r="E1105" s="14">
        <v>2572.8200000000002</v>
      </c>
      <c r="F1105" s="15" t="s">
        <v>21</v>
      </c>
      <c r="G1105" s="14">
        <v>530229.72</v>
      </c>
      <c r="H1105" s="1"/>
      <c r="I1105" s="1"/>
      <c r="J1105" s="1"/>
    </row>
    <row r="1106" spans="1:10" x14ac:dyDescent="0.75">
      <c r="A1106" s="16">
        <v>43791</v>
      </c>
      <c r="B1106" s="16">
        <v>43791</v>
      </c>
      <c r="C1106" s="53" t="s">
        <v>28</v>
      </c>
      <c r="D1106" s="54"/>
      <c r="E1106" s="18" t="s">
        <v>21</v>
      </c>
      <c r="F1106" s="17">
        <v>43506.09</v>
      </c>
      <c r="G1106" s="17">
        <v>573735.81000000006</v>
      </c>
      <c r="H1106" s="1"/>
      <c r="I1106" s="1"/>
      <c r="J1106" s="1"/>
    </row>
    <row r="1107" spans="1:10" x14ac:dyDescent="0.75">
      <c r="A1107" s="16">
        <v>43794</v>
      </c>
      <c r="B1107" s="16">
        <v>43794</v>
      </c>
      <c r="C1107" s="53" t="s">
        <v>28</v>
      </c>
      <c r="D1107" s="54"/>
      <c r="E1107" s="18" t="s">
        <v>21</v>
      </c>
      <c r="F1107" s="17">
        <v>134125.06</v>
      </c>
      <c r="G1107" s="17">
        <v>707860.87</v>
      </c>
      <c r="H1107" s="1"/>
      <c r="I1107" s="1"/>
      <c r="J1107" s="1"/>
    </row>
    <row r="1108" spans="1:10" x14ac:dyDescent="0.75">
      <c r="A1108" s="16">
        <v>43794</v>
      </c>
      <c r="B1108" s="16">
        <v>43794</v>
      </c>
      <c r="C1108" s="53" t="s">
        <v>587</v>
      </c>
      <c r="D1108" s="54"/>
      <c r="E1108" s="17">
        <v>1710</v>
      </c>
      <c r="F1108" s="18" t="s">
        <v>21</v>
      </c>
      <c r="G1108" s="17">
        <v>706150.87</v>
      </c>
      <c r="H1108" s="1"/>
      <c r="I1108" s="1"/>
      <c r="J1108" s="1"/>
    </row>
    <row r="1109" spans="1:10" x14ac:dyDescent="0.75">
      <c r="A1109" s="16">
        <v>43795</v>
      </c>
      <c r="B1109" s="16">
        <v>43795</v>
      </c>
      <c r="C1109" s="53" t="s">
        <v>28</v>
      </c>
      <c r="D1109" s="54"/>
      <c r="E1109" s="18" t="s">
        <v>21</v>
      </c>
      <c r="F1109" s="17">
        <v>68399.66</v>
      </c>
      <c r="G1109" s="17">
        <v>774550.53</v>
      </c>
      <c r="H1109" s="1"/>
      <c r="I1109" s="1"/>
      <c r="J1109" s="1"/>
    </row>
    <row r="1110" spans="1:10" x14ac:dyDescent="0.75">
      <c r="A1110" s="16">
        <v>43795</v>
      </c>
      <c r="B1110" s="16">
        <v>43795</v>
      </c>
      <c r="C1110" s="53" t="s">
        <v>588</v>
      </c>
      <c r="D1110" s="54"/>
      <c r="E1110" s="17">
        <v>2329.61</v>
      </c>
      <c r="F1110" s="18" t="s">
        <v>21</v>
      </c>
      <c r="G1110" s="17">
        <v>772220.92</v>
      </c>
      <c r="H1110" s="1"/>
      <c r="I1110" s="1"/>
      <c r="J1110" s="1"/>
    </row>
    <row r="1111" spans="1:10" x14ac:dyDescent="0.75">
      <c r="A1111" s="16">
        <v>43795</v>
      </c>
      <c r="B1111" s="16">
        <v>43795</v>
      </c>
      <c r="C1111" s="53" t="s">
        <v>589</v>
      </c>
      <c r="D1111" s="54"/>
      <c r="E1111" s="17">
        <v>3406.67</v>
      </c>
      <c r="F1111" s="18" t="s">
        <v>21</v>
      </c>
      <c r="G1111" s="17">
        <v>768814.25</v>
      </c>
      <c r="H1111" s="1"/>
      <c r="I1111" s="1"/>
      <c r="J1111" s="1"/>
    </row>
    <row r="1112" spans="1:10" x14ac:dyDescent="0.75">
      <c r="A1112" s="16">
        <v>43795</v>
      </c>
      <c r="B1112" s="16">
        <v>43795</v>
      </c>
      <c r="C1112" s="53" t="s">
        <v>590</v>
      </c>
      <c r="D1112" s="54"/>
      <c r="E1112" s="17">
        <v>20595.8</v>
      </c>
      <c r="F1112" s="18" t="s">
        <v>21</v>
      </c>
      <c r="G1112" s="17">
        <v>748218.45</v>
      </c>
      <c r="H1112" s="1"/>
      <c r="I1112" s="1"/>
      <c r="J1112" s="1"/>
    </row>
    <row r="1113" spans="1:10" x14ac:dyDescent="0.75">
      <c r="A1113" s="16">
        <v>43795</v>
      </c>
      <c r="B1113" s="16">
        <v>43795</v>
      </c>
      <c r="C1113" s="53" t="s">
        <v>583</v>
      </c>
      <c r="D1113" s="54"/>
      <c r="E1113" s="17">
        <v>1339.04</v>
      </c>
      <c r="F1113" s="18" t="s">
        <v>21</v>
      </c>
      <c r="G1113" s="17">
        <v>746879.41</v>
      </c>
      <c r="H1113" s="1"/>
      <c r="I1113" s="1"/>
      <c r="J1113" s="1"/>
    </row>
    <row r="1114" spans="1:10" x14ac:dyDescent="0.75">
      <c r="A1114" s="16">
        <v>43795</v>
      </c>
      <c r="B1114" s="16">
        <v>43795</v>
      </c>
      <c r="C1114" s="53" t="s">
        <v>591</v>
      </c>
      <c r="D1114" s="54"/>
      <c r="E1114" s="19">
        <v>864.27</v>
      </c>
      <c r="F1114" s="18" t="s">
        <v>21</v>
      </c>
      <c r="G1114" s="17">
        <v>746015.14</v>
      </c>
      <c r="H1114" s="1"/>
      <c r="I1114" s="1"/>
      <c r="J1114" s="1"/>
    </row>
    <row r="1115" spans="1:10" x14ac:dyDescent="0.75">
      <c r="A1115" s="16">
        <v>43795</v>
      </c>
      <c r="B1115" s="16">
        <v>43795</v>
      </c>
      <c r="C1115" s="53" t="s">
        <v>592</v>
      </c>
      <c r="D1115" s="54"/>
      <c r="E1115" s="17">
        <v>7930.64</v>
      </c>
      <c r="F1115" s="18" t="s">
        <v>21</v>
      </c>
      <c r="G1115" s="17">
        <v>738084.5</v>
      </c>
      <c r="H1115" s="1"/>
      <c r="I1115" s="1"/>
      <c r="J1115" s="1"/>
    </row>
    <row r="1116" spans="1:10" x14ac:dyDescent="0.75">
      <c r="A1116" s="16">
        <v>43796</v>
      </c>
      <c r="B1116" s="16">
        <v>43796</v>
      </c>
      <c r="C1116" s="53" t="s">
        <v>28</v>
      </c>
      <c r="D1116" s="54"/>
      <c r="E1116" s="18" t="s">
        <v>21</v>
      </c>
      <c r="F1116" s="17">
        <v>411651.24</v>
      </c>
      <c r="G1116" s="17">
        <v>1149735.74</v>
      </c>
      <c r="H1116" s="1"/>
      <c r="I1116" s="1"/>
      <c r="J1116" s="1"/>
    </row>
    <row r="1117" spans="1:10" x14ac:dyDescent="0.75">
      <c r="A1117" s="20"/>
      <c r="B1117" s="20"/>
      <c r="C1117" s="8"/>
      <c r="D1117" s="9"/>
      <c r="E1117" s="20"/>
      <c r="F1117" s="20"/>
      <c r="G1117" s="20"/>
      <c r="H1117" s="1"/>
      <c r="I1117" s="1"/>
      <c r="J1117" s="1"/>
    </row>
    <row r="1118" spans="1:10" x14ac:dyDescent="0.75">
      <c r="A1118" s="34" t="s">
        <v>15</v>
      </c>
      <c r="B1118" s="35"/>
      <c r="C1118" s="35"/>
      <c r="D1118" s="35"/>
      <c r="E1118" s="35"/>
      <c r="F1118" s="35"/>
      <c r="G1118" s="36"/>
      <c r="H1118" s="1"/>
      <c r="I1118" s="1"/>
      <c r="J1118" s="1"/>
    </row>
    <row r="1119" spans="1:10" x14ac:dyDescent="0.75">
      <c r="A1119" s="21" t="s">
        <v>32</v>
      </c>
      <c r="B1119" s="22"/>
      <c r="C1119" s="22"/>
      <c r="D1119" s="23" t="s">
        <v>33</v>
      </c>
      <c r="E1119" s="22"/>
      <c r="F1119" s="22"/>
      <c r="G1119" s="24"/>
      <c r="H1119" s="1"/>
      <c r="I1119" s="1"/>
      <c r="J1119" s="1"/>
    </row>
    <row r="1120" spans="1:10" x14ac:dyDescent="0.75">
      <c r="A1120" s="37" t="s">
        <v>593</v>
      </c>
      <c r="B1120" s="37"/>
      <c r="C1120" s="37"/>
      <c r="D1120" s="37"/>
      <c r="E1120" s="37"/>
      <c r="F1120" s="37"/>
      <c r="G1120" s="37"/>
      <c r="H1120" s="37"/>
      <c r="I1120" s="1"/>
      <c r="J1120" s="1"/>
    </row>
    <row r="1121" spans="1:10" x14ac:dyDescent="0.75">
      <c r="A1121" s="55" t="s">
        <v>0</v>
      </c>
      <c r="B1121" s="55"/>
      <c r="C1121" s="55"/>
      <c r="D1121" s="55"/>
      <c r="E1121" s="55"/>
      <c r="F1121" s="55"/>
      <c r="G1121" s="55"/>
      <c r="H1121" s="55"/>
      <c r="I1121" s="1"/>
      <c r="J1121" s="1"/>
    </row>
    <row r="1122" spans="1:10" x14ac:dyDescent="0.75">
      <c r="A1122" s="55" t="s">
        <v>1</v>
      </c>
      <c r="B1122" s="55"/>
      <c r="C1122" s="55"/>
      <c r="D1122" s="55"/>
      <c r="E1122" s="55"/>
      <c r="F1122" s="55"/>
      <c r="G1122" s="55"/>
      <c r="H1122" s="55"/>
      <c r="I1122" s="1"/>
      <c r="J1122" s="1"/>
    </row>
    <row r="1123" spans="1:10" x14ac:dyDescent="0.75">
      <c r="A1123" s="38" t="s">
        <v>35</v>
      </c>
      <c r="B1123" s="39"/>
      <c r="C1123" s="39"/>
      <c r="D1123" s="39"/>
      <c r="E1123" s="39"/>
      <c r="F1123" s="39"/>
      <c r="G1123" s="40"/>
      <c r="H1123" s="1"/>
      <c r="I1123" s="1"/>
      <c r="J1123" s="1"/>
    </row>
    <row r="1124" spans="1:10" ht="21.5" x14ac:dyDescent="0.75">
      <c r="A1124" s="2" t="s">
        <v>3</v>
      </c>
      <c r="B1124" s="3" t="s">
        <v>4</v>
      </c>
      <c r="C1124" s="4"/>
      <c r="D1124" s="5" t="s">
        <v>5</v>
      </c>
      <c r="E1124" s="3" t="s">
        <v>6</v>
      </c>
      <c r="F1124" s="3" t="s">
        <v>7</v>
      </c>
      <c r="G1124" s="6" t="s">
        <v>8</v>
      </c>
      <c r="H1124" s="1"/>
      <c r="I1124" s="1"/>
      <c r="J1124" s="1"/>
    </row>
    <row r="1125" spans="1:10" x14ac:dyDescent="0.75">
      <c r="A1125" s="10">
        <v>43796</v>
      </c>
      <c r="B1125" s="11"/>
      <c r="C1125" s="56" t="s">
        <v>19</v>
      </c>
      <c r="D1125" s="57"/>
      <c r="E1125" s="11"/>
      <c r="F1125" s="11"/>
      <c r="G1125" s="12">
        <v>1149735.74</v>
      </c>
      <c r="H1125" s="1"/>
      <c r="I1125" s="1"/>
      <c r="J1125" s="1"/>
    </row>
    <row r="1126" spans="1:10" x14ac:dyDescent="0.75">
      <c r="A1126" s="13">
        <v>43796</v>
      </c>
      <c r="B1126" s="13">
        <v>43796</v>
      </c>
      <c r="C1126" s="58" t="s">
        <v>594</v>
      </c>
      <c r="D1126" s="59"/>
      <c r="E1126" s="25">
        <v>800</v>
      </c>
      <c r="F1126" s="15" t="s">
        <v>21</v>
      </c>
      <c r="G1126" s="14">
        <v>1148935.74</v>
      </c>
      <c r="H1126" s="1"/>
      <c r="I1126" s="1"/>
      <c r="J1126" s="1"/>
    </row>
    <row r="1127" spans="1:10" x14ac:dyDescent="0.75">
      <c r="A1127" s="16">
        <v>43796</v>
      </c>
      <c r="B1127" s="16">
        <v>43796</v>
      </c>
      <c r="C1127" s="53" t="s">
        <v>595</v>
      </c>
      <c r="D1127" s="54"/>
      <c r="E1127" s="19">
        <v>886.49</v>
      </c>
      <c r="F1127" s="18" t="s">
        <v>21</v>
      </c>
      <c r="G1127" s="17">
        <v>1148049.25</v>
      </c>
      <c r="H1127" s="1"/>
      <c r="I1127" s="1"/>
      <c r="J1127" s="1"/>
    </row>
    <row r="1128" spans="1:10" x14ac:dyDescent="0.75">
      <c r="A1128" s="16">
        <v>43796</v>
      </c>
      <c r="B1128" s="16">
        <v>43796</v>
      </c>
      <c r="C1128" s="53" t="s">
        <v>596</v>
      </c>
      <c r="D1128" s="54"/>
      <c r="E1128" s="19">
        <v>900</v>
      </c>
      <c r="F1128" s="18" t="s">
        <v>21</v>
      </c>
      <c r="G1128" s="17">
        <v>1147149.25</v>
      </c>
      <c r="H1128" s="1"/>
      <c r="I1128" s="1"/>
      <c r="J1128" s="1"/>
    </row>
    <row r="1129" spans="1:10" x14ac:dyDescent="0.75">
      <c r="A1129" s="16">
        <v>43796</v>
      </c>
      <c r="B1129" s="16">
        <v>43796</v>
      </c>
      <c r="C1129" s="53" t="s">
        <v>597</v>
      </c>
      <c r="D1129" s="54"/>
      <c r="E1129" s="17">
        <v>2182.48</v>
      </c>
      <c r="F1129" s="18" t="s">
        <v>21</v>
      </c>
      <c r="G1129" s="17">
        <v>1144966.77</v>
      </c>
      <c r="H1129" s="1"/>
      <c r="I1129" s="1"/>
      <c r="J1129" s="1"/>
    </row>
    <row r="1130" spans="1:10" x14ac:dyDescent="0.75">
      <c r="A1130" s="16">
        <v>43796</v>
      </c>
      <c r="B1130" s="16">
        <v>43796</v>
      </c>
      <c r="C1130" s="53" t="s">
        <v>598</v>
      </c>
      <c r="D1130" s="54"/>
      <c r="E1130" s="17">
        <v>5200</v>
      </c>
      <c r="F1130" s="18" t="s">
        <v>21</v>
      </c>
      <c r="G1130" s="17">
        <v>1139766.77</v>
      </c>
      <c r="H1130" s="1"/>
      <c r="I1130" s="1"/>
      <c r="J1130" s="1"/>
    </row>
    <row r="1131" spans="1:10" x14ac:dyDescent="0.75">
      <c r="A1131" s="16">
        <v>43796</v>
      </c>
      <c r="B1131" s="16">
        <v>43796</v>
      </c>
      <c r="C1131" s="53" t="s">
        <v>599</v>
      </c>
      <c r="D1131" s="54"/>
      <c r="E1131" s="17">
        <v>5891.99</v>
      </c>
      <c r="F1131" s="18" t="s">
        <v>21</v>
      </c>
      <c r="G1131" s="17">
        <v>1133874.78</v>
      </c>
      <c r="H1131" s="1"/>
      <c r="I1131" s="1"/>
      <c r="J1131" s="1"/>
    </row>
    <row r="1132" spans="1:10" x14ac:dyDescent="0.75">
      <c r="A1132" s="16">
        <v>43796</v>
      </c>
      <c r="B1132" s="16">
        <v>43796</v>
      </c>
      <c r="C1132" s="53" t="s">
        <v>600</v>
      </c>
      <c r="D1132" s="54"/>
      <c r="E1132" s="17">
        <v>2211.6</v>
      </c>
      <c r="F1132" s="18" t="s">
        <v>21</v>
      </c>
      <c r="G1132" s="17">
        <v>1131663.18</v>
      </c>
      <c r="H1132" s="1"/>
      <c r="I1132" s="1"/>
      <c r="J1132" s="1"/>
    </row>
    <row r="1133" spans="1:10" x14ac:dyDescent="0.75">
      <c r="A1133" s="16">
        <v>43796</v>
      </c>
      <c r="B1133" s="16">
        <v>43796</v>
      </c>
      <c r="C1133" s="53" t="s">
        <v>601</v>
      </c>
      <c r="D1133" s="54"/>
      <c r="E1133" s="17">
        <v>8856.1</v>
      </c>
      <c r="F1133" s="18" t="s">
        <v>21</v>
      </c>
      <c r="G1133" s="17">
        <v>1122807.08</v>
      </c>
      <c r="H1133" s="1"/>
      <c r="I1133" s="1"/>
      <c r="J1133" s="1"/>
    </row>
    <row r="1134" spans="1:10" x14ac:dyDescent="0.75">
      <c r="A1134" s="16">
        <v>43796</v>
      </c>
      <c r="B1134" s="16">
        <v>43796</v>
      </c>
      <c r="C1134" s="53" t="s">
        <v>602</v>
      </c>
      <c r="D1134" s="54"/>
      <c r="E1134" s="17">
        <v>8907.15</v>
      </c>
      <c r="F1134" s="18" t="s">
        <v>21</v>
      </c>
      <c r="G1134" s="17">
        <v>1113899.93</v>
      </c>
      <c r="H1134" s="1"/>
      <c r="I1134" s="1"/>
      <c r="J1134" s="1"/>
    </row>
    <row r="1135" spans="1:10" x14ac:dyDescent="0.75">
      <c r="A1135" s="16">
        <v>43797</v>
      </c>
      <c r="B1135" s="16">
        <v>43797</v>
      </c>
      <c r="C1135" s="53" t="s">
        <v>28</v>
      </c>
      <c r="D1135" s="54"/>
      <c r="E1135" s="18" t="s">
        <v>21</v>
      </c>
      <c r="F1135" s="17">
        <v>80279.03</v>
      </c>
      <c r="G1135" s="17">
        <v>1194178.96</v>
      </c>
      <c r="H1135" s="1"/>
      <c r="I1135" s="1"/>
      <c r="J1135" s="1"/>
    </row>
    <row r="1136" spans="1:10" x14ac:dyDescent="0.75">
      <c r="A1136" s="16">
        <v>43797</v>
      </c>
      <c r="B1136" s="16">
        <v>43797</v>
      </c>
      <c r="C1136" s="53" t="s">
        <v>603</v>
      </c>
      <c r="D1136" s="54"/>
      <c r="E1136" s="17">
        <v>1796.78</v>
      </c>
      <c r="F1136" s="18" t="s">
        <v>21</v>
      </c>
      <c r="G1136" s="17">
        <v>1192382.18</v>
      </c>
      <c r="H1136" s="1"/>
      <c r="I1136" s="1"/>
      <c r="J1136" s="1"/>
    </row>
    <row r="1137" spans="1:10" x14ac:dyDescent="0.75">
      <c r="A1137" s="16">
        <v>43797</v>
      </c>
      <c r="B1137" s="16">
        <v>43797</v>
      </c>
      <c r="C1137" s="53" t="s">
        <v>604</v>
      </c>
      <c r="D1137" s="54"/>
      <c r="E1137" s="17">
        <v>1999.41</v>
      </c>
      <c r="F1137" s="18" t="s">
        <v>21</v>
      </c>
      <c r="G1137" s="17">
        <v>1190382.77</v>
      </c>
      <c r="H1137" s="1"/>
      <c r="I1137" s="1"/>
      <c r="J1137" s="1"/>
    </row>
    <row r="1138" spans="1:10" x14ac:dyDescent="0.75">
      <c r="A1138" s="20"/>
      <c r="B1138" s="20"/>
      <c r="C1138" s="8"/>
      <c r="D1138" s="9"/>
      <c r="E1138" s="20"/>
      <c r="F1138" s="20"/>
      <c r="G1138" s="20"/>
      <c r="H1138" s="1"/>
      <c r="I1138" s="1"/>
      <c r="J1138" s="1"/>
    </row>
    <row r="1139" spans="1:10" x14ac:dyDescent="0.75">
      <c r="A1139" s="34" t="s">
        <v>15</v>
      </c>
      <c r="B1139" s="35"/>
      <c r="C1139" s="35"/>
      <c r="D1139" s="35"/>
      <c r="E1139" s="35"/>
      <c r="F1139" s="35"/>
      <c r="G1139" s="36"/>
      <c r="H1139" s="1"/>
      <c r="I1139" s="1"/>
      <c r="J1139" s="1"/>
    </row>
    <row r="1140" spans="1:10" x14ac:dyDescent="0.75">
      <c r="A1140" s="21" t="s">
        <v>32</v>
      </c>
      <c r="B1140" s="22"/>
      <c r="C1140" s="22"/>
      <c r="D1140" s="23" t="s">
        <v>33</v>
      </c>
      <c r="E1140" s="22"/>
      <c r="F1140" s="22"/>
      <c r="G1140" s="24"/>
      <c r="H1140" s="1"/>
      <c r="I1140" s="1"/>
      <c r="J1140" s="1"/>
    </row>
    <row r="1141" spans="1:10" x14ac:dyDescent="0.75">
      <c r="A1141" s="37" t="s">
        <v>605</v>
      </c>
      <c r="B1141" s="37"/>
      <c r="C1141" s="37"/>
      <c r="D1141" s="37"/>
      <c r="E1141" s="37"/>
      <c r="F1141" s="37"/>
      <c r="G1141" s="37"/>
      <c r="H1141" s="37"/>
      <c r="I1141" s="1"/>
      <c r="J1141" s="1"/>
    </row>
    <row r="1142" spans="1:10" x14ac:dyDescent="0.75">
      <c r="A1142" s="55" t="s">
        <v>0</v>
      </c>
      <c r="B1142" s="55"/>
      <c r="C1142" s="55"/>
      <c r="D1142" s="55"/>
      <c r="E1142" s="55"/>
      <c r="F1142" s="55"/>
      <c r="G1142" s="55"/>
      <c r="H1142" s="55"/>
      <c r="I1142" s="1"/>
      <c r="J1142" s="1"/>
    </row>
    <row r="1143" spans="1:10" x14ac:dyDescent="0.75">
      <c r="A1143" s="55" t="s">
        <v>1</v>
      </c>
      <c r="B1143" s="55"/>
      <c r="C1143" s="55"/>
      <c r="D1143" s="55"/>
      <c r="E1143" s="55"/>
      <c r="F1143" s="55"/>
      <c r="G1143" s="55"/>
      <c r="H1143" s="55"/>
      <c r="I1143" s="1"/>
      <c r="J1143" s="1"/>
    </row>
    <row r="1144" spans="1:10" x14ac:dyDescent="0.75">
      <c r="A1144" s="38" t="s">
        <v>35</v>
      </c>
      <c r="B1144" s="39"/>
      <c r="C1144" s="39"/>
      <c r="D1144" s="39"/>
      <c r="E1144" s="39"/>
      <c r="F1144" s="39"/>
      <c r="G1144" s="40"/>
      <c r="H1144" s="1"/>
      <c r="I1144" s="1"/>
      <c r="J1144" s="1"/>
    </row>
    <row r="1145" spans="1:10" ht="21.5" x14ac:dyDescent="0.75">
      <c r="A1145" s="2" t="s">
        <v>3</v>
      </c>
      <c r="B1145" s="3" t="s">
        <v>4</v>
      </c>
      <c r="C1145" s="4"/>
      <c r="D1145" s="5" t="s">
        <v>5</v>
      </c>
      <c r="E1145" s="3" t="s">
        <v>6</v>
      </c>
      <c r="F1145" s="3" t="s">
        <v>7</v>
      </c>
      <c r="G1145" s="6" t="s">
        <v>8</v>
      </c>
      <c r="H1145" s="1"/>
      <c r="I1145" s="1"/>
      <c r="J1145" s="1"/>
    </row>
    <row r="1146" spans="1:10" x14ac:dyDescent="0.75">
      <c r="A1146" s="10">
        <v>43797</v>
      </c>
      <c r="B1146" s="11"/>
      <c r="C1146" s="56" t="s">
        <v>19</v>
      </c>
      <c r="D1146" s="57"/>
      <c r="E1146" s="11"/>
      <c r="F1146" s="11"/>
      <c r="G1146" s="12">
        <v>1190382.77</v>
      </c>
      <c r="H1146" s="1"/>
      <c r="I1146" s="1"/>
      <c r="J1146" s="1"/>
    </row>
    <row r="1147" spans="1:10" x14ac:dyDescent="0.75">
      <c r="A1147" s="13">
        <v>43797</v>
      </c>
      <c r="B1147" s="13">
        <v>43797</v>
      </c>
      <c r="C1147" s="58" t="s">
        <v>606</v>
      </c>
      <c r="D1147" s="59"/>
      <c r="E1147" s="14">
        <v>2280</v>
      </c>
      <c r="F1147" s="15" t="s">
        <v>21</v>
      </c>
      <c r="G1147" s="14">
        <v>1188102.77</v>
      </c>
      <c r="H1147" s="1"/>
      <c r="I1147" s="1"/>
      <c r="J1147" s="1"/>
    </row>
    <row r="1148" spans="1:10" x14ac:dyDescent="0.75">
      <c r="A1148" s="16">
        <v>43798</v>
      </c>
      <c r="B1148" s="16">
        <v>43798</v>
      </c>
      <c r="C1148" s="53" t="s">
        <v>28</v>
      </c>
      <c r="D1148" s="54"/>
      <c r="E1148" s="18" t="s">
        <v>21</v>
      </c>
      <c r="F1148" s="17">
        <v>34915.43</v>
      </c>
      <c r="G1148" s="17">
        <v>1223018.2</v>
      </c>
      <c r="H1148" s="1"/>
      <c r="I1148" s="1"/>
      <c r="J1148" s="1"/>
    </row>
    <row r="1149" spans="1:10" x14ac:dyDescent="0.75">
      <c r="A1149" s="16">
        <v>43798</v>
      </c>
      <c r="B1149" s="16">
        <v>43798</v>
      </c>
      <c r="C1149" s="53" t="s">
        <v>607</v>
      </c>
      <c r="D1149" s="54"/>
      <c r="E1149" s="19">
        <v>636.5</v>
      </c>
      <c r="F1149" s="18" t="s">
        <v>21</v>
      </c>
      <c r="G1149" s="17">
        <v>1222381.7</v>
      </c>
      <c r="H1149" s="1"/>
      <c r="I1149" s="1"/>
      <c r="J1149" s="1"/>
    </row>
    <row r="1150" spans="1:10" x14ac:dyDescent="0.75">
      <c r="A1150" s="16">
        <v>43798</v>
      </c>
      <c r="B1150" s="16">
        <v>43798</v>
      </c>
      <c r="C1150" s="53" t="s">
        <v>608</v>
      </c>
      <c r="D1150" s="54"/>
      <c r="E1150" s="17">
        <v>2025</v>
      </c>
      <c r="F1150" s="18" t="s">
        <v>21</v>
      </c>
      <c r="G1150" s="17">
        <v>1220356.7</v>
      </c>
      <c r="H1150" s="1"/>
      <c r="I1150" s="1"/>
      <c r="J1150" s="1"/>
    </row>
    <row r="1151" spans="1:10" x14ac:dyDescent="0.75">
      <c r="A1151" s="16">
        <v>43798</v>
      </c>
      <c r="B1151" s="16">
        <v>43798</v>
      </c>
      <c r="C1151" s="53" t="s">
        <v>609</v>
      </c>
      <c r="D1151" s="54"/>
      <c r="E1151" s="17">
        <v>2856.4</v>
      </c>
      <c r="F1151" s="18" t="s">
        <v>21</v>
      </c>
      <c r="G1151" s="17">
        <v>1217500.3</v>
      </c>
      <c r="H1151" s="1"/>
      <c r="I1151" s="1"/>
      <c r="J1151" s="1"/>
    </row>
    <row r="1152" spans="1:10" x14ac:dyDescent="0.75">
      <c r="A1152" s="16">
        <v>43798</v>
      </c>
      <c r="B1152" s="16">
        <v>43798</v>
      </c>
      <c r="C1152" s="53" t="s">
        <v>610</v>
      </c>
      <c r="D1152" s="54"/>
      <c r="E1152" s="17">
        <v>6231.65</v>
      </c>
      <c r="F1152" s="18" t="s">
        <v>21</v>
      </c>
      <c r="G1152" s="17">
        <v>1211268.6499999999</v>
      </c>
      <c r="H1152" s="1"/>
      <c r="I1152" s="1"/>
      <c r="J1152" s="1"/>
    </row>
    <row r="1153" spans="1:10" x14ac:dyDescent="0.75">
      <c r="A1153" s="16">
        <v>43798</v>
      </c>
      <c r="B1153" s="16">
        <v>43798</v>
      </c>
      <c r="C1153" s="53" t="s">
        <v>611</v>
      </c>
      <c r="D1153" s="54"/>
      <c r="E1153" s="17">
        <v>7307.82</v>
      </c>
      <c r="F1153" s="18" t="s">
        <v>21</v>
      </c>
      <c r="G1153" s="17">
        <v>1203960.83</v>
      </c>
      <c r="H1153" s="1"/>
      <c r="I1153" s="1"/>
      <c r="J1153" s="1"/>
    </row>
    <row r="1154" spans="1:10" x14ac:dyDescent="0.75">
      <c r="A1154" s="16">
        <v>43798</v>
      </c>
      <c r="B1154" s="16">
        <v>43798</v>
      </c>
      <c r="C1154" s="53" t="s">
        <v>612</v>
      </c>
      <c r="D1154" s="54"/>
      <c r="E1154" s="17">
        <v>13650</v>
      </c>
      <c r="F1154" s="18" t="s">
        <v>21</v>
      </c>
      <c r="G1154" s="17">
        <v>1190310.83</v>
      </c>
      <c r="H1154" s="1"/>
      <c r="I1154" s="1"/>
      <c r="J1154" s="1"/>
    </row>
    <row r="1155" spans="1:10" x14ac:dyDescent="0.75">
      <c r="A1155" s="16">
        <v>43798</v>
      </c>
      <c r="B1155" s="16">
        <v>43798</v>
      </c>
      <c r="C1155" s="53" t="s">
        <v>613</v>
      </c>
      <c r="D1155" s="54"/>
      <c r="E1155" s="17">
        <v>13837.47</v>
      </c>
      <c r="F1155" s="18" t="s">
        <v>21</v>
      </c>
      <c r="G1155" s="17">
        <v>1176473.3600000001</v>
      </c>
      <c r="H1155" s="1"/>
      <c r="I1155" s="1"/>
      <c r="J1155" s="1"/>
    </row>
    <row r="1156" spans="1:10" x14ac:dyDescent="0.75">
      <c r="A1156" s="16">
        <v>43798</v>
      </c>
      <c r="B1156" s="16">
        <v>43798</v>
      </c>
      <c r="C1156" s="53" t="s">
        <v>614</v>
      </c>
      <c r="D1156" s="54"/>
      <c r="E1156" s="17">
        <v>18152.2</v>
      </c>
      <c r="F1156" s="18" t="s">
        <v>21</v>
      </c>
      <c r="G1156" s="17">
        <v>1158321.1599999999</v>
      </c>
      <c r="H1156" s="1"/>
      <c r="I1156" s="1"/>
      <c r="J1156" s="1"/>
    </row>
    <row r="1157" spans="1:10" x14ac:dyDescent="0.75">
      <c r="A1157" s="16">
        <v>43798</v>
      </c>
      <c r="B1157" s="16">
        <v>43798</v>
      </c>
      <c r="C1157" s="53" t="s">
        <v>615</v>
      </c>
      <c r="D1157" s="54"/>
      <c r="E1157" s="17">
        <v>18906.23</v>
      </c>
      <c r="F1157" s="18" t="s">
        <v>21</v>
      </c>
      <c r="G1157" s="17">
        <v>1139414.93</v>
      </c>
      <c r="H1157" s="1"/>
      <c r="I1157" s="1"/>
      <c r="J1157" s="1"/>
    </row>
    <row r="1158" spans="1:10" x14ac:dyDescent="0.75">
      <c r="A1158" s="16">
        <v>43798</v>
      </c>
      <c r="B1158" s="16">
        <v>43798</v>
      </c>
      <c r="C1158" s="53" t="s">
        <v>616</v>
      </c>
      <c r="D1158" s="54"/>
      <c r="E1158" s="17">
        <v>18925.5</v>
      </c>
      <c r="F1158" s="18" t="s">
        <v>21</v>
      </c>
      <c r="G1158" s="17">
        <v>1120489.43</v>
      </c>
      <c r="H1158" s="1"/>
      <c r="I1158" s="1"/>
      <c r="J1158" s="1"/>
    </row>
    <row r="1159" spans="1:10" x14ac:dyDescent="0.75">
      <c r="A1159" s="20"/>
      <c r="B1159" s="20"/>
      <c r="C1159" s="8"/>
      <c r="D1159" s="9"/>
      <c r="E1159" s="20"/>
      <c r="F1159" s="20"/>
      <c r="G1159" s="20"/>
      <c r="H1159" s="1"/>
      <c r="I1159" s="1"/>
      <c r="J1159" s="1"/>
    </row>
    <row r="1160" spans="1:10" x14ac:dyDescent="0.75">
      <c r="A1160" s="34" t="s">
        <v>15</v>
      </c>
      <c r="B1160" s="35"/>
      <c r="C1160" s="35"/>
      <c r="D1160" s="35"/>
      <c r="E1160" s="35"/>
      <c r="F1160" s="35"/>
      <c r="G1160" s="36"/>
      <c r="H1160" s="1"/>
      <c r="I1160" s="1"/>
      <c r="J1160" s="1"/>
    </row>
    <row r="1161" spans="1:10" x14ac:dyDescent="0.75">
      <c r="A1161" s="21" t="s">
        <v>32</v>
      </c>
      <c r="B1161" s="22"/>
      <c r="C1161" s="22"/>
      <c r="D1161" s="23" t="s">
        <v>33</v>
      </c>
      <c r="E1161" s="22"/>
      <c r="F1161" s="22"/>
      <c r="G1161" s="24"/>
      <c r="H1161" s="1"/>
      <c r="I1161" s="1"/>
      <c r="J1161" s="1"/>
    </row>
    <row r="1162" spans="1:10" x14ac:dyDescent="0.75">
      <c r="A1162" s="37" t="s">
        <v>617</v>
      </c>
      <c r="B1162" s="37"/>
      <c r="C1162" s="37"/>
      <c r="D1162" s="37"/>
      <c r="E1162" s="37"/>
      <c r="F1162" s="37"/>
      <c r="G1162" s="37"/>
      <c r="H1162" s="37"/>
      <c r="I1162" s="1"/>
      <c r="J1162" s="1"/>
    </row>
    <row r="1163" spans="1:10" x14ac:dyDescent="0.75">
      <c r="A1163" s="55" t="s">
        <v>0</v>
      </c>
      <c r="B1163" s="55"/>
      <c r="C1163" s="55"/>
      <c r="D1163" s="55"/>
      <c r="E1163" s="55"/>
      <c r="F1163" s="55"/>
      <c r="G1163" s="55"/>
      <c r="H1163" s="55"/>
      <c r="I1163" s="1"/>
      <c r="J1163" s="1"/>
    </row>
    <row r="1164" spans="1:10" x14ac:dyDescent="0.75">
      <c r="A1164" s="55" t="s">
        <v>1</v>
      </c>
      <c r="B1164" s="55"/>
      <c r="C1164" s="55"/>
      <c r="D1164" s="55"/>
      <c r="E1164" s="55"/>
      <c r="F1164" s="55"/>
      <c r="G1164" s="55"/>
      <c r="H1164" s="55"/>
      <c r="I1164" s="1"/>
      <c r="J1164" s="1"/>
    </row>
    <row r="1165" spans="1:10" x14ac:dyDescent="0.75">
      <c r="A1165" s="38" t="s">
        <v>35</v>
      </c>
      <c r="B1165" s="39"/>
      <c r="C1165" s="39"/>
      <c r="D1165" s="39"/>
      <c r="E1165" s="39"/>
      <c r="F1165" s="39"/>
      <c r="G1165" s="40"/>
      <c r="H1165" s="1"/>
      <c r="I1165" s="1"/>
      <c r="J1165" s="1"/>
    </row>
    <row r="1166" spans="1:10" ht="21.5" x14ac:dyDescent="0.75">
      <c r="A1166" s="2" t="s">
        <v>3</v>
      </c>
      <c r="B1166" s="3" t="s">
        <v>4</v>
      </c>
      <c r="C1166" s="4"/>
      <c r="D1166" s="5" t="s">
        <v>5</v>
      </c>
      <c r="E1166" s="3" t="s">
        <v>6</v>
      </c>
      <c r="F1166" s="3" t="s">
        <v>7</v>
      </c>
      <c r="G1166" s="6" t="s">
        <v>8</v>
      </c>
      <c r="H1166" s="1"/>
      <c r="I1166" s="1"/>
      <c r="J1166" s="1"/>
    </row>
    <row r="1167" spans="1:10" ht="21.5" x14ac:dyDescent="0.75">
      <c r="A1167" s="41" t="s">
        <v>618</v>
      </c>
      <c r="B1167" s="41" t="s">
        <v>619</v>
      </c>
      <c r="C1167" s="44" t="s">
        <v>620</v>
      </c>
      <c r="D1167" s="45"/>
      <c r="E1167" s="7" t="s">
        <v>621</v>
      </c>
      <c r="F1167" s="7" t="s">
        <v>622</v>
      </c>
      <c r="G1167" s="60" t="s">
        <v>623</v>
      </c>
      <c r="H1167" s="1"/>
      <c r="I1167" s="1"/>
      <c r="J1167" s="1"/>
    </row>
    <row r="1168" spans="1:10" x14ac:dyDescent="0.75">
      <c r="A1168" s="42"/>
      <c r="B1168" s="42"/>
      <c r="C1168" s="46"/>
      <c r="D1168" s="47"/>
      <c r="E1168" s="51">
        <v>3264476.84</v>
      </c>
      <c r="F1168" s="51">
        <v>4007981.74</v>
      </c>
      <c r="G1168" s="61"/>
      <c r="H1168" s="1"/>
      <c r="I1168" s="1"/>
      <c r="J1168" s="1"/>
    </row>
    <row r="1169" spans="1:10" x14ac:dyDescent="0.75">
      <c r="A1169" s="43"/>
      <c r="B1169" s="43"/>
      <c r="C1169" s="8"/>
      <c r="D1169" s="9"/>
      <c r="E1169" s="52"/>
      <c r="F1169" s="52"/>
      <c r="G1169" s="62"/>
      <c r="H1169" s="1"/>
      <c r="I1169" s="1"/>
      <c r="J1169" s="1"/>
    </row>
    <row r="1170" spans="1:10" x14ac:dyDescent="0.75">
      <c r="A1170" s="34" t="s">
        <v>15</v>
      </c>
      <c r="B1170" s="35"/>
      <c r="C1170" s="35"/>
      <c r="D1170" s="35"/>
      <c r="E1170" s="35"/>
      <c r="F1170" s="35"/>
      <c r="G1170" s="36"/>
      <c r="H1170" s="1"/>
      <c r="I1170" s="1"/>
      <c r="J1170" s="1"/>
    </row>
    <row r="1171" spans="1:10" x14ac:dyDescent="0.75">
      <c r="A1171" s="34" t="s">
        <v>16</v>
      </c>
      <c r="B1171" s="35"/>
      <c r="C1171" s="35"/>
      <c r="D1171" s="35"/>
      <c r="E1171" s="35"/>
      <c r="F1171" s="35"/>
      <c r="G1171" s="36"/>
      <c r="H1171" s="1"/>
      <c r="I1171" s="1"/>
      <c r="J1171" s="1"/>
    </row>
    <row r="1172" spans="1:10" x14ac:dyDescent="0.75">
      <c r="A1172" s="37" t="s">
        <v>624</v>
      </c>
      <c r="B1172" s="37"/>
      <c r="C1172" s="37"/>
      <c r="D1172" s="37"/>
      <c r="E1172" s="37"/>
      <c r="F1172" s="37"/>
      <c r="G1172" s="37"/>
      <c r="H1172" s="37"/>
      <c r="I1172" s="1"/>
      <c r="J1172" s="1"/>
    </row>
    <row r="1173" spans="1:10" x14ac:dyDescent="0.75">
      <c r="A1173" s="55" t="s">
        <v>0</v>
      </c>
      <c r="B1173" s="55"/>
      <c r="C1173" s="55"/>
      <c r="D1173" s="55"/>
      <c r="E1173" s="55"/>
      <c r="F1173" s="55"/>
      <c r="G1173" s="55"/>
      <c r="H1173" s="55"/>
      <c r="I1173" s="1"/>
      <c r="J1173" s="1"/>
    </row>
    <row r="1174" spans="1:10" x14ac:dyDescent="0.75">
      <c r="A1174" s="55" t="s">
        <v>1</v>
      </c>
      <c r="B1174" s="55"/>
      <c r="C1174" s="55"/>
      <c r="D1174" s="55"/>
      <c r="E1174" s="55"/>
      <c r="F1174" s="55"/>
      <c r="G1174" s="55"/>
      <c r="H1174" s="55"/>
      <c r="I1174" s="1"/>
      <c r="J1174" s="1"/>
    </row>
    <row r="1175" spans="1:10" x14ac:dyDescent="0.75">
      <c r="A1175" s="34" t="s">
        <v>625</v>
      </c>
      <c r="B1175" s="35"/>
      <c r="C1175" s="35"/>
      <c r="D1175" s="35"/>
      <c r="E1175" s="35"/>
      <c r="F1175" s="35"/>
      <c r="G1175" s="36"/>
      <c r="H1175" s="1"/>
      <c r="I1175" s="1"/>
      <c r="J1175" s="1"/>
    </row>
    <row r="1176" spans="1:10" ht="21.5" x14ac:dyDescent="0.75">
      <c r="A1176" s="2" t="s">
        <v>3</v>
      </c>
      <c r="B1176" s="3" t="s">
        <v>4</v>
      </c>
      <c r="C1176" s="4"/>
      <c r="D1176" s="5" t="s">
        <v>5</v>
      </c>
      <c r="E1176" s="3" t="s">
        <v>6</v>
      </c>
      <c r="F1176" s="3" t="s">
        <v>7</v>
      </c>
      <c r="G1176" s="6" t="s">
        <v>8</v>
      </c>
      <c r="H1176" s="1"/>
      <c r="I1176" s="1"/>
      <c r="J1176" s="1"/>
    </row>
    <row r="1177" spans="1:10" x14ac:dyDescent="0.75">
      <c r="A1177" s="10">
        <v>43798</v>
      </c>
      <c r="B1177" s="11"/>
      <c r="C1177" s="56" t="s">
        <v>19</v>
      </c>
      <c r="D1177" s="57"/>
      <c r="E1177" s="11"/>
      <c r="F1177" s="11"/>
      <c r="G1177" s="12">
        <v>1104357.72</v>
      </c>
      <c r="H1177" s="1"/>
      <c r="I1177" s="1"/>
      <c r="J1177" s="1"/>
    </row>
    <row r="1178" spans="1:10" x14ac:dyDescent="0.75">
      <c r="A1178" s="13">
        <v>43801</v>
      </c>
      <c r="B1178" s="13">
        <v>43801</v>
      </c>
      <c r="C1178" s="58" t="s">
        <v>28</v>
      </c>
      <c r="D1178" s="59"/>
      <c r="E1178" s="15" t="s">
        <v>21</v>
      </c>
      <c r="F1178" s="14">
        <v>54746.45</v>
      </c>
      <c r="G1178" s="14">
        <v>1159104.17</v>
      </c>
      <c r="H1178" s="1"/>
      <c r="I1178" s="1"/>
      <c r="J1178" s="1"/>
    </row>
    <row r="1179" spans="1:10" x14ac:dyDescent="0.75">
      <c r="A1179" s="16">
        <v>43801</v>
      </c>
      <c r="B1179" s="16">
        <v>43801</v>
      </c>
      <c r="C1179" s="53" t="s">
        <v>626</v>
      </c>
      <c r="D1179" s="54"/>
      <c r="E1179" s="17">
        <v>178220.55</v>
      </c>
      <c r="F1179" s="18" t="s">
        <v>21</v>
      </c>
      <c r="G1179" s="17">
        <v>980883.62</v>
      </c>
      <c r="H1179" s="1"/>
      <c r="I1179" s="1"/>
      <c r="J1179" s="1"/>
    </row>
    <row r="1180" spans="1:10" x14ac:dyDescent="0.75">
      <c r="A1180" s="16">
        <v>43801</v>
      </c>
      <c r="B1180" s="16">
        <v>43801</v>
      </c>
      <c r="C1180" s="53" t="s">
        <v>627</v>
      </c>
      <c r="D1180" s="54"/>
      <c r="E1180" s="17">
        <v>3616.2</v>
      </c>
      <c r="F1180" s="18" t="s">
        <v>21</v>
      </c>
      <c r="G1180" s="17">
        <v>977267.42</v>
      </c>
      <c r="H1180" s="1"/>
      <c r="I1180" s="1"/>
      <c r="J1180" s="1"/>
    </row>
    <row r="1181" spans="1:10" x14ac:dyDescent="0.75">
      <c r="A1181" s="16">
        <v>43801</v>
      </c>
      <c r="B1181" s="16">
        <v>43801</v>
      </c>
      <c r="C1181" s="53" t="s">
        <v>628</v>
      </c>
      <c r="D1181" s="54"/>
      <c r="E1181" s="17">
        <v>13669.34</v>
      </c>
      <c r="F1181" s="18" t="s">
        <v>21</v>
      </c>
      <c r="G1181" s="17">
        <v>963598.08</v>
      </c>
      <c r="H1181" s="1"/>
      <c r="I1181" s="1"/>
      <c r="J1181" s="1"/>
    </row>
    <row r="1182" spans="1:10" x14ac:dyDescent="0.75">
      <c r="A1182" s="16">
        <v>43801</v>
      </c>
      <c r="B1182" s="16">
        <v>43801</v>
      </c>
      <c r="C1182" s="53" t="s">
        <v>629</v>
      </c>
      <c r="D1182" s="54"/>
      <c r="E1182" s="17">
        <v>17705.060000000001</v>
      </c>
      <c r="F1182" s="18" t="s">
        <v>21</v>
      </c>
      <c r="G1182" s="17">
        <v>945893.02</v>
      </c>
      <c r="H1182" s="1"/>
      <c r="I1182" s="1"/>
      <c r="J1182" s="1"/>
    </row>
    <row r="1183" spans="1:10" x14ac:dyDescent="0.75">
      <c r="A1183" s="16">
        <v>43801</v>
      </c>
      <c r="B1183" s="16">
        <v>43801</v>
      </c>
      <c r="C1183" s="53" t="s">
        <v>630</v>
      </c>
      <c r="D1183" s="54"/>
      <c r="E1183" s="17">
        <v>31470.639999999999</v>
      </c>
      <c r="F1183" s="18" t="s">
        <v>21</v>
      </c>
      <c r="G1183" s="17">
        <v>914422.38</v>
      </c>
      <c r="H1183" s="1"/>
      <c r="I1183" s="1"/>
      <c r="J1183" s="1"/>
    </row>
    <row r="1184" spans="1:10" x14ac:dyDescent="0.75">
      <c r="A1184" s="16">
        <v>43801</v>
      </c>
      <c r="B1184" s="16">
        <v>43801</v>
      </c>
      <c r="C1184" s="53" t="s">
        <v>631</v>
      </c>
      <c r="D1184" s="54"/>
      <c r="E1184" s="17">
        <v>34532.5</v>
      </c>
      <c r="F1184" s="18" t="s">
        <v>21</v>
      </c>
      <c r="G1184" s="17">
        <v>879889.88</v>
      </c>
      <c r="H1184" s="1"/>
      <c r="I1184" s="1"/>
      <c r="J1184" s="1"/>
    </row>
    <row r="1185" spans="1:10" x14ac:dyDescent="0.75">
      <c r="A1185" s="16">
        <v>43802</v>
      </c>
      <c r="B1185" s="16">
        <v>43802</v>
      </c>
      <c r="C1185" s="53" t="s">
        <v>28</v>
      </c>
      <c r="D1185" s="54"/>
      <c r="E1185" s="18" t="s">
        <v>21</v>
      </c>
      <c r="F1185" s="17">
        <v>72236.98</v>
      </c>
      <c r="G1185" s="17">
        <v>952126.86</v>
      </c>
      <c r="H1185" s="1"/>
      <c r="I1185" s="1"/>
      <c r="J1185" s="1"/>
    </row>
    <row r="1186" spans="1:10" x14ac:dyDescent="0.75">
      <c r="A1186" s="16">
        <v>43802</v>
      </c>
      <c r="B1186" s="16">
        <v>43802</v>
      </c>
      <c r="C1186" s="53" t="s">
        <v>632</v>
      </c>
      <c r="D1186" s="54"/>
      <c r="E1186" s="17">
        <v>1120</v>
      </c>
      <c r="F1186" s="18" t="s">
        <v>21</v>
      </c>
      <c r="G1186" s="17">
        <v>951006.86</v>
      </c>
      <c r="H1186" s="1"/>
      <c r="I1186" s="1"/>
      <c r="J1186" s="1"/>
    </row>
    <row r="1187" spans="1:10" x14ac:dyDescent="0.75">
      <c r="A1187" s="16">
        <v>43802</v>
      </c>
      <c r="B1187" s="16">
        <v>43802</v>
      </c>
      <c r="C1187" s="53" t="s">
        <v>633</v>
      </c>
      <c r="D1187" s="54"/>
      <c r="E1187" s="17">
        <v>1300</v>
      </c>
      <c r="F1187" s="18" t="s">
        <v>21</v>
      </c>
      <c r="G1187" s="17">
        <v>949706.86</v>
      </c>
      <c r="H1187" s="1"/>
      <c r="I1187" s="1"/>
      <c r="J1187" s="1"/>
    </row>
    <row r="1188" spans="1:10" x14ac:dyDescent="0.75">
      <c r="A1188" s="16">
        <v>43802</v>
      </c>
      <c r="B1188" s="16">
        <v>43802</v>
      </c>
      <c r="C1188" s="53" t="s">
        <v>634</v>
      </c>
      <c r="D1188" s="54"/>
      <c r="E1188" s="17">
        <v>1920</v>
      </c>
      <c r="F1188" s="18" t="s">
        <v>21</v>
      </c>
      <c r="G1188" s="17">
        <v>947786.86</v>
      </c>
      <c r="H1188" s="1"/>
      <c r="I1188" s="1"/>
      <c r="J1188" s="1"/>
    </row>
    <row r="1189" spans="1:10" x14ac:dyDescent="0.75">
      <c r="A1189" s="16">
        <v>43802</v>
      </c>
      <c r="B1189" s="16">
        <v>43802</v>
      </c>
      <c r="C1189" s="53" t="s">
        <v>635</v>
      </c>
      <c r="D1189" s="54"/>
      <c r="E1189" s="19">
        <v>943.5</v>
      </c>
      <c r="F1189" s="18" t="s">
        <v>21</v>
      </c>
      <c r="G1189" s="17">
        <v>946843.36</v>
      </c>
      <c r="H1189" s="1"/>
      <c r="I1189" s="1"/>
      <c r="J1189" s="1"/>
    </row>
    <row r="1190" spans="1:10" x14ac:dyDescent="0.75">
      <c r="A1190" s="20"/>
      <c r="B1190" s="20"/>
      <c r="C1190" s="8"/>
      <c r="D1190" s="9"/>
      <c r="E1190" s="20"/>
      <c r="F1190" s="20"/>
      <c r="G1190" s="20"/>
      <c r="H1190" s="1"/>
      <c r="I1190" s="1"/>
      <c r="J1190" s="1"/>
    </row>
    <row r="1191" spans="1:10" x14ac:dyDescent="0.75">
      <c r="A1191" s="34" t="s">
        <v>15</v>
      </c>
      <c r="B1191" s="35"/>
      <c r="C1191" s="35"/>
      <c r="D1191" s="35"/>
      <c r="E1191" s="35"/>
      <c r="F1191" s="35"/>
      <c r="G1191" s="36"/>
      <c r="H1191" s="1"/>
      <c r="I1191" s="1"/>
      <c r="J1191" s="1"/>
    </row>
    <row r="1192" spans="1:10" x14ac:dyDescent="0.75">
      <c r="A1192" s="21" t="s">
        <v>32</v>
      </c>
      <c r="B1192" s="22"/>
      <c r="C1192" s="22"/>
      <c r="D1192" s="23" t="s">
        <v>33</v>
      </c>
      <c r="E1192" s="22"/>
      <c r="F1192" s="22"/>
      <c r="G1192" s="24"/>
      <c r="H1192" s="1"/>
      <c r="I1192" s="1"/>
      <c r="J1192" s="1"/>
    </row>
    <row r="1193" spans="1:10" x14ac:dyDescent="0.75">
      <c r="A1193" s="37" t="s">
        <v>636</v>
      </c>
      <c r="B1193" s="37"/>
      <c r="C1193" s="37"/>
      <c r="D1193" s="37"/>
      <c r="E1193" s="37"/>
      <c r="F1193" s="37"/>
      <c r="G1193" s="37"/>
      <c r="H1193" s="37"/>
      <c r="I1193" s="1"/>
      <c r="J1193" s="1"/>
    </row>
    <row r="1194" spans="1:10" x14ac:dyDescent="0.75">
      <c r="A1194" s="55" t="s">
        <v>0</v>
      </c>
      <c r="B1194" s="55"/>
      <c r="C1194" s="55"/>
      <c r="D1194" s="55"/>
      <c r="E1194" s="55"/>
      <c r="F1194" s="55"/>
      <c r="G1194" s="55"/>
      <c r="H1194" s="55"/>
      <c r="I1194" s="1"/>
      <c r="J1194" s="1"/>
    </row>
    <row r="1195" spans="1:10" x14ac:dyDescent="0.75">
      <c r="A1195" s="55" t="s">
        <v>1</v>
      </c>
      <c r="B1195" s="55"/>
      <c r="C1195" s="55"/>
      <c r="D1195" s="55"/>
      <c r="E1195" s="55"/>
      <c r="F1195" s="55"/>
      <c r="G1195" s="55"/>
      <c r="H1195" s="55"/>
      <c r="I1195" s="1"/>
      <c r="J1195" s="1"/>
    </row>
    <row r="1196" spans="1:10" x14ac:dyDescent="0.75">
      <c r="A1196" s="38" t="s">
        <v>35</v>
      </c>
      <c r="B1196" s="39"/>
      <c r="C1196" s="39"/>
      <c r="D1196" s="39"/>
      <c r="E1196" s="39"/>
      <c r="F1196" s="39"/>
      <c r="G1196" s="40"/>
      <c r="H1196" s="1"/>
      <c r="I1196" s="1"/>
      <c r="J1196" s="1"/>
    </row>
    <row r="1197" spans="1:10" ht="21.5" x14ac:dyDescent="0.75">
      <c r="A1197" s="2" t="s">
        <v>3</v>
      </c>
      <c r="B1197" s="3" t="s">
        <v>4</v>
      </c>
      <c r="C1197" s="4"/>
      <c r="D1197" s="5" t="s">
        <v>5</v>
      </c>
      <c r="E1197" s="3" t="s">
        <v>6</v>
      </c>
      <c r="F1197" s="3" t="s">
        <v>7</v>
      </c>
      <c r="G1197" s="6" t="s">
        <v>8</v>
      </c>
      <c r="H1197" s="1"/>
      <c r="I1197" s="1"/>
      <c r="J1197" s="1"/>
    </row>
    <row r="1198" spans="1:10" x14ac:dyDescent="0.75">
      <c r="A1198" s="10">
        <v>43802</v>
      </c>
      <c r="B1198" s="11"/>
      <c r="C1198" s="56" t="s">
        <v>19</v>
      </c>
      <c r="D1198" s="57"/>
      <c r="E1198" s="11"/>
      <c r="F1198" s="11"/>
      <c r="G1198" s="12">
        <v>946843.36</v>
      </c>
      <c r="H1198" s="1"/>
      <c r="I1198" s="1"/>
      <c r="J1198" s="1"/>
    </row>
    <row r="1199" spans="1:10" x14ac:dyDescent="0.75">
      <c r="A1199" s="13">
        <v>43802</v>
      </c>
      <c r="B1199" s="13">
        <v>43802</v>
      </c>
      <c r="C1199" s="58" t="s">
        <v>637</v>
      </c>
      <c r="D1199" s="59"/>
      <c r="E1199" s="14">
        <v>1288.31</v>
      </c>
      <c r="F1199" s="15" t="s">
        <v>21</v>
      </c>
      <c r="G1199" s="14">
        <v>945555.05</v>
      </c>
      <c r="H1199" s="1"/>
      <c r="I1199" s="1"/>
      <c r="J1199" s="1"/>
    </row>
    <row r="1200" spans="1:10" x14ac:dyDescent="0.75">
      <c r="A1200" s="16">
        <v>43802</v>
      </c>
      <c r="B1200" s="16">
        <v>43802</v>
      </c>
      <c r="C1200" s="53" t="s">
        <v>638</v>
      </c>
      <c r="D1200" s="54"/>
      <c r="E1200" s="17">
        <v>1713.09</v>
      </c>
      <c r="F1200" s="18" t="s">
        <v>21</v>
      </c>
      <c r="G1200" s="17">
        <v>943841.96</v>
      </c>
      <c r="H1200" s="1"/>
      <c r="I1200" s="1"/>
      <c r="J1200" s="1"/>
    </row>
    <row r="1201" spans="1:10" x14ac:dyDescent="0.75">
      <c r="A1201" s="16">
        <v>43802</v>
      </c>
      <c r="B1201" s="16">
        <v>43802</v>
      </c>
      <c r="C1201" s="53" t="s">
        <v>639</v>
      </c>
      <c r="D1201" s="54"/>
      <c r="E1201" s="17">
        <v>9579.2000000000007</v>
      </c>
      <c r="F1201" s="18" t="s">
        <v>21</v>
      </c>
      <c r="G1201" s="17">
        <v>934262.76</v>
      </c>
      <c r="H1201" s="1"/>
      <c r="I1201" s="1"/>
      <c r="J1201" s="1"/>
    </row>
    <row r="1202" spans="1:10" x14ac:dyDescent="0.75">
      <c r="A1202" s="16">
        <v>43803</v>
      </c>
      <c r="B1202" s="16">
        <v>43803</v>
      </c>
      <c r="C1202" s="53" t="s">
        <v>28</v>
      </c>
      <c r="D1202" s="54"/>
      <c r="E1202" s="18" t="s">
        <v>21</v>
      </c>
      <c r="F1202" s="17">
        <v>9911.31</v>
      </c>
      <c r="G1202" s="17">
        <v>944174.07</v>
      </c>
      <c r="H1202" s="1"/>
      <c r="I1202" s="1"/>
      <c r="J1202" s="1"/>
    </row>
    <row r="1203" spans="1:10" x14ac:dyDescent="0.75">
      <c r="A1203" s="16">
        <v>43803</v>
      </c>
      <c r="B1203" s="16">
        <v>43803</v>
      </c>
      <c r="C1203" s="53" t="s">
        <v>640</v>
      </c>
      <c r="D1203" s="54"/>
      <c r="E1203" s="19">
        <v>824.5</v>
      </c>
      <c r="F1203" s="18" t="s">
        <v>21</v>
      </c>
      <c r="G1203" s="17">
        <v>943349.57</v>
      </c>
      <c r="H1203" s="1"/>
      <c r="I1203" s="1"/>
      <c r="J1203" s="1"/>
    </row>
    <row r="1204" spans="1:10" x14ac:dyDescent="0.75">
      <c r="A1204" s="16">
        <v>43803</v>
      </c>
      <c r="B1204" s="16">
        <v>43803</v>
      </c>
      <c r="C1204" s="53" t="s">
        <v>641</v>
      </c>
      <c r="D1204" s="54"/>
      <c r="E1204" s="17">
        <v>3395</v>
      </c>
      <c r="F1204" s="18" t="s">
        <v>21</v>
      </c>
      <c r="G1204" s="17">
        <v>939954.57</v>
      </c>
      <c r="H1204" s="1"/>
      <c r="I1204" s="1"/>
      <c r="J1204" s="1"/>
    </row>
    <row r="1205" spans="1:10" x14ac:dyDescent="0.75">
      <c r="A1205" s="16">
        <v>43803</v>
      </c>
      <c r="B1205" s="16">
        <v>43803</v>
      </c>
      <c r="C1205" s="53" t="s">
        <v>642</v>
      </c>
      <c r="D1205" s="54"/>
      <c r="E1205" s="17">
        <v>6760.9</v>
      </c>
      <c r="F1205" s="18" t="s">
        <v>21</v>
      </c>
      <c r="G1205" s="17">
        <v>933193.67</v>
      </c>
      <c r="H1205" s="1"/>
      <c r="I1205" s="1"/>
      <c r="J1205" s="1"/>
    </row>
    <row r="1206" spans="1:10" x14ac:dyDescent="0.75">
      <c r="A1206" s="16">
        <v>43803</v>
      </c>
      <c r="B1206" s="16">
        <v>43803</v>
      </c>
      <c r="C1206" s="53" t="s">
        <v>643</v>
      </c>
      <c r="D1206" s="54"/>
      <c r="E1206" s="17">
        <v>11072.25</v>
      </c>
      <c r="F1206" s="18" t="s">
        <v>21</v>
      </c>
      <c r="G1206" s="17">
        <v>922121.42</v>
      </c>
      <c r="H1206" s="1"/>
      <c r="I1206" s="1"/>
      <c r="J1206" s="1"/>
    </row>
    <row r="1207" spans="1:10" x14ac:dyDescent="0.75">
      <c r="A1207" s="16">
        <v>43803</v>
      </c>
      <c r="B1207" s="16">
        <v>43803</v>
      </c>
      <c r="C1207" s="53" t="s">
        <v>644</v>
      </c>
      <c r="D1207" s="54"/>
      <c r="E1207" s="17">
        <v>28898.71</v>
      </c>
      <c r="F1207" s="18" t="s">
        <v>21</v>
      </c>
      <c r="G1207" s="17">
        <v>893222.71</v>
      </c>
      <c r="H1207" s="1"/>
      <c r="I1207" s="1"/>
      <c r="J1207" s="1"/>
    </row>
    <row r="1208" spans="1:10" x14ac:dyDescent="0.75">
      <c r="A1208" s="16">
        <v>43803</v>
      </c>
      <c r="B1208" s="16">
        <v>43803</v>
      </c>
      <c r="C1208" s="53" t="s">
        <v>645</v>
      </c>
      <c r="D1208" s="54"/>
      <c r="E1208" s="17">
        <v>32775.06</v>
      </c>
      <c r="F1208" s="18" t="s">
        <v>21</v>
      </c>
      <c r="G1208" s="17">
        <v>860447.65</v>
      </c>
      <c r="H1208" s="1"/>
      <c r="I1208" s="1"/>
      <c r="J1208" s="1"/>
    </row>
    <row r="1209" spans="1:10" x14ac:dyDescent="0.75">
      <c r="A1209" s="16">
        <v>43803</v>
      </c>
      <c r="B1209" s="16">
        <v>43803</v>
      </c>
      <c r="C1209" s="53" t="s">
        <v>646</v>
      </c>
      <c r="D1209" s="54"/>
      <c r="E1209" s="17">
        <v>38490.57</v>
      </c>
      <c r="F1209" s="18" t="s">
        <v>21</v>
      </c>
      <c r="G1209" s="17">
        <v>821957.08</v>
      </c>
      <c r="H1209" s="1"/>
      <c r="I1209" s="1"/>
      <c r="J1209" s="1"/>
    </row>
    <row r="1210" spans="1:10" x14ac:dyDescent="0.75">
      <c r="A1210" s="16">
        <v>43803</v>
      </c>
      <c r="B1210" s="16">
        <v>43803</v>
      </c>
      <c r="C1210" s="53" t="s">
        <v>647</v>
      </c>
      <c r="D1210" s="54"/>
      <c r="E1210" s="17">
        <v>48252.21</v>
      </c>
      <c r="F1210" s="18" t="s">
        <v>21</v>
      </c>
      <c r="G1210" s="17">
        <v>773704.87</v>
      </c>
      <c r="H1210" s="1"/>
      <c r="I1210" s="1"/>
      <c r="J1210" s="1"/>
    </row>
    <row r="1211" spans="1:10" x14ac:dyDescent="0.75">
      <c r="A1211" s="20"/>
      <c r="B1211" s="20"/>
      <c r="C1211" s="8"/>
      <c r="D1211" s="9"/>
      <c r="E1211" s="20"/>
      <c r="F1211" s="20"/>
      <c r="G1211" s="20"/>
      <c r="H1211" s="1"/>
      <c r="I1211" s="1"/>
      <c r="J1211" s="1"/>
    </row>
    <row r="1212" spans="1:10" x14ac:dyDescent="0.75">
      <c r="A1212" s="34" t="s">
        <v>15</v>
      </c>
      <c r="B1212" s="35"/>
      <c r="C1212" s="35"/>
      <c r="D1212" s="35"/>
      <c r="E1212" s="35"/>
      <c r="F1212" s="35"/>
      <c r="G1212" s="36"/>
      <c r="H1212" s="1"/>
      <c r="I1212" s="1"/>
      <c r="J1212" s="1"/>
    </row>
    <row r="1213" spans="1:10" x14ac:dyDescent="0.75">
      <c r="A1213" s="21" t="s">
        <v>32</v>
      </c>
      <c r="B1213" s="22"/>
      <c r="C1213" s="22"/>
      <c r="D1213" s="23" t="s">
        <v>33</v>
      </c>
      <c r="E1213" s="22"/>
      <c r="F1213" s="22"/>
      <c r="G1213" s="24"/>
      <c r="H1213" s="1"/>
      <c r="I1213" s="1"/>
      <c r="J1213" s="1"/>
    </row>
    <row r="1214" spans="1:10" x14ac:dyDescent="0.75">
      <c r="A1214" s="37" t="s">
        <v>648</v>
      </c>
      <c r="B1214" s="37"/>
      <c r="C1214" s="37"/>
      <c r="D1214" s="37"/>
      <c r="E1214" s="37"/>
      <c r="F1214" s="37"/>
      <c r="G1214" s="37"/>
      <c r="H1214" s="37"/>
      <c r="I1214" s="1"/>
      <c r="J1214" s="1"/>
    </row>
    <row r="1215" spans="1:10" x14ac:dyDescent="0.75">
      <c r="A1215" s="55" t="s">
        <v>0</v>
      </c>
      <c r="B1215" s="55"/>
      <c r="C1215" s="55"/>
      <c r="D1215" s="55"/>
      <c r="E1215" s="55"/>
      <c r="F1215" s="55"/>
      <c r="G1215" s="55"/>
      <c r="H1215" s="55"/>
      <c r="I1215" s="1"/>
      <c r="J1215" s="1"/>
    </row>
    <row r="1216" spans="1:10" x14ac:dyDescent="0.75">
      <c r="A1216" s="55" t="s">
        <v>1</v>
      </c>
      <c r="B1216" s="55"/>
      <c r="C1216" s="55"/>
      <c r="D1216" s="55"/>
      <c r="E1216" s="55"/>
      <c r="F1216" s="55"/>
      <c r="G1216" s="55"/>
      <c r="H1216" s="55"/>
      <c r="I1216" s="1"/>
      <c r="J1216" s="1"/>
    </row>
    <row r="1217" spans="1:10" x14ac:dyDescent="0.75">
      <c r="A1217" s="38" t="s">
        <v>35</v>
      </c>
      <c r="B1217" s="39"/>
      <c r="C1217" s="39"/>
      <c r="D1217" s="39"/>
      <c r="E1217" s="39"/>
      <c r="F1217" s="39"/>
      <c r="G1217" s="40"/>
      <c r="H1217" s="1"/>
      <c r="I1217" s="1"/>
      <c r="J1217" s="1"/>
    </row>
    <row r="1218" spans="1:10" ht="21.5" x14ac:dyDescent="0.75">
      <c r="A1218" s="2" t="s">
        <v>3</v>
      </c>
      <c r="B1218" s="3" t="s">
        <v>4</v>
      </c>
      <c r="C1218" s="4"/>
      <c r="D1218" s="5" t="s">
        <v>5</v>
      </c>
      <c r="E1218" s="3" t="s">
        <v>6</v>
      </c>
      <c r="F1218" s="3" t="s">
        <v>7</v>
      </c>
      <c r="G1218" s="6" t="s">
        <v>8</v>
      </c>
      <c r="H1218" s="1"/>
      <c r="I1218" s="1"/>
      <c r="J1218" s="1"/>
    </row>
    <row r="1219" spans="1:10" x14ac:dyDescent="0.75">
      <c r="A1219" s="10">
        <v>43803</v>
      </c>
      <c r="B1219" s="11"/>
      <c r="C1219" s="56" t="s">
        <v>19</v>
      </c>
      <c r="D1219" s="57"/>
      <c r="E1219" s="11"/>
      <c r="F1219" s="11"/>
      <c r="G1219" s="12">
        <v>773704.87</v>
      </c>
      <c r="H1219" s="1"/>
      <c r="I1219" s="1"/>
      <c r="J1219" s="1"/>
    </row>
    <row r="1220" spans="1:10" x14ac:dyDescent="0.75">
      <c r="A1220" s="13">
        <v>43803</v>
      </c>
      <c r="B1220" s="13">
        <v>43803</v>
      </c>
      <c r="C1220" s="58" t="s">
        <v>583</v>
      </c>
      <c r="D1220" s="59"/>
      <c r="E1220" s="14">
        <v>7069.8</v>
      </c>
      <c r="F1220" s="15" t="s">
        <v>21</v>
      </c>
      <c r="G1220" s="14">
        <v>766635.07</v>
      </c>
      <c r="H1220" s="1"/>
      <c r="I1220" s="1"/>
      <c r="J1220" s="1"/>
    </row>
    <row r="1221" spans="1:10" x14ac:dyDescent="0.75">
      <c r="A1221" s="16">
        <v>43803</v>
      </c>
      <c r="B1221" s="16">
        <v>43803</v>
      </c>
      <c r="C1221" s="53" t="s">
        <v>649</v>
      </c>
      <c r="D1221" s="54"/>
      <c r="E1221" s="19">
        <v>864.27</v>
      </c>
      <c r="F1221" s="18" t="s">
        <v>21</v>
      </c>
      <c r="G1221" s="17">
        <v>765770.8</v>
      </c>
      <c r="H1221" s="1"/>
      <c r="I1221" s="1"/>
      <c r="J1221" s="1"/>
    </row>
    <row r="1222" spans="1:10" x14ac:dyDescent="0.75">
      <c r="A1222" s="16">
        <v>43803</v>
      </c>
      <c r="B1222" s="16">
        <v>43803</v>
      </c>
      <c r="C1222" s="53" t="s">
        <v>650</v>
      </c>
      <c r="D1222" s="54"/>
      <c r="E1222" s="17">
        <v>10313.33</v>
      </c>
      <c r="F1222" s="18" t="s">
        <v>21</v>
      </c>
      <c r="G1222" s="17">
        <v>755457.47</v>
      </c>
      <c r="H1222" s="1"/>
      <c r="I1222" s="1"/>
      <c r="J1222" s="1"/>
    </row>
    <row r="1223" spans="1:10" x14ac:dyDescent="0.75">
      <c r="A1223" s="16">
        <v>43804</v>
      </c>
      <c r="B1223" s="16">
        <v>43804</v>
      </c>
      <c r="C1223" s="53" t="s">
        <v>28</v>
      </c>
      <c r="D1223" s="54"/>
      <c r="E1223" s="18" t="s">
        <v>21</v>
      </c>
      <c r="F1223" s="17">
        <v>9059.1</v>
      </c>
      <c r="G1223" s="17">
        <v>764516.57</v>
      </c>
      <c r="H1223" s="1"/>
      <c r="I1223" s="1"/>
      <c r="J1223" s="1"/>
    </row>
    <row r="1224" spans="1:10" x14ac:dyDescent="0.75">
      <c r="A1224" s="16">
        <v>43804</v>
      </c>
      <c r="B1224" s="16">
        <v>43804</v>
      </c>
      <c r="C1224" s="53" t="s">
        <v>651</v>
      </c>
      <c r="D1224" s="54"/>
      <c r="E1224" s="17">
        <v>1661.39</v>
      </c>
      <c r="F1224" s="18" t="s">
        <v>21</v>
      </c>
      <c r="G1224" s="17">
        <v>762855.18</v>
      </c>
      <c r="H1224" s="1"/>
      <c r="I1224" s="1"/>
      <c r="J1224" s="1"/>
    </row>
    <row r="1225" spans="1:10" x14ac:dyDescent="0.75">
      <c r="A1225" s="16">
        <v>43804</v>
      </c>
      <c r="B1225" s="16">
        <v>43804</v>
      </c>
      <c r="C1225" s="53" t="s">
        <v>652</v>
      </c>
      <c r="D1225" s="54"/>
      <c r="E1225" s="19">
        <v>525.47</v>
      </c>
      <c r="F1225" s="18" t="s">
        <v>21</v>
      </c>
      <c r="G1225" s="17">
        <v>762329.71</v>
      </c>
      <c r="H1225" s="1"/>
      <c r="I1225" s="1"/>
      <c r="J1225" s="1"/>
    </row>
    <row r="1226" spans="1:10" x14ac:dyDescent="0.75">
      <c r="A1226" s="16">
        <v>43804</v>
      </c>
      <c r="B1226" s="16">
        <v>43804</v>
      </c>
      <c r="C1226" s="53" t="s">
        <v>653</v>
      </c>
      <c r="D1226" s="54"/>
      <c r="E1226" s="17">
        <v>1829.87</v>
      </c>
      <c r="F1226" s="18" t="s">
        <v>21</v>
      </c>
      <c r="G1226" s="17">
        <v>760499.84</v>
      </c>
      <c r="H1226" s="1"/>
      <c r="I1226" s="1"/>
      <c r="J1226" s="1"/>
    </row>
    <row r="1227" spans="1:10" x14ac:dyDescent="0.75">
      <c r="A1227" s="16">
        <v>43804</v>
      </c>
      <c r="B1227" s="16">
        <v>43804</v>
      </c>
      <c r="C1227" s="53" t="s">
        <v>654</v>
      </c>
      <c r="D1227" s="54"/>
      <c r="E1227" s="17">
        <v>2425.5</v>
      </c>
      <c r="F1227" s="18" t="s">
        <v>21</v>
      </c>
      <c r="G1227" s="17">
        <v>758074.34</v>
      </c>
      <c r="H1227" s="1"/>
      <c r="I1227" s="1"/>
      <c r="J1227" s="1"/>
    </row>
    <row r="1228" spans="1:10" x14ac:dyDescent="0.75">
      <c r="A1228" s="16">
        <v>43804</v>
      </c>
      <c r="B1228" s="16">
        <v>43804</v>
      </c>
      <c r="C1228" s="53" t="s">
        <v>655</v>
      </c>
      <c r="D1228" s="54"/>
      <c r="E1228" s="17">
        <v>2451.25</v>
      </c>
      <c r="F1228" s="18" t="s">
        <v>21</v>
      </c>
      <c r="G1228" s="17">
        <v>755623.09</v>
      </c>
      <c r="H1228" s="1"/>
      <c r="I1228" s="1"/>
      <c r="J1228" s="1"/>
    </row>
    <row r="1229" spans="1:10" x14ac:dyDescent="0.75">
      <c r="A1229" s="16">
        <v>43804</v>
      </c>
      <c r="B1229" s="16">
        <v>43804</v>
      </c>
      <c r="C1229" s="53" t="s">
        <v>656</v>
      </c>
      <c r="D1229" s="54"/>
      <c r="E1229" s="17">
        <v>8617.14</v>
      </c>
      <c r="F1229" s="18" t="s">
        <v>21</v>
      </c>
      <c r="G1229" s="17">
        <v>747005.95</v>
      </c>
      <c r="H1229" s="1"/>
      <c r="I1229" s="1"/>
      <c r="J1229" s="1"/>
    </row>
    <row r="1230" spans="1:10" x14ac:dyDescent="0.75">
      <c r="A1230" s="16">
        <v>43804</v>
      </c>
      <c r="B1230" s="16">
        <v>43804</v>
      </c>
      <c r="C1230" s="53" t="s">
        <v>657</v>
      </c>
      <c r="D1230" s="54"/>
      <c r="E1230" s="17">
        <v>64275.75</v>
      </c>
      <c r="F1230" s="18" t="s">
        <v>21</v>
      </c>
      <c r="G1230" s="17">
        <v>682730.2</v>
      </c>
      <c r="H1230" s="1"/>
      <c r="I1230" s="1"/>
      <c r="J1230" s="1"/>
    </row>
    <row r="1231" spans="1:10" x14ac:dyDescent="0.75">
      <c r="A1231" s="16">
        <v>43804</v>
      </c>
      <c r="B1231" s="16">
        <v>43804</v>
      </c>
      <c r="C1231" s="53" t="s">
        <v>658</v>
      </c>
      <c r="D1231" s="54"/>
      <c r="E1231" s="17">
        <v>155676.20000000001</v>
      </c>
      <c r="F1231" s="18" t="s">
        <v>21</v>
      </c>
      <c r="G1231" s="17">
        <v>527054</v>
      </c>
      <c r="H1231" s="1"/>
      <c r="I1231" s="1"/>
      <c r="J1231" s="1"/>
    </row>
    <row r="1232" spans="1:10" x14ac:dyDescent="0.75">
      <c r="A1232" s="20"/>
      <c r="B1232" s="20"/>
      <c r="C1232" s="8"/>
      <c r="D1232" s="9"/>
      <c r="E1232" s="20"/>
      <c r="F1232" s="20"/>
      <c r="G1232" s="20"/>
      <c r="H1232" s="1"/>
      <c r="I1232" s="1"/>
      <c r="J1232" s="1"/>
    </row>
    <row r="1233" spans="1:10" x14ac:dyDescent="0.75">
      <c r="A1233" s="34" t="s">
        <v>15</v>
      </c>
      <c r="B1233" s="35"/>
      <c r="C1233" s="35"/>
      <c r="D1233" s="35"/>
      <c r="E1233" s="35"/>
      <c r="F1233" s="35"/>
      <c r="G1233" s="36"/>
      <c r="H1233" s="1"/>
      <c r="I1233" s="1"/>
      <c r="J1233" s="1"/>
    </row>
    <row r="1234" spans="1:10" x14ac:dyDescent="0.75">
      <c r="A1234" s="21" t="s">
        <v>32</v>
      </c>
      <c r="B1234" s="22"/>
      <c r="C1234" s="22"/>
      <c r="D1234" s="23" t="s">
        <v>33</v>
      </c>
      <c r="E1234" s="22"/>
      <c r="F1234" s="22"/>
      <c r="G1234" s="24"/>
      <c r="H1234" s="1"/>
      <c r="I1234" s="1"/>
      <c r="J1234" s="1"/>
    </row>
    <row r="1235" spans="1:10" x14ac:dyDescent="0.75">
      <c r="A1235" s="37" t="s">
        <v>659</v>
      </c>
      <c r="B1235" s="37"/>
      <c r="C1235" s="37"/>
      <c r="D1235" s="37"/>
      <c r="E1235" s="37"/>
      <c r="F1235" s="37"/>
      <c r="G1235" s="37"/>
      <c r="H1235" s="37"/>
      <c r="I1235" s="1"/>
      <c r="J1235" s="1"/>
    </row>
    <row r="1236" spans="1:10" x14ac:dyDescent="0.75">
      <c r="A1236" s="55" t="s">
        <v>0</v>
      </c>
      <c r="B1236" s="55"/>
      <c r="C1236" s="55"/>
      <c r="D1236" s="55"/>
      <c r="E1236" s="55"/>
      <c r="F1236" s="55"/>
      <c r="G1236" s="55"/>
      <c r="H1236" s="55"/>
      <c r="I1236" s="1"/>
      <c r="J1236" s="1"/>
    </row>
    <row r="1237" spans="1:10" x14ac:dyDescent="0.75">
      <c r="A1237" s="55" t="s">
        <v>1</v>
      </c>
      <c r="B1237" s="55"/>
      <c r="C1237" s="55"/>
      <c r="D1237" s="55"/>
      <c r="E1237" s="55"/>
      <c r="F1237" s="55"/>
      <c r="G1237" s="55"/>
      <c r="H1237" s="55"/>
      <c r="I1237" s="1"/>
      <c r="J1237" s="1"/>
    </row>
    <row r="1238" spans="1:10" x14ac:dyDescent="0.75">
      <c r="A1238" s="38" t="s">
        <v>35</v>
      </c>
      <c r="B1238" s="39"/>
      <c r="C1238" s="39"/>
      <c r="D1238" s="39"/>
      <c r="E1238" s="39"/>
      <c r="F1238" s="39"/>
      <c r="G1238" s="40"/>
      <c r="H1238" s="1"/>
      <c r="I1238" s="1"/>
      <c r="J1238" s="1"/>
    </row>
    <row r="1239" spans="1:10" ht="21.5" x14ac:dyDescent="0.75">
      <c r="A1239" s="2" t="s">
        <v>3</v>
      </c>
      <c r="B1239" s="3" t="s">
        <v>4</v>
      </c>
      <c r="C1239" s="4"/>
      <c r="D1239" s="5" t="s">
        <v>5</v>
      </c>
      <c r="E1239" s="3" t="s">
        <v>6</v>
      </c>
      <c r="F1239" s="3" t="s">
        <v>7</v>
      </c>
      <c r="G1239" s="6" t="s">
        <v>8</v>
      </c>
      <c r="H1239" s="1"/>
      <c r="I1239" s="1"/>
      <c r="J1239" s="1"/>
    </row>
    <row r="1240" spans="1:10" x14ac:dyDescent="0.75">
      <c r="A1240" s="10">
        <v>43804</v>
      </c>
      <c r="B1240" s="11"/>
      <c r="C1240" s="56" t="s">
        <v>19</v>
      </c>
      <c r="D1240" s="57"/>
      <c r="E1240" s="11"/>
      <c r="F1240" s="11"/>
      <c r="G1240" s="12">
        <v>527054</v>
      </c>
      <c r="H1240" s="1"/>
      <c r="I1240" s="1"/>
      <c r="J1240" s="1"/>
    </row>
    <row r="1241" spans="1:10" x14ac:dyDescent="0.75">
      <c r="A1241" s="13">
        <v>43804</v>
      </c>
      <c r="B1241" s="13">
        <v>43804</v>
      </c>
      <c r="C1241" s="58" t="s">
        <v>660</v>
      </c>
      <c r="D1241" s="59"/>
      <c r="E1241" s="14">
        <v>359805.48</v>
      </c>
      <c r="F1241" s="15" t="s">
        <v>21</v>
      </c>
      <c r="G1241" s="14">
        <v>167248.51999999999</v>
      </c>
      <c r="H1241" s="1"/>
      <c r="I1241" s="1"/>
      <c r="J1241" s="1"/>
    </row>
    <row r="1242" spans="1:10" x14ac:dyDescent="0.75">
      <c r="A1242" s="16">
        <v>43808</v>
      </c>
      <c r="B1242" s="16">
        <v>43808</v>
      </c>
      <c r="C1242" s="53" t="s">
        <v>28</v>
      </c>
      <c r="D1242" s="54"/>
      <c r="E1242" s="18" t="s">
        <v>21</v>
      </c>
      <c r="F1242" s="17">
        <v>70014.12</v>
      </c>
      <c r="G1242" s="17">
        <v>237262.64</v>
      </c>
      <c r="H1242" s="1"/>
      <c r="I1242" s="1"/>
      <c r="J1242" s="1"/>
    </row>
    <row r="1243" spans="1:10" x14ac:dyDescent="0.75">
      <c r="A1243" s="16">
        <v>43808</v>
      </c>
      <c r="B1243" s="16">
        <v>43808</v>
      </c>
      <c r="C1243" s="53" t="s">
        <v>661</v>
      </c>
      <c r="D1243" s="54"/>
      <c r="E1243" s="19">
        <v>686.25</v>
      </c>
      <c r="F1243" s="18" t="s">
        <v>21</v>
      </c>
      <c r="G1243" s="17">
        <v>236576.39</v>
      </c>
      <c r="H1243" s="1"/>
      <c r="I1243" s="1"/>
      <c r="J1243" s="1"/>
    </row>
    <row r="1244" spans="1:10" x14ac:dyDescent="0.75">
      <c r="A1244" s="16">
        <v>43808</v>
      </c>
      <c r="B1244" s="16">
        <v>43808</v>
      </c>
      <c r="C1244" s="53" t="s">
        <v>662</v>
      </c>
      <c r="D1244" s="54"/>
      <c r="E1244" s="19">
        <v>883.79</v>
      </c>
      <c r="F1244" s="18" t="s">
        <v>21</v>
      </c>
      <c r="G1244" s="17">
        <v>235692.6</v>
      </c>
      <c r="H1244" s="1"/>
      <c r="I1244" s="1"/>
      <c r="J1244" s="1"/>
    </row>
    <row r="1245" spans="1:10" x14ac:dyDescent="0.75">
      <c r="A1245" s="16">
        <v>43808</v>
      </c>
      <c r="B1245" s="16">
        <v>43808</v>
      </c>
      <c r="C1245" s="53" t="s">
        <v>663</v>
      </c>
      <c r="D1245" s="54"/>
      <c r="E1245" s="17">
        <v>2176.38</v>
      </c>
      <c r="F1245" s="18" t="s">
        <v>21</v>
      </c>
      <c r="G1245" s="17">
        <v>233516.22</v>
      </c>
      <c r="H1245" s="1"/>
      <c r="I1245" s="1"/>
      <c r="J1245" s="1"/>
    </row>
    <row r="1246" spans="1:10" x14ac:dyDescent="0.75">
      <c r="A1246" s="16">
        <v>43808</v>
      </c>
      <c r="B1246" s="16">
        <v>43808</v>
      </c>
      <c r="C1246" s="53" t="s">
        <v>664</v>
      </c>
      <c r="D1246" s="54"/>
      <c r="E1246" s="17">
        <v>3412.4</v>
      </c>
      <c r="F1246" s="18" t="s">
        <v>21</v>
      </c>
      <c r="G1246" s="17">
        <v>230103.82</v>
      </c>
      <c r="H1246" s="1"/>
      <c r="I1246" s="1"/>
      <c r="J1246" s="1"/>
    </row>
    <row r="1247" spans="1:10" x14ac:dyDescent="0.75">
      <c r="A1247" s="16">
        <v>43808</v>
      </c>
      <c r="B1247" s="16">
        <v>43808</v>
      </c>
      <c r="C1247" s="53" t="s">
        <v>665</v>
      </c>
      <c r="D1247" s="54"/>
      <c r="E1247" s="17">
        <v>33617.82</v>
      </c>
      <c r="F1247" s="18" t="s">
        <v>21</v>
      </c>
      <c r="G1247" s="17">
        <v>196486</v>
      </c>
      <c r="H1247" s="1"/>
      <c r="I1247" s="1"/>
      <c r="J1247" s="1"/>
    </row>
    <row r="1248" spans="1:10" x14ac:dyDescent="0.75">
      <c r="A1248" s="16">
        <v>43809</v>
      </c>
      <c r="B1248" s="16">
        <v>43809</v>
      </c>
      <c r="C1248" s="53" t="s">
        <v>28</v>
      </c>
      <c r="D1248" s="54"/>
      <c r="E1248" s="18" t="s">
        <v>21</v>
      </c>
      <c r="F1248" s="17">
        <v>21228.7</v>
      </c>
      <c r="G1248" s="17">
        <v>217714.7</v>
      </c>
      <c r="H1248" s="1"/>
      <c r="I1248" s="1"/>
      <c r="J1248" s="1"/>
    </row>
    <row r="1249" spans="1:10" x14ac:dyDescent="0.75">
      <c r="A1249" s="16">
        <v>43809</v>
      </c>
      <c r="B1249" s="16">
        <v>43809</v>
      </c>
      <c r="C1249" s="53" t="s">
        <v>666</v>
      </c>
      <c r="D1249" s="54"/>
      <c r="E1249" s="19">
        <v>433.2</v>
      </c>
      <c r="F1249" s="18" t="s">
        <v>21</v>
      </c>
      <c r="G1249" s="17">
        <v>217281.5</v>
      </c>
      <c r="H1249" s="1"/>
      <c r="I1249" s="1"/>
      <c r="J1249" s="1"/>
    </row>
    <row r="1250" spans="1:10" x14ac:dyDescent="0.75">
      <c r="A1250" s="16">
        <v>43809</v>
      </c>
      <c r="B1250" s="16">
        <v>43809</v>
      </c>
      <c r="C1250" s="53" t="s">
        <v>667</v>
      </c>
      <c r="D1250" s="54"/>
      <c r="E1250" s="17">
        <v>6658.01</v>
      </c>
      <c r="F1250" s="18" t="s">
        <v>21</v>
      </c>
      <c r="G1250" s="17">
        <v>210623.49</v>
      </c>
      <c r="H1250" s="1"/>
      <c r="I1250" s="1"/>
      <c r="J1250" s="1"/>
    </row>
    <row r="1251" spans="1:10" x14ac:dyDescent="0.75">
      <c r="A1251" s="16">
        <v>43810</v>
      </c>
      <c r="B1251" s="16">
        <v>43810</v>
      </c>
      <c r="C1251" s="53" t="s">
        <v>28</v>
      </c>
      <c r="D1251" s="54"/>
      <c r="E1251" s="18" t="s">
        <v>21</v>
      </c>
      <c r="F1251" s="17">
        <v>59706.05</v>
      </c>
      <c r="G1251" s="17">
        <v>270329.53999999998</v>
      </c>
      <c r="H1251" s="1"/>
      <c r="I1251" s="1"/>
      <c r="J1251" s="1"/>
    </row>
    <row r="1252" spans="1:10" x14ac:dyDescent="0.75">
      <c r="A1252" s="16">
        <v>43811</v>
      </c>
      <c r="B1252" s="16">
        <v>43811</v>
      </c>
      <c r="C1252" s="53" t="s">
        <v>28</v>
      </c>
      <c r="D1252" s="54"/>
      <c r="E1252" s="18" t="s">
        <v>21</v>
      </c>
      <c r="F1252" s="17">
        <v>89232.04</v>
      </c>
      <c r="G1252" s="17">
        <v>359561.58</v>
      </c>
      <c r="H1252" s="1"/>
      <c r="I1252" s="1"/>
      <c r="J1252" s="1"/>
    </row>
    <row r="1253" spans="1:10" x14ac:dyDescent="0.75">
      <c r="A1253" s="20"/>
      <c r="B1253" s="20"/>
      <c r="C1253" s="8"/>
      <c r="D1253" s="9"/>
      <c r="E1253" s="20"/>
      <c r="F1253" s="20"/>
      <c r="G1253" s="20"/>
      <c r="H1253" s="1"/>
      <c r="I1253" s="1"/>
      <c r="J1253" s="1"/>
    </row>
    <row r="1254" spans="1:10" x14ac:dyDescent="0.75">
      <c r="A1254" s="34" t="s">
        <v>15</v>
      </c>
      <c r="B1254" s="35"/>
      <c r="C1254" s="35"/>
      <c r="D1254" s="35"/>
      <c r="E1254" s="35"/>
      <c r="F1254" s="35"/>
      <c r="G1254" s="36"/>
      <c r="H1254" s="1"/>
      <c r="I1254" s="1"/>
      <c r="J1254" s="1"/>
    </row>
    <row r="1255" spans="1:10" x14ac:dyDescent="0.75">
      <c r="A1255" s="21" t="s">
        <v>32</v>
      </c>
      <c r="B1255" s="22"/>
      <c r="C1255" s="22"/>
      <c r="D1255" s="23" t="s">
        <v>33</v>
      </c>
      <c r="E1255" s="22"/>
      <c r="F1255" s="22"/>
      <c r="G1255" s="24"/>
      <c r="H1255" s="1"/>
      <c r="I1255" s="1"/>
      <c r="J1255" s="1"/>
    </row>
    <row r="1256" spans="1:10" x14ac:dyDescent="0.75">
      <c r="A1256" s="37" t="s">
        <v>668</v>
      </c>
      <c r="B1256" s="37"/>
      <c r="C1256" s="37"/>
      <c r="D1256" s="37"/>
      <c r="E1256" s="37"/>
      <c r="F1256" s="37"/>
      <c r="G1256" s="37"/>
      <c r="H1256" s="37"/>
      <c r="I1256" s="1"/>
      <c r="J1256" s="1"/>
    </row>
    <row r="1257" spans="1:10" x14ac:dyDescent="0.75">
      <c r="A1257" s="55" t="s">
        <v>0</v>
      </c>
      <c r="B1257" s="55"/>
      <c r="C1257" s="55"/>
      <c r="D1257" s="55"/>
      <c r="E1257" s="55"/>
      <c r="F1257" s="55"/>
      <c r="G1257" s="55"/>
      <c r="H1257" s="55"/>
      <c r="I1257" s="1"/>
      <c r="J1257" s="1"/>
    </row>
    <row r="1258" spans="1:10" x14ac:dyDescent="0.75">
      <c r="A1258" s="55" t="s">
        <v>1</v>
      </c>
      <c r="B1258" s="55"/>
      <c r="C1258" s="55"/>
      <c r="D1258" s="55"/>
      <c r="E1258" s="55"/>
      <c r="F1258" s="55"/>
      <c r="G1258" s="55"/>
      <c r="H1258" s="55"/>
      <c r="I1258" s="1"/>
      <c r="J1258" s="1"/>
    </row>
    <row r="1259" spans="1:10" x14ac:dyDescent="0.75">
      <c r="A1259" s="38" t="s">
        <v>35</v>
      </c>
      <c r="B1259" s="39"/>
      <c r="C1259" s="39"/>
      <c r="D1259" s="39"/>
      <c r="E1259" s="39"/>
      <c r="F1259" s="39"/>
      <c r="G1259" s="40"/>
      <c r="H1259" s="1"/>
      <c r="I1259" s="1"/>
      <c r="J1259" s="1"/>
    </row>
    <row r="1260" spans="1:10" ht="21.5" x14ac:dyDescent="0.75">
      <c r="A1260" s="2" t="s">
        <v>3</v>
      </c>
      <c r="B1260" s="3" t="s">
        <v>4</v>
      </c>
      <c r="C1260" s="4"/>
      <c r="D1260" s="5" t="s">
        <v>5</v>
      </c>
      <c r="E1260" s="3" t="s">
        <v>6</v>
      </c>
      <c r="F1260" s="3" t="s">
        <v>7</v>
      </c>
      <c r="G1260" s="6" t="s">
        <v>8</v>
      </c>
      <c r="H1260" s="1"/>
      <c r="I1260" s="1"/>
      <c r="J1260" s="1"/>
    </row>
    <row r="1261" spans="1:10" x14ac:dyDescent="0.75">
      <c r="A1261" s="10">
        <v>43811</v>
      </c>
      <c r="B1261" s="11"/>
      <c r="C1261" s="56" t="s">
        <v>19</v>
      </c>
      <c r="D1261" s="57"/>
      <c r="E1261" s="11"/>
      <c r="F1261" s="11"/>
      <c r="G1261" s="12">
        <v>359561.58</v>
      </c>
      <c r="H1261" s="1"/>
      <c r="I1261" s="1"/>
      <c r="J1261" s="1"/>
    </row>
    <row r="1262" spans="1:10" x14ac:dyDescent="0.75">
      <c r="A1262" s="13">
        <v>43811</v>
      </c>
      <c r="B1262" s="13">
        <v>43811</v>
      </c>
      <c r="C1262" s="58" t="s">
        <v>669</v>
      </c>
      <c r="D1262" s="59"/>
      <c r="E1262" s="14">
        <v>4594</v>
      </c>
      <c r="F1262" s="15" t="s">
        <v>21</v>
      </c>
      <c r="G1262" s="14">
        <v>354967.58</v>
      </c>
      <c r="H1262" s="1"/>
      <c r="I1262" s="1"/>
      <c r="J1262" s="1"/>
    </row>
    <row r="1263" spans="1:10" x14ac:dyDescent="0.75">
      <c r="A1263" s="16">
        <v>43811</v>
      </c>
      <c r="B1263" s="16">
        <v>43811</v>
      </c>
      <c r="C1263" s="53" t="s">
        <v>583</v>
      </c>
      <c r="D1263" s="54"/>
      <c r="E1263" s="17">
        <v>18848.12</v>
      </c>
      <c r="F1263" s="18" t="s">
        <v>21</v>
      </c>
      <c r="G1263" s="17">
        <v>336119.46</v>
      </c>
      <c r="H1263" s="1"/>
      <c r="I1263" s="1"/>
      <c r="J1263" s="1"/>
    </row>
    <row r="1264" spans="1:10" x14ac:dyDescent="0.75">
      <c r="A1264" s="16">
        <v>43812</v>
      </c>
      <c r="B1264" s="16">
        <v>43812</v>
      </c>
      <c r="C1264" s="53" t="s">
        <v>28</v>
      </c>
      <c r="D1264" s="54"/>
      <c r="E1264" s="18" t="s">
        <v>21</v>
      </c>
      <c r="F1264" s="17">
        <v>4613.1000000000004</v>
      </c>
      <c r="G1264" s="17">
        <v>340732.56</v>
      </c>
      <c r="H1264" s="1"/>
      <c r="I1264" s="1"/>
      <c r="J1264" s="1"/>
    </row>
    <row r="1265" spans="1:10" x14ac:dyDescent="0.75">
      <c r="A1265" s="16">
        <v>43812</v>
      </c>
      <c r="B1265" s="16">
        <v>43812</v>
      </c>
      <c r="C1265" s="53" t="s">
        <v>670</v>
      </c>
      <c r="D1265" s="54"/>
      <c r="E1265" s="17">
        <v>1481.75</v>
      </c>
      <c r="F1265" s="18" t="s">
        <v>21</v>
      </c>
      <c r="G1265" s="17">
        <v>339250.81</v>
      </c>
      <c r="H1265" s="1"/>
      <c r="I1265" s="1"/>
      <c r="J1265" s="1"/>
    </row>
    <row r="1266" spans="1:10" x14ac:dyDescent="0.75">
      <c r="A1266" s="16">
        <v>43812</v>
      </c>
      <c r="B1266" s="16">
        <v>43812</v>
      </c>
      <c r="C1266" s="53" t="s">
        <v>671</v>
      </c>
      <c r="D1266" s="54"/>
      <c r="E1266" s="17">
        <v>2910</v>
      </c>
      <c r="F1266" s="18" t="s">
        <v>21</v>
      </c>
      <c r="G1266" s="17">
        <v>336340.81</v>
      </c>
      <c r="H1266" s="1"/>
      <c r="I1266" s="1"/>
      <c r="J1266" s="1"/>
    </row>
    <row r="1267" spans="1:10" x14ac:dyDescent="0.75">
      <c r="A1267" s="16">
        <v>43815</v>
      </c>
      <c r="B1267" s="16">
        <v>43815</v>
      </c>
      <c r="C1267" s="53" t="s">
        <v>28</v>
      </c>
      <c r="D1267" s="54"/>
      <c r="E1267" s="18" t="s">
        <v>21</v>
      </c>
      <c r="F1267" s="17">
        <v>162120.01999999999</v>
      </c>
      <c r="G1267" s="17">
        <v>498460.83</v>
      </c>
      <c r="H1267" s="1"/>
      <c r="I1267" s="1"/>
      <c r="J1267" s="1"/>
    </row>
    <row r="1268" spans="1:10" x14ac:dyDescent="0.75">
      <c r="A1268" s="16">
        <v>43815</v>
      </c>
      <c r="B1268" s="16">
        <v>43815</v>
      </c>
      <c r="C1268" s="53" t="s">
        <v>672</v>
      </c>
      <c r="D1268" s="54"/>
      <c r="E1268" s="19">
        <v>718.67</v>
      </c>
      <c r="F1268" s="18" t="s">
        <v>21</v>
      </c>
      <c r="G1268" s="17">
        <v>497742.16</v>
      </c>
      <c r="H1268" s="1"/>
      <c r="I1268" s="1"/>
      <c r="J1268" s="1"/>
    </row>
    <row r="1269" spans="1:10" x14ac:dyDescent="0.75">
      <c r="A1269" s="16">
        <v>43815</v>
      </c>
      <c r="B1269" s="16">
        <v>43815</v>
      </c>
      <c r="C1269" s="53" t="s">
        <v>673</v>
      </c>
      <c r="D1269" s="54"/>
      <c r="E1269" s="17">
        <v>1800</v>
      </c>
      <c r="F1269" s="18" t="s">
        <v>21</v>
      </c>
      <c r="G1269" s="17">
        <v>495942.16</v>
      </c>
      <c r="H1269" s="1"/>
      <c r="I1269" s="1"/>
      <c r="J1269" s="1"/>
    </row>
    <row r="1270" spans="1:10" x14ac:dyDescent="0.75">
      <c r="A1270" s="16">
        <v>43815</v>
      </c>
      <c r="B1270" s="16">
        <v>43815</v>
      </c>
      <c r="C1270" s="53" t="s">
        <v>674</v>
      </c>
      <c r="D1270" s="54"/>
      <c r="E1270" s="17">
        <v>2405</v>
      </c>
      <c r="F1270" s="18" t="s">
        <v>21</v>
      </c>
      <c r="G1270" s="17">
        <v>493537.16</v>
      </c>
      <c r="H1270" s="1"/>
      <c r="I1270" s="1"/>
      <c r="J1270" s="1"/>
    </row>
    <row r="1271" spans="1:10" x14ac:dyDescent="0.75">
      <c r="A1271" s="16">
        <v>43815</v>
      </c>
      <c r="B1271" s="16">
        <v>43815</v>
      </c>
      <c r="C1271" s="53" t="s">
        <v>675</v>
      </c>
      <c r="D1271" s="54"/>
      <c r="E1271" s="17">
        <v>3191.25</v>
      </c>
      <c r="F1271" s="18" t="s">
        <v>21</v>
      </c>
      <c r="G1271" s="17">
        <v>490345.91</v>
      </c>
      <c r="H1271" s="1"/>
      <c r="I1271" s="1"/>
      <c r="J1271" s="1"/>
    </row>
    <row r="1272" spans="1:10" x14ac:dyDescent="0.75">
      <c r="A1272" s="16">
        <v>43815</v>
      </c>
      <c r="B1272" s="16">
        <v>43815</v>
      </c>
      <c r="C1272" s="53" t="s">
        <v>676</v>
      </c>
      <c r="D1272" s="54"/>
      <c r="E1272" s="17">
        <v>3880</v>
      </c>
      <c r="F1272" s="18" t="s">
        <v>21</v>
      </c>
      <c r="G1272" s="17">
        <v>486465.91</v>
      </c>
      <c r="H1272" s="1"/>
      <c r="I1272" s="1"/>
      <c r="J1272" s="1"/>
    </row>
    <row r="1273" spans="1:10" x14ac:dyDescent="0.75">
      <c r="A1273" s="16">
        <v>43815</v>
      </c>
      <c r="B1273" s="16">
        <v>43815</v>
      </c>
      <c r="C1273" s="53" t="s">
        <v>677</v>
      </c>
      <c r="D1273" s="54"/>
      <c r="E1273" s="17">
        <v>4390.2299999999996</v>
      </c>
      <c r="F1273" s="18" t="s">
        <v>21</v>
      </c>
      <c r="G1273" s="17">
        <v>482075.68</v>
      </c>
      <c r="H1273" s="1"/>
      <c r="I1273" s="1"/>
      <c r="J1273" s="1"/>
    </row>
    <row r="1274" spans="1:10" x14ac:dyDescent="0.75">
      <c r="A1274" s="20"/>
      <c r="B1274" s="20"/>
      <c r="C1274" s="8"/>
      <c r="D1274" s="9"/>
      <c r="E1274" s="20"/>
      <c r="F1274" s="20"/>
      <c r="G1274" s="20"/>
      <c r="H1274" s="1"/>
      <c r="I1274" s="1"/>
      <c r="J1274" s="1"/>
    </row>
    <row r="1275" spans="1:10" x14ac:dyDescent="0.75">
      <c r="A1275" s="34" t="s">
        <v>15</v>
      </c>
      <c r="B1275" s="35"/>
      <c r="C1275" s="35"/>
      <c r="D1275" s="35"/>
      <c r="E1275" s="35"/>
      <c r="F1275" s="35"/>
      <c r="G1275" s="36"/>
      <c r="H1275" s="1"/>
      <c r="I1275" s="1"/>
      <c r="J1275" s="1"/>
    </row>
    <row r="1276" spans="1:10" x14ac:dyDescent="0.75">
      <c r="A1276" s="21" t="s">
        <v>32</v>
      </c>
      <c r="B1276" s="22"/>
      <c r="C1276" s="22"/>
      <c r="D1276" s="23" t="s">
        <v>33</v>
      </c>
      <c r="E1276" s="22"/>
      <c r="F1276" s="22"/>
      <c r="G1276" s="24"/>
      <c r="H1276" s="1"/>
      <c r="I1276" s="1"/>
      <c r="J1276" s="1"/>
    </row>
    <row r="1277" spans="1:10" x14ac:dyDescent="0.75">
      <c r="A1277" s="37" t="s">
        <v>678</v>
      </c>
      <c r="B1277" s="37"/>
      <c r="C1277" s="37"/>
      <c r="D1277" s="37"/>
      <c r="E1277" s="37"/>
      <c r="F1277" s="37"/>
      <c r="G1277" s="37"/>
      <c r="H1277" s="37"/>
      <c r="I1277" s="1"/>
      <c r="J1277" s="1"/>
    </row>
    <row r="1278" spans="1:10" x14ac:dyDescent="0.75">
      <c r="A1278" s="55" t="s">
        <v>0</v>
      </c>
      <c r="B1278" s="55"/>
      <c r="C1278" s="55"/>
      <c r="D1278" s="55"/>
      <c r="E1278" s="55"/>
      <c r="F1278" s="55"/>
      <c r="G1278" s="55"/>
      <c r="H1278" s="55"/>
      <c r="I1278" s="1"/>
      <c r="J1278" s="1"/>
    </row>
    <row r="1279" spans="1:10" x14ac:dyDescent="0.75">
      <c r="A1279" s="55" t="s">
        <v>1</v>
      </c>
      <c r="B1279" s="55"/>
      <c r="C1279" s="55"/>
      <c r="D1279" s="55"/>
      <c r="E1279" s="55"/>
      <c r="F1279" s="55"/>
      <c r="G1279" s="55"/>
      <c r="H1279" s="55"/>
      <c r="I1279" s="1"/>
      <c r="J1279" s="1"/>
    </row>
    <row r="1280" spans="1:10" x14ac:dyDescent="0.75">
      <c r="A1280" s="38" t="s">
        <v>35</v>
      </c>
      <c r="B1280" s="39"/>
      <c r="C1280" s="39"/>
      <c r="D1280" s="39"/>
      <c r="E1280" s="39"/>
      <c r="F1280" s="39"/>
      <c r="G1280" s="40"/>
      <c r="H1280" s="1"/>
      <c r="I1280" s="1"/>
      <c r="J1280" s="1"/>
    </row>
    <row r="1281" spans="1:10" ht="21.5" x14ac:dyDescent="0.75">
      <c r="A1281" s="2" t="s">
        <v>3</v>
      </c>
      <c r="B1281" s="3" t="s">
        <v>4</v>
      </c>
      <c r="C1281" s="4"/>
      <c r="D1281" s="5" t="s">
        <v>5</v>
      </c>
      <c r="E1281" s="3" t="s">
        <v>6</v>
      </c>
      <c r="F1281" s="3" t="s">
        <v>7</v>
      </c>
      <c r="G1281" s="6" t="s">
        <v>8</v>
      </c>
      <c r="H1281" s="1"/>
      <c r="I1281" s="1"/>
      <c r="J1281" s="1"/>
    </row>
    <row r="1282" spans="1:10" x14ac:dyDescent="0.75">
      <c r="A1282" s="10">
        <v>43815</v>
      </c>
      <c r="B1282" s="11"/>
      <c r="C1282" s="56" t="s">
        <v>19</v>
      </c>
      <c r="D1282" s="57"/>
      <c r="E1282" s="11"/>
      <c r="F1282" s="11"/>
      <c r="G1282" s="12">
        <v>482075.68</v>
      </c>
      <c r="H1282" s="1"/>
      <c r="I1282" s="1"/>
      <c r="J1282" s="1"/>
    </row>
    <row r="1283" spans="1:10" x14ac:dyDescent="0.75">
      <c r="A1283" s="13">
        <v>43816</v>
      </c>
      <c r="B1283" s="13">
        <v>43816</v>
      </c>
      <c r="C1283" s="58" t="s">
        <v>28</v>
      </c>
      <c r="D1283" s="59"/>
      <c r="E1283" s="15" t="s">
        <v>21</v>
      </c>
      <c r="F1283" s="14">
        <v>197915.73</v>
      </c>
      <c r="G1283" s="14">
        <v>679991.41</v>
      </c>
      <c r="H1283" s="1"/>
      <c r="I1283" s="1"/>
      <c r="J1283" s="1"/>
    </row>
    <row r="1284" spans="1:10" x14ac:dyDescent="0.75">
      <c r="A1284" s="16">
        <v>43816</v>
      </c>
      <c r="B1284" s="16">
        <v>43816</v>
      </c>
      <c r="C1284" s="53" t="s">
        <v>679</v>
      </c>
      <c r="D1284" s="54"/>
      <c r="E1284" s="17">
        <v>1304.25</v>
      </c>
      <c r="F1284" s="18" t="s">
        <v>21</v>
      </c>
      <c r="G1284" s="17">
        <v>678687.16</v>
      </c>
      <c r="H1284" s="1"/>
      <c r="I1284" s="1"/>
      <c r="J1284" s="1"/>
    </row>
    <row r="1285" spans="1:10" x14ac:dyDescent="0.75">
      <c r="A1285" s="16">
        <v>43816</v>
      </c>
      <c r="B1285" s="16">
        <v>43816</v>
      </c>
      <c r="C1285" s="53" t="s">
        <v>680</v>
      </c>
      <c r="D1285" s="54"/>
      <c r="E1285" s="17">
        <v>2324.27</v>
      </c>
      <c r="F1285" s="18" t="s">
        <v>21</v>
      </c>
      <c r="G1285" s="17">
        <v>676362.89</v>
      </c>
      <c r="H1285" s="1"/>
      <c r="I1285" s="1"/>
      <c r="J1285" s="1"/>
    </row>
    <row r="1286" spans="1:10" x14ac:dyDescent="0.75">
      <c r="A1286" s="16">
        <v>43816</v>
      </c>
      <c r="B1286" s="16">
        <v>43816</v>
      </c>
      <c r="C1286" s="53" t="s">
        <v>681</v>
      </c>
      <c r="D1286" s="54"/>
      <c r="E1286" s="17">
        <v>2418.87</v>
      </c>
      <c r="F1286" s="18" t="s">
        <v>21</v>
      </c>
      <c r="G1286" s="17">
        <v>673944.02</v>
      </c>
      <c r="H1286" s="1"/>
      <c r="I1286" s="1"/>
      <c r="J1286" s="1"/>
    </row>
    <row r="1287" spans="1:10" x14ac:dyDescent="0.75">
      <c r="A1287" s="16">
        <v>43816</v>
      </c>
      <c r="B1287" s="16">
        <v>43816</v>
      </c>
      <c r="C1287" s="53" t="s">
        <v>682</v>
      </c>
      <c r="D1287" s="54"/>
      <c r="E1287" s="17">
        <v>3498.34</v>
      </c>
      <c r="F1287" s="18" t="s">
        <v>21</v>
      </c>
      <c r="G1287" s="17">
        <v>670445.68000000005</v>
      </c>
      <c r="H1287" s="1"/>
      <c r="I1287" s="1"/>
      <c r="J1287" s="1"/>
    </row>
    <row r="1288" spans="1:10" x14ac:dyDescent="0.75">
      <c r="A1288" s="16">
        <v>43816</v>
      </c>
      <c r="B1288" s="16">
        <v>43816</v>
      </c>
      <c r="C1288" s="53" t="s">
        <v>683</v>
      </c>
      <c r="D1288" s="54"/>
      <c r="E1288" s="17">
        <v>3675.41</v>
      </c>
      <c r="F1288" s="18" t="s">
        <v>21</v>
      </c>
      <c r="G1288" s="17">
        <v>666770.27</v>
      </c>
      <c r="H1288" s="1"/>
      <c r="I1288" s="1"/>
      <c r="J1288" s="1"/>
    </row>
    <row r="1289" spans="1:10" x14ac:dyDescent="0.75">
      <c r="A1289" s="16">
        <v>43816</v>
      </c>
      <c r="B1289" s="16">
        <v>43816</v>
      </c>
      <c r="C1289" s="53" t="s">
        <v>684</v>
      </c>
      <c r="D1289" s="54"/>
      <c r="E1289" s="17">
        <v>4683.42</v>
      </c>
      <c r="F1289" s="18" t="s">
        <v>21</v>
      </c>
      <c r="G1289" s="17">
        <v>662086.85</v>
      </c>
      <c r="H1289" s="1"/>
      <c r="I1289" s="1"/>
      <c r="J1289" s="1"/>
    </row>
    <row r="1290" spans="1:10" x14ac:dyDescent="0.75">
      <c r="A1290" s="16">
        <v>43816</v>
      </c>
      <c r="B1290" s="16">
        <v>43816</v>
      </c>
      <c r="C1290" s="53" t="s">
        <v>685</v>
      </c>
      <c r="D1290" s="54"/>
      <c r="E1290" s="17">
        <v>26572.18</v>
      </c>
      <c r="F1290" s="18" t="s">
        <v>21</v>
      </c>
      <c r="G1290" s="17">
        <v>635514.67000000004</v>
      </c>
      <c r="H1290" s="1"/>
      <c r="I1290" s="1"/>
      <c r="J1290" s="1"/>
    </row>
    <row r="1291" spans="1:10" x14ac:dyDescent="0.75">
      <c r="A1291" s="16">
        <v>43816</v>
      </c>
      <c r="B1291" s="16">
        <v>43816</v>
      </c>
      <c r="C1291" s="53" t="s">
        <v>686</v>
      </c>
      <c r="D1291" s="54"/>
      <c r="E1291" s="17">
        <v>198899.66</v>
      </c>
      <c r="F1291" s="18" t="s">
        <v>21</v>
      </c>
      <c r="G1291" s="17">
        <v>436615.01</v>
      </c>
      <c r="H1291" s="1"/>
      <c r="I1291" s="1"/>
      <c r="J1291" s="1"/>
    </row>
    <row r="1292" spans="1:10" x14ac:dyDescent="0.75">
      <c r="A1292" s="16">
        <v>43817</v>
      </c>
      <c r="B1292" s="16">
        <v>43817</v>
      </c>
      <c r="C1292" s="53" t="s">
        <v>687</v>
      </c>
      <c r="D1292" s="54"/>
      <c r="E1292" s="19">
        <v>712.5</v>
      </c>
      <c r="F1292" s="18" t="s">
        <v>21</v>
      </c>
      <c r="G1292" s="17">
        <v>435902.51</v>
      </c>
      <c r="H1292" s="1"/>
      <c r="I1292" s="1"/>
      <c r="J1292" s="1"/>
    </row>
    <row r="1293" spans="1:10" x14ac:dyDescent="0.75">
      <c r="A1293" s="16">
        <v>43817</v>
      </c>
      <c r="B1293" s="16">
        <v>43817</v>
      </c>
      <c r="C1293" s="53" t="s">
        <v>688</v>
      </c>
      <c r="D1293" s="54"/>
      <c r="E1293" s="17">
        <v>1235</v>
      </c>
      <c r="F1293" s="18" t="s">
        <v>21</v>
      </c>
      <c r="G1293" s="17">
        <v>434667.51</v>
      </c>
      <c r="H1293" s="1"/>
      <c r="I1293" s="1"/>
      <c r="J1293" s="1"/>
    </row>
    <row r="1294" spans="1:10" x14ac:dyDescent="0.75">
      <c r="A1294" s="16">
        <v>43817</v>
      </c>
      <c r="B1294" s="16">
        <v>43817</v>
      </c>
      <c r="C1294" s="53" t="s">
        <v>689</v>
      </c>
      <c r="D1294" s="54"/>
      <c r="E1294" s="17">
        <v>24240.77</v>
      </c>
      <c r="F1294" s="18" t="s">
        <v>21</v>
      </c>
      <c r="G1294" s="17">
        <v>410426.74</v>
      </c>
      <c r="H1294" s="1"/>
      <c r="I1294" s="1"/>
      <c r="J1294" s="1"/>
    </row>
    <row r="1295" spans="1:10" x14ac:dyDescent="0.75">
      <c r="A1295" s="20"/>
      <c r="B1295" s="20"/>
      <c r="C1295" s="8"/>
      <c r="D1295" s="9"/>
      <c r="E1295" s="20"/>
      <c r="F1295" s="20"/>
      <c r="G1295" s="20"/>
      <c r="H1295" s="1"/>
      <c r="I1295" s="1"/>
      <c r="J1295" s="1"/>
    </row>
    <row r="1296" spans="1:10" x14ac:dyDescent="0.75">
      <c r="A1296" s="34" t="s">
        <v>15</v>
      </c>
      <c r="B1296" s="35"/>
      <c r="C1296" s="35"/>
      <c r="D1296" s="35"/>
      <c r="E1296" s="35"/>
      <c r="F1296" s="35"/>
      <c r="G1296" s="36"/>
      <c r="H1296" s="1"/>
      <c r="I1296" s="1"/>
      <c r="J1296" s="1"/>
    </row>
    <row r="1297" spans="1:10" x14ac:dyDescent="0.75">
      <c r="A1297" s="21" t="s">
        <v>32</v>
      </c>
      <c r="B1297" s="22"/>
      <c r="C1297" s="22"/>
      <c r="D1297" s="23" t="s">
        <v>33</v>
      </c>
      <c r="E1297" s="22"/>
      <c r="F1297" s="22"/>
      <c r="G1297" s="24"/>
      <c r="H1297" s="1"/>
      <c r="I1297" s="1"/>
      <c r="J1297" s="1"/>
    </row>
    <row r="1298" spans="1:10" x14ac:dyDescent="0.75">
      <c r="A1298" s="37" t="s">
        <v>690</v>
      </c>
      <c r="B1298" s="37"/>
      <c r="C1298" s="37"/>
      <c r="D1298" s="37"/>
      <c r="E1298" s="37"/>
      <c r="F1298" s="37"/>
      <c r="G1298" s="37"/>
      <c r="H1298" s="37"/>
      <c r="I1298" s="1"/>
      <c r="J1298" s="1"/>
    </row>
    <row r="1299" spans="1:10" x14ac:dyDescent="0.75">
      <c r="A1299" s="55" t="s">
        <v>0</v>
      </c>
      <c r="B1299" s="55"/>
      <c r="C1299" s="55"/>
      <c r="D1299" s="55"/>
      <c r="E1299" s="55"/>
      <c r="F1299" s="55"/>
      <c r="G1299" s="55"/>
      <c r="H1299" s="55"/>
      <c r="I1299" s="1"/>
      <c r="J1299" s="1"/>
    </row>
    <row r="1300" spans="1:10" x14ac:dyDescent="0.75">
      <c r="A1300" s="55" t="s">
        <v>1</v>
      </c>
      <c r="B1300" s="55"/>
      <c r="C1300" s="55"/>
      <c r="D1300" s="55"/>
      <c r="E1300" s="55"/>
      <c r="F1300" s="55"/>
      <c r="G1300" s="55"/>
      <c r="H1300" s="55"/>
      <c r="I1300" s="1"/>
      <c r="J1300" s="1"/>
    </row>
    <row r="1301" spans="1:10" x14ac:dyDescent="0.75">
      <c r="A1301" s="38" t="s">
        <v>35</v>
      </c>
      <c r="B1301" s="39"/>
      <c r="C1301" s="39"/>
      <c r="D1301" s="39"/>
      <c r="E1301" s="39"/>
      <c r="F1301" s="39"/>
      <c r="G1301" s="40"/>
      <c r="H1301" s="1"/>
      <c r="I1301" s="1"/>
      <c r="J1301" s="1"/>
    </row>
    <row r="1302" spans="1:10" ht="21.5" x14ac:dyDescent="0.75">
      <c r="A1302" s="2" t="s">
        <v>3</v>
      </c>
      <c r="B1302" s="3" t="s">
        <v>4</v>
      </c>
      <c r="C1302" s="4"/>
      <c r="D1302" s="5" t="s">
        <v>5</v>
      </c>
      <c r="E1302" s="3" t="s">
        <v>6</v>
      </c>
      <c r="F1302" s="3" t="s">
        <v>7</v>
      </c>
      <c r="G1302" s="6" t="s">
        <v>8</v>
      </c>
      <c r="H1302" s="1"/>
      <c r="I1302" s="1"/>
      <c r="J1302" s="1"/>
    </row>
    <row r="1303" spans="1:10" x14ac:dyDescent="0.75">
      <c r="A1303" s="10">
        <v>43817</v>
      </c>
      <c r="B1303" s="11"/>
      <c r="C1303" s="56" t="s">
        <v>19</v>
      </c>
      <c r="D1303" s="57"/>
      <c r="E1303" s="11"/>
      <c r="F1303" s="11"/>
      <c r="G1303" s="12">
        <v>410426.74</v>
      </c>
      <c r="H1303" s="1"/>
      <c r="I1303" s="1"/>
      <c r="J1303" s="1"/>
    </row>
    <row r="1304" spans="1:10" x14ac:dyDescent="0.75">
      <c r="A1304" s="13">
        <v>43817</v>
      </c>
      <c r="B1304" s="13">
        <v>43817</v>
      </c>
      <c r="C1304" s="58" t="s">
        <v>691</v>
      </c>
      <c r="D1304" s="59"/>
      <c r="E1304" s="14">
        <v>32564.48</v>
      </c>
      <c r="F1304" s="15" t="s">
        <v>21</v>
      </c>
      <c r="G1304" s="14">
        <v>377862.26</v>
      </c>
      <c r="H1304" s="1"/>
      <c r="I1304" s="1"/>
      <c r="J1304" s="1"/>
    </row>
    <row r="1305" spans="1:10" x14ac:dyDescent="0.75">
      <c r="A1305" s="16">
        <v>43817</v>
      </c>
      <c r="B1305" s="16">
        <v>43817</v>
      </c>
      <c r="C1305" s="53" t="s">
        <v>583</v>
      </c>
      <c r="D1305" s="54"/>
      <c r="E1305" s="17">
        <v>20834.95</v>
      </c>
      <c r="F1305" s="18" t="s">
        <v>21</v>
      </c>
      <c r="G1305" s="17">
        <v>357027.31</v>
      </c>
      <c r="H1305" s="1"/>
      <c r="I1305" s="1"/>
      <c r="J1305" s="1"/>
    </row>
    <row r="1306" spans="1:10" x14ac:dyDescent="0.75">
      <c r="A1306" s="16">
        <v>43818</v>
      </c>
      <c r="B1306" s="16">
        <v>43818</v>
      </c>
      <c r="C1306" s="53" t="s">
        <v>28</v>
      </c>
      <c r="D1306" s="54"/>
      <c r="E1306" s="18" t="s">
        <v>21</v>
      </c>
      <c r="F1306" s="17">
        <v>4375.46</v>
      </c>
      <c r="G1306" s="17">
        <v>361402.77</v>
      </c>
      <c r="H1306" s="1"/>
      <c r="I1306" s="1"/>
      <c r="J1306" s="1"/>
    </row>
    <row r="1307" spans="1:10" x14ac:dyDescent="0.75">
      <c r="A1307" s="16">
        <v>43818</v>
      </c>
      <c r="B1307" s="16">
        <v>43818</v>
      </c>
      <c r="C1307" s="53" t="s">
        <v>692</v>
      </c>
      <c r="D1307" s="54"/>
      <c r="E1307" s="17">
        <v>5520.34</v>
      </c>
      <c r="F1307" s="18" t="s">
        <v>21</v>
      </c>
      <c r="G1307" s="17">
        <v>355882.43</v>
      </c>
      <c r="H1307" s="1"/>
      <c r="I1307" s="1"/>
      <c r="J1307" s="1"/>
    </row>
    <row r="1308" spans="1:10" x14ac:dyDescent="0.75">
      <c r="A1308" s="16">
        <v>43818</v>
      </c>
      <c r="B1308" s="16">
        <v>43818</v>
      </c>
      <c r="C1308" s="53" t="s">
        <v>693</v>
      </c>
      <c r="D1308" s="54"/>
      <c r="E1308" s="17">
        <v>9253.7999999999993</v>
      </c>
      <c r="F1308" s="18" t="s">
        <v>21</v>
      </c>
      <c r="G1308" s="17">
        <v>346628.63</v>
      </c>
      <c r="H1308" s="1"/>
      <c r="I1308" s="1"/>
      <c r="J1308" s="1"/>
    </row>
    <row r="1309" spans="1:10" x14ac:dyDescent="0.75">
      <c r="A1309" s="16">
        <v>43818</v>
      </c>
      <c r="B1309" s="16">
        <v>43818</v>
      </c>
      <c r="C1309" s="53" t="s">
        <v>694</v>
      </c>
      <c r="D1309" s="54"/>
      <c r="E1309" s="17">
        <v>13915.16</v>
      </c>
      <c r="F1309" s="18" t="s">
        <v>21</v>
      </c>
      <c r="G1309" s="17">
        <v>332713.46999999997</v>
      </c>
      <c r="H1309" s="1"/>
      <c r="I1309" s="1"/>
      <c r="J1309" s="1"/>
    </row>
    <row r="1310" spans="1:10" x14ac:dyDescent="0.75">
      <c r="A1310" s="16">
        <v>43818</v>
      </c>
      <c r="B1310" s="16">
        <v>43818</v>
      </c>
      <c r="C1310" s="53" t="s">
        <v>695</v>
      </c>
      <c r="D1310" s="54"/>
      <c r="E1310" s="17">
        <v>18315</v>
      </c>
      <c r="F1310" s="18" t="s">
        <v>21</v>
      </c>
      <c r="G1310" s="17">
        <v>314398.46999999997</v>
      </c>
      <c r="H1310" s="1"/>
      <c r="I1310" s="1"/>
      <c r="J1310" s="1"/>
    </row>
    <row r="1311" spans="1:10" x14ac:dyDescent="0.75">
      <c r="A1311" s="16">
        <v>43818</v>
      </c>
      <c r="B1311" s="16">
        <v>43818</v>
      </c>
      <c r="C1311" s="53" t="s">
        <v>583</v>
      </c>
      <c r="D1311" s="54"/>
      <c r="E1311" s="17">
        <v>3955</v>
      </c>
      <c r="F1311" s="18" t="s">
        <v>21</v>
      </c>
      <c r="G1311" s="17">
        <v>310443.46999999997</v>
      </c>
      <c r="H1311" s="1"/>
      <c r="I1311" s="1"/>
      <c r="J1311" s="1"/>
    </row>
    <row r="1312" spans="1:10" x14ac:dyDescent="0.75">
      <c r="A1312" s="16">
        <v>43819</v>
      </c>
      <c r="B1312" s="16">
        <v>43819</v>
      </c>
      <c r="C1312" s="53" t="s">
        <v>28</v>
      </c>
      <c r="D1312" s="54"/>
      <c r="E1312" s="18" t="s">
        <v>21</v>
      </c>
      <c r="F1312" s="17">
        <v>76062.63</v>
      </c>
      <c r="G1312" s="17">
        <v>386506.1</v>
      </c>
      <c r="H1312" s="1"/>
      <c r="I1312" s="1"/>
      <c r="J1312" s="1"/>
    </row>
    <row r="1313" spans="1:10" x14ac:dyDescent="0.75">
      <c r="A1313" s="16">
        <v>43819</v>
      </c>
      <c r="B1313" s="16">
        <v>43819</v>
      </c>
      <c r="C1313" s="53" t="s">
        <v>696</v>
      </c>
      <c r="D1313" s="54"/>
      <c r="E1313" s="19">
        <v>674.25</v>
      </c>
      <c r="F1313" s="18" t="s">
        <v>21</v>
      </c>
      <c r="G1313" s="17">
        <v>385831.85</v>
      </c>
      <c r="H1313" s="1"/>
      <c r="I1313" s="1"/>
      <c r="J1313" s="1"/>
    </row>
    <row r="1314" spans="1:10" x14ac:dyDescent="0.75">
      <c r="A1314" s="16">
        <v>43819</v>
      </c>
      <c r="B1314" s="16">
        <v>43819</v>
      </c>
      <c r="C1314" s="53" t="s">
        <v>697</v>
      </c>
      <c r="D1314" s="54"/>
      <c r="E1314" s="17">
        <v>2619</v>
      </c>
      <c r="F1314" s="18" t="s">
        <v>21</v>
      </c>
      <c r="G1314" s="17">
        <v>383212.85</v>
      </c>
      <c r="H1314" s="1"/>
      <c r="I1314" s="1"/>
      <c r="J1314" s="1"/>
    </row>
    <row r="1315" spans="1:10" x14ac:dyDescent="0.75">
      <c r="A1315" s="16">
        <v>43819</v>
      </c>
      <c r="B1315" s="16">
        <v>43819</v>
      </c>
      <c r="C1315" s="53" t="s">
        <v>698</v>
      </c>
      <c r="D1315" s="54"/>
      <c r="E1315" s="17">
        <v>12519.24</v>
      </c>
      <c r="F1315" s="18" t="s">
        <v>21</v>
      </c>
      <c r="G1315" s="17">
        <v>370693.61</v>
      </c>
      <c r="H1315" s="1"/>
      <c r="I1315" s="1"/>
      <c r="J1315" s="1"/>
    </row>
    <row r="1316" spans="1:10" x14ac:dyDescent="0.75">
      <c r="A1316" s="20"/>
      <c r="B1316" s="20"/>
      <c r="C1316" s="8"/>
      <c r="D1316" s="9"/>
      <c r="E1316" s="20"/>
      <c r="F1316" s="20"/>
      <c r="G1316" s="20"/>
      <c r="H1316" s="1"/>
      <c r="I1316" s="1"/>
      <c r="J1316" s="1"/>
    </row>
    <row r="1317" spans="1:10" x14ac:dyDescent="0.75">
      <c r="A1317" s="34" t="s">
        <v>15</v>
      </c>
      <c r="B1317" s="35"/>
      <c r="C1317" s="35"/>
      <c r="D1317" s="35"/>
      <c r="E1317" s="35"/>
      <c r="F1317" s="35"/>
      <c r="G1317" s="36"/>
      <c r="H1317" s="1"/>
      <c r="I1317" s="1"/>
      <c r="J1317" s="1"/>
    </row>
    <row r="1318" spans="1:10" x14ac:dyDescent="0.75">
      <c r="A1318" s="21" t="s">
        <v>32</v>
      </c>
      <c r="B1318" s="22"/>
      <c r="C1318" s="22"/>
      <c r="D1318" s="23" t="s">
        <v>33</v>
      </c>
      <c r="E1318" s="22"/>
      <c r="F1318" s="22"/>
      <c r="G1318" s="24"/>
      <c r="H1318" s="1"/>
      <c r="I1318" s="1"/>
      <c r="J1318" s="1"/>
    </row>
    <row r="1319" spans="1:10" x14ac:dyDescent="0.75">
      <c r="A1319" s="37" t="s">
        <v>699</v>
      </c>
      <c r="B1319" s="37"/>
      <c r="C1319" s="37"/>
      <c r="D1319" s="37"/>
      <c r="E1319" s="37"/>
      <c r="F1319" s="37"/>
      <c r="G1319" s="37"/>
      <c r="H1319" s="37"/>
      <c r="I1319" s="1"/>
      <c r="J1319" s="1"/>
    </row>
    <row r="1320" spans="1:10" x14ac:dyDescent="0.75">
      <c r="A1320" s="55" t="s">
        <v>0</v>
      </c>
      <c r="B1320" s="55"/>
      <c r="C1320" s="55"/>
      <c r="D1320" s="55"/>
      <c r="E1320" s="55"/>
      <c r="F1320" s="55"/>
      <c r="G1320" s="55"/>
      <c r="H1320" s="55"/>
      <c r="I1320" s="1"/>
      <c r="J1320" s="1"/>
    </row>
    <row r="1321" spans="1:10" x14ac:dyDescent="0.75">
      <c r="A1321" s="55" t="s">
        <v>1</v>
      </c>
      <c r="B1321" s="55"/>
      <c r="C1321" s="55"/>
      <c r="D1321" s="55"/>
      <c r="E1321" s="55"/>
      <c r="F1321" s="55"/>
      <c r="G1321" s="55"/>
      <c r="H1321" s="55"/>
      <c r="I1321" s="1"/>
      <c r="J1321" s="1"/>
    </row>
    <row r="1322" spans="1:10" x14ac:dyDescent="0.75">
      <c r="A1322" s="38" t="s">
        <v>35</v>
      </c>
      <c r="B1322" s="39"/>
      <c r="C1322" s="39"/>
      <c r="D1322" s="39"/>
      <c r="E1322" s="39"/>
      <c r="F1322" s="39"/>
      <c r="G1322" s="40"/>
      <c r="H1322" s="1"/>
      <c r="I1322" s="1"/>
      <c r="J1322" s="1"/>
    </row>
    <row r="1323" spans="1:10" ht="21.5" x14ac:dyDescent="0.75">
      <c r="A1323" s="2" t="s">
        <v>3</v>
      </c>
      <c r="B1323" s="3" t="s">
        <v>4</v>
      </c>
      <c r="C1323" s="4"/>
      <c r="D1323" s="5" t="s">
        <v>5</v>
      </c>
      <c r="E1323" s="3" t="s">
        <v>6</v>
      </c>
      <c r="F1323" s="3" t="s">
        <v>7</v>
      </c>
      <c r="G1323" s="6" t="s">
        <v>8</v>
      </c>
      <c r="H1323" s="1"/>
      <c r="I1323" s="1"/>
      <c r="J1323" s="1"/>
    </row>
    <row r="1324" spans="1:10" x14ac:dyDescent="0.75">
      <c r="A1324" s="10">
        <v>43819</v>
      </c>
      <c r="B1324" s="11"/>
      <c r="C1324" s="56" t="s">
        <v>19</v>
      </c>
      <c r="D1324" s="57"/>
      <c r="E1324" s="11"/>
      <c r="F1324" s="11"/>
      <c r="G1324" s="12">
        <v>370693.61</v>
      </c>
      <c r="H1324" s="1"/>
      <c r="I1324" s="1"/>
      <c r="J1324" s="1"/>
    </row>
    <row r="1325" spans="1:10" x14ac:dyDescent="0.75">
      <c r="A1325" s="13">
        <v>43819</v>
      </c>
      <c r="B1325" s="13">
        <v>43819</v>
      </c>
      <c r="C1325" s="58" t="s">
        <v>700</v>
      </c>
      <c r="D1325" s="59"/>
      <c r="E1325" s="14">
        <v>14695.5</v>
      </c>
      <c r="F1325" s="15" t="s">
        <v>21</v>
      </c>
      <c r="G1325" s="14">
        <v>355998.11</v>
      </c>
      <c r="H1325" s="1"/>
      <c r="I1325" s="1"/>
      <c r="J1325" s="1"/>
    </row>
    <row r="1326" spans="1:10" x14ac:dyDescent="0.75">
      <c r="A1326" s="16">
        <v>43819</v>
      </c>
      <c r="B1326" s="16">
        <v>43819</v>
      </c>
      <c r="C1326" s="53" t="s">
        <v>701</v>
      </c>
      <c r="D1326" s="54"/>
      <c r="E1326" s="17">
        <v>18025.88</v>
      </c>
      <c r="F1326" s="18" t="s">
        <v>21</v>
      </c>
      <c r="G1326" s="17">
        <v>337972.23</v>
      </c>
      <c r="H1326" s="1"/>
      <c r="I1326" s="1"/>
      <c r="J1326" s="1"/>
    </row>
    <row r="1327" spans="1:10" x14ac:dyDescent="0.75">
      <c r="A1327" s="16">
        <v>43819</v>
      </c>
      <c r="B1327" s="16">
        <v>43819</v>
      </c>
      <c r="C1327" s="53" t="s">
        <v>702</v>
      </c>
      <c r="D1327" s="54"/>
      <c r="E1327" s="17">
        <v>24152.16</v>
      </c>
      <c r="F1327" s="18" t="s">
        <v>21</v>
      </c>
      <c r="G1327" s="17">
        <v>313820.07</v>
      </c>
      <c r="H1327" s="1"/>
      <c r="I1327" s="1"/>
      <c r="J1327" s="1"/>
    </row>
    <row r="1328" spans="1:10" x14ac:dyDescent="0.75">
      <c r="A1328" s="16">
        <v>43822</v>
      </c>
      <c r="B1328" s="16">
        <v>43822</v>
      </c>
      <c r="C1328" s="53" t="s">
        <v>28</v>
      </c>
      <c r="D1328" s="54"/>
      <c r="E1328" s="18" t="s">
        <v>21</v>
      </c>
      <c r="F1328" s="17">
        <v>128507.15</v>
      </c>
      <c r="G1328" s="17">
        <v>442327.22</v>
      </c>
      <c r="H1328" s="1"/>
      <c r="I1328" s="1"/>
      <c r="J1328" s="1"/>
    </row>
    <row r="1329" spans="1:10" x14ac:dyDescent="0.75">
      <c r="A1329" s="16">
        <v>43822</v>
      </c>
      <c r="B1329" s="16">
        <v>43822</v>
      </c>
      <c r="C1329" s="53" t="s">
        <v>497</v>
      </c>
      <c r="D1329" s="54"/>
      <c r="E1329" s="18" t="s">
        <v>21</v>
      </c>
      <c r="F1329" s="17">
        <v>366000</v>
      </c>
      <c r="G1329" s="17">
        <v>808327.22</v>
      </c>
      <c r="H1329" s="1"/>
      <c r="I1329" s="1"/>
      <c r="J1329" s="1"/>
    </row>
    <row r="1330" spans="1:10" x14ac:dyDescent="0.75">
      <c r="A1330" s="16">
        <v>43822</v>
      </c>
      <c r="B1330" s="16">
        <v>43822</v>
      </c>
      <c r="C1330" s="53" t="s">
        <v>703</v>
      </c>
      <c r="D1330" s="54"/>
      <c r="E1330" s="17">
        <v>4856</v>
      </c>
      <c r="F1330" s="18" t="s">
        <v>21</v>
      </c>
      <c r="G1330" s="17">
        <v>803471.22</v>
      </c>
      <c r="H1330" s="1"/>
      <c r="I1330" s="1"/>
      <c r="J1330" s="1"/>
    </row>
    <row r="1331" spans="1:10" x14ac:dyDescent="0.75">
      <c r="A1331" s="16">
        <v>43822</v>
      </c>
      <c r="B1331" s="16">
        <v>43822</v>
      </c>
      <c r="C1331" s="53" t="s">
        <v>704</v>
      </c>
      <c r="D1331" s="54"/>
      <c r="E1331" s="19">
        <v>126.82</v>
      </c>
      <c r="F1331" s="18" t="s">
        <v>21</v>
      </c>
      <c r="G1331" s="17">
        <v>803344.4</v>
      </c>
      <c r="H1331" s="1"/>
      <c r="I1331" s="1"/>
      <c r="J1331" s="1"/>
    </row>
    <row r="1332" spans="1:10" x14ac:dyDescent="0.75">
      <c r="A1332" s="16">
        <v>43822</v>
      </c>
      <c r="B1332" s="16">
        <v>43822</v>
      </c>
      <c r="C1332" s="53" t="s">
        <v>705</v>
      </c>
      <c r="D1332" s="54"/>
      <c r="E1332" s="19">
        <v>629</v>
      </c>
      <c r="F1332" s="18" t="s">
        <v>21</v>
      </c>
      <c r="G1332" s="17">
        <v>802715.4</v>
      </c>
      <c r="H1332" s="1"/>
      <c r="I1332" s="1"/>
      <c r="J1332" s="1"/>
    </row>
    <row r="1333" spans="1:10" x14ac:dyDescent="0.75">
      <c r="A1333" s="16">
        <v>43822</v>
      </c>
      <c r="B1333" s="16">
        <v>43822</v>
      </c>
      <c r="C1333" s="53" t="s">
        <v>706</v>
      </c>
      <c r="D1333" s="54"/>
      <c r="E1333" s="19">
        <v>991.31</v>
      </c>
      <c r="F1333" s="18" t="s">
        <v>21</v>
      </c>
      <c r="G1333" s="17">
        <v>801724.09</v>
      </c>
      <c r="H1333" s="1"/>
      <c r="I1333" s="1"/>
      <c r="J1333" s="1"/>
    </row>
    <row r="1334" spans="1:10" x14ac:dyDescent="0.75">
      <c r="A1334" s="16">
        <v>43822</v>
      </c>
      <c r="B1334" s="16">
        <v>43822</v>
      </c>
      <c r="C1334" s="53" t="s">
        <v>707</v>
      </c>
      <c r="D1334" s="54"/>
      <c r="E1334" s="17">
        <v>1110</v>
      </c>
      <c r="F1334" s="18" t="s">
        <v>21</v>
      </c>
      <c r="G1334" s="17">
        <v>800614.09</v>
      </c>
      <c r="H1334" s="1"/>
      <c r="I1334" s="1"/>
      <c r="J1334" s="1"/>
    </row>
    <row r="1335" spans="1:10" x14ac:dyDescent="0.75">
      <c r="A1335" s="16">
        <v>43822</v>
      </c>
      <c r="B1335" s="16">
        <v>43822</v>
      </c>
      <c r="C1335" s="53" t="s">
        <v>708</v>
      </c>
      <c r="D1335" s="54"/>
      <c r="E1335" s="17">
        <v>1425</v>
      </c>
      <c r="F1335" s="18" t="s">
        <v>21</v>
      </c>
      <c r="G1335" s="17">
        <v>799189.09</v>
      </c>
      <c r="H1335" s="1"/>
      <c r="I1335" s="1"/>
      <c r="J1335" s="1"/>
    </row>
    <row r="1336" spans="1:10" x14ac:dyDescent="0.75">
      <c r="A1336" s="16">
        <v>43822</v>
      </c>
      <c r="B1336" s="16">
        <v>43822</v>
      </c>
      <c r="C1336" s="53" t="s">
        <v>709</v>
      </c>
      <c r="D1336" s="54"/>
      <c r="E1336" s="17">
        <v>2078.13</v>
      </c>
      <c r="F1336" s="18" t="s">
        <v>21</v>
      </c>
      <c r="G1336" s="17">
        <v>797110.96</v>
      </c>
      <c r="H1336" s="1"/>
      <c r="I1336" s="1"/>
      <c r="J1336" s="1"/>
    </row>
    <row r="1337" spans="1:10" x14ac:dyDescent="0.75">
      <c r="A1337" s="20"/>
      <c r="B1337" s="20"/>
      <c r="C1337" s="8"/>
      <c r="D1337" s="9"/>
      <c r="E1337" s="20"/>
      <c r="F1337" s="20"/>
      <c r="G1337" s="20"/>
      <c r="H1337" s="1"/>
      <c r="I1337" s="1"/>
      <c r="J1337" s="1"/>
    </row>
    <row r="1338" spans="1:10" x14ac:dyDescent="0.75">
      <c r="A1338" s="34" t="s">
        <v>15</v>
      </c>
      <c r="B1338" s="35"/>
      <c r="C1338" s="35"/>
      <c r="D1338" s="35"/>
      <c r="E1338" s="35"/>
      <c r="F1338" s="35"/>
      <c r="G1338" s="36"/>
      <c r="H1338" s="1"/>
      <c r="I1338" s="1"/>
      <c r="J1338" s="1"/>
    </row>
    <row r="1339" spans="1:10" x14ac:dyDescent="0.75">
      <c r="A1339" s="21" t="s">
        <v>32</v>
      </c>
      <c r="B1339" s="22"/>
      <c r="C1339" s="22"/>
      <c r="D1339" s="23" t="s">
        <v>33</v>
      </c>
      <c r="E1339" s="22"/>
      <c r="F1339" s="22"/>
      <c r="G1339" s="24"/>
      <c r="H1339" s="1"/>
      <c r="I1339" s="1"/>
      <c r="J1339" s="1"/>
    </row>
    <row r="1340" spans="1:10" x14ac:dyDescent="0.75">
      <c r="A1340" s="37" t="s">
        <v>710</v>
      </c>
      <c r="B1340" s="37"/>
      <c r="C1340" s="37"/>
      <c r="D1340" s="37"/>
      <c r="E1340" s="37"/>
      <c r="F1340" s="37"/>
      <c r="G1340" s="37"/>
      <c r="H1340" s="37"/>
      <c r="I1340" s="1"/>
      <c r="J1340" s="1"/>
    </row>
    <row r="1341" spans="1:10" x14ac:dyDescent="0.75">
      <c r="A1341" s="55" t="s">
        <v>0</v>
      </c>
      <c r="B1341" s="55"/>
      <c r="C1341" s="55"/>
      <c r="D1341" s="55"/>
      <c r="E1341" s="55"/>
      <c r="F1341" s="55"/>
      <c r="G1341" s="55"/>
      <c r="H1341" s="55"/>
      <c r="I1341" s="1"/>
      <c r="J1341" s="1"/>
    </row>
    <row r="1342" spans="1:10" x14ac:dyDescent="0.75">
      <c r="A1342" s="55" t="s">
        <v>1</v>
      </c>
      <c r="B1342" s="55"/>
      <c r="C1342" s="55"/>
      <c r="D1342" s="55"/>
      <c r="E1342" s="55"/>
      <c r="F1342" s="55"/>
      <c r="G1342" s="55"/>
      <c r="H1342" s="55"/>
      <c r="I1342" s="1"/>
      <c r="J1342" s="1"/>
    </row>
    <row r="1343" spans="1:10" x14ac:dyDescent="0.75">
      <c r="A1343" s="38" t="s">
        <v>35</v>
      </c>
      <c r="B1343" s="39"/>
      <c r="C1343" s="39"/>
      <c r="D1343" s="39"/>
      <c r="E1343" s="39"/>
      <c r="F1343" s="39"/>
      <c r="G1343" s="40"/>
      <c r="H1343" s="1"/>
      <c r="I1343" s="1"/>
      <c r="J1343" s="1"/>
    </row>
    <row r="1344" spans="1:10" ht="21.5" x14ac:dyDescent="0.75">
      <c r="A1344" s="2" t="s">
        <v>3</v>
      </c>
      <c r="B1344" s="3" t="s">
        <v>4</v>
      </c>
      <c r="C1344" s="4"/>
      <c r="D1344" s="5" t="s">
        <v>5</v>
      </c>
      <c r="E1344" s="3" t="s">
        <v>6</v>
      </c>
      <c r="F1344" s="3" t="s">
        <v>7</v>
      </c>
      <c r="G1344" s="6" t="s">
        <v>8</v>
      </c>
      <c r="H1344" s="1"/>
      <c r="I1344" s="1"/>
      <c r="J1344" s="1"/>
    </row>
    <row r="1345" spans="1:10" x14ac:dyDescent="0.75">
      <c r="A1345" s="10">
        <v>43822</v>
      </c>
      <c r="B1345" s="11"/>
      <c r="C1345" s="56" t="s">
        <v>19</v>
      </c>
      <c r="D1345" s="57"/>
      <c r="E1345" s="11"/>
      <c r="F1345" s="11"/>
      <c r="G1345" s="12">
        <v>797110.96</v>
      </c>
      <c r="H1345" s="1"/>
      <c r="I1345" s="1"/>
      <c r="J1345" s="1"/>
    </row>
    <row r="1346" spans="1:10" x14ac:dyDescent="0.75">
      <c r="A1346" s="13">
        <v>43822</v>
      </c>
      <c r="B1346" s="13">
        <v>43822</v>
      </c>
      <c r="C1346" s="58" t="s">
        <v>711</v>
      </c>
      <c r="D1346" s="59"/>
      <c r="E1346" s="14">
        <v>3145</v>
      </c>
      <c r="F1346" s="15" t="s">
        <v>21</v>
      </c>
      <c r="G1346" s="14">
        <v>793965.96</v>
      </c>
      <c r="H1346" s="1"/>
      <c r="I1346" s="1"/>
      <c r="J1346" s="1"/>
    </row>
    <row r="1347" spans="1:10" x14ac:dyDescent="0.75">
      <c r="A1347" s="16">
        <v>43822</v>
      </c>
      <c r="B1347" s="16">
        <v>43822</v>
      </c>
      <c r="C1347" s="53" t="s">
        <v>712</v>
      </c>
      <c r="D1347" s="54"/>
      <c r="E1347" s="17">
        <v>6742.89</v>
      </c>
      <c r="F1347" s="18" t="s">
        <v>21</v>
      </c>
      <c r="G1347" s="17">
        <v>787223.07</v>
      </c>
      <c r="H1347" s="1"/>
      <c r="I1347" s="1"/>
      <c r="J1347" s="1"/>
    </row>
    <row r="1348" spans="1:10" x14ac:dyDescent="0.75">
      <c r="A1348" s="16">
        <v>43822</v>
      </c>
      <c r="B1348" s="16">
        <v>43822</v>
      </c>
      <c r="C1348" s="53" t="s">
        <v>713</v>
      </c>
      <c r="D1348" s="54"/>
      <c r="E1348" s="17">
        <v>7616</v>
      </c>
      <c r="F1348" s="18" t="s">
        <v>21</v>
      </c>
      <c r="G1348" s="17">
        <v>779607.07</v>
      </c>
      <c r="H1348" s="1"/>
      <c r="I1348" s="1"/>
      <c r="J1348" s="1"/>
    </row>
    <row r="1349" spans="1:10" x14ac:dyDescent="0.75">
      <c r="A1349" s="16">
        <v>43822</v>
      </c>
      <c r="B1349" s="16">
        <v>43822</v>
      </c>
      <c r="C1349" s="53" t="s">
        <v>714</v>
      </c>
      <c r="D1349" s="54"/>
      <c r="E1349" s="17">
        <v>9407.25</v>
      </c>
      <c r="F1349" s="18" t="s">
        <v>21</v>
      </c>
      <c r="G1349" s="17">
        <v>770199.82</v>
      </c>
      <c r="H1349" s="1"/>
      <c r="I1349" s="1"/>
      <c r="J1349" s="1"/>
    </row>
    <row r="1350" spans="1:10" x14ac:dyDescent="0.75">
      <c r="A1350" s="16">
        <v>43822</v>
      </c>
      <c r="B1350" s="16">
        <v>43822</v>
      </c>
      <c r="C1350" s="53" t="s">
        <v>715</v>
      </c>
      <c r="D1350" s="54"/>
      <c r="E1350" s="17">
        <v>10646.67</v>
      </c>
      <c r="F1350" s="18" t="s">
        <v>21</v>
      </c>
      <c r="G1350" s="17">
        <v>759553.15</v>
      </c>
      <c r="H1350" s="1"/>
      <c r="I1350" s="1"/>
      <c r="J1350" s="1"/>
    </row>
    <row r="1351" spans="1:10" x14ac:dyDescent="0.75">
      <c r="A1351" s="16">
        <v>43822</v>
      </c>
      <c r="B1351" s="16">
        <v>43822</v>
      </c>
      <c r="C1351" s="53" t="s">
        <v>716</v>
      </c>
      <c r="D1351" s="54"/>
      <c r="E1351" s="17">
        <v>1255.8499999999999</v>
      </c>
      <c r="F1351" s="18" t="s">
        <v>21</v>
      </c>
      <c r="G1351" s="17">
        <v>758297.3</v>
      </c>
      <c r="H1351" s="1"/>
      <c r="I1351" s="1"/>
      <c r="J1351" s="1"/>
    </row>
    <row r="1352" spans="1:10" x14ac:dyDescent="0.75">
      <c r="A1352" s="26"/>
      <c r="B1352" s="26"/>
      <c r="C1352" s="58" t="s">
        <v>717</v>
      </c>
      <c r="D1352" s="59"/>
      <c r="E1352" s="26"/>
      <c r="F1352" s="26"/>
      <c r="G1352" s="26"/>
      <c r="H1352" s="1"/>
      <c r="I1352" s="1"/>
      <c r="J1352" s="1"/>
    </row>
    <row r="1353" spans="1:10" x14ac:dyDescent="0.75">
      <c r="A1353" s="13">
        <v>43823</v>
      </c>
      <c r="B1353" s="13">
        <v>43823</v>
      </c>
      <c r="C1353" s="58" t="s">
        <v>718</v>
      </c>
      <c r="D1353" s="59"/>
      <c r="E1353" s="15" t="s">
        <v>21</v>
      </c>
      <c r="F1353" s="14">
        <v>274752</v>
      </c>
      <c r="G1353" s="14">
        <v>1033049.3</v>
      </c>
      <c r="H1353" s="1"/>
      <c r="I1353" s="1"/>
      <c r="J1353" s="1"/>
    </row>
    <row r="1354" spans="1:10" x14ac:dyDescent="0.75">
      <c r="A1354" s="16">
        <v>43823</v>
      </c>
      <c r="B1354" s="16">
        <v>43823</v>
      </c>
      <c r="C1354" s="53" t="s">
        <v>28</v>
      </c>
      <c r="D1354" s="54"/>
      <c r="E1354" s="18" t="s">
        <v>21</v>
      </c>
      <c r="F1354" s="17">
        <v>23596.16</v>
      </c>
      <c r="G1354" s="17">
        <v>1056645.46</v>
      </c>
      <c r="H1354" s="1"/>
      <c r="I1354" s="1"/>
      <c r="J1354" s="1"/>
    </row>
    <row r="1355" spans="1:10" x14ac:dyDescent="0.75">
      <c r="A1355" s="16">
        <v>43823</v>
      </c>
      <c r="B1355" s="16">
        <v>43823</v>
      </c>
      <c r="C1355" s="53" t="s">
        <v>719</v>
      </c>
      <c r="D1355" s="54"/>
      <c r="E1355" s="19">
        <v>551.25</v>
      </c>
      <c r="F1355" s="18" t="s">
        <v>21</v>
      </c>
      <c r="G1355" s="17">
        <v>1056094.21</v>
      </c>
      <c r="H1355" s="1"/>
      <c r="I1355" s="1"/>
      <c r="J1355" s="1"/>
    </row>
    <row r="1356" spans="1:10" x14ac:dyDescent="0.75">
      <c r="A1356" s="16">
        <v>43823</v>
      </c>
      <c r="B1356" s="16">
        <v>43823</v>
      </c>
      <c r="C1356" s="53" t="s">
        <v>720</v>
      </c>
      <c r="D1356" s="54"/>
      <c r="E1356" s="19">
        <v>559.62</v>
      </c>
      <c r="F1356" s="18" t="s">
        <v>21</v>
      </c>
      <c r="G1356" s="17">
        <v>1055534.5900000001</v>
      </c>
      <c r="H1356" s="1"/>
      <c r="I1356" s="1"/>
      <c r="J1356" s="1"/>
    </row>
    <row r="1357" spans="1:10" x14ac:dyDescent="0.75">
      <c r="A1357" s="16">
        <v>43823</v>
      </c>
      <c r="B1357" s="16">
        <v>43823</v>
      </c>
      <c r="C1357" s="53" t="s">
        <v>721</v>
      </c>
      <c r="D1357" s="54"/>
      <c r="E1357" s="19">
        <v>829.35</v>
      </c>
      <c r="F1357" s="18" t="s">
        <v>21</v>
      </c>
      <c r="G1357" s="17">
        <v>1054705.24</v>
      </c>
      <c r="H1357" s="1"/>
      <c r="I1357" s="1"/>
      <c r="J1357" s="1"/>
    </row>
    <row r="1358" spans="1:10" x14ac:dyDescent="0.75">
      <c r="A1358" s="16">
        <v>43823</v>
      </c>
      <c r="B1358" s="16">
        <v>43823</v>
      </c>
      <c r="C1358" s="53" t="s">
        <v>722</v>
      </c>
      <c r="D1358" s="54"/>
      <c r="E1358" s="17">
        <v>1121.32</v>
      </c>
      <c r="F1358" s="18" t="s">
        <v>21</v>
      </c>
      <c r="G1358" s="17">
        <v>1053583.92</v>
      </c>
      <c r="H1358" s="1"/>
      <c r="I1358" s="1"/>
      <c r="J1358" s="1"/>
    </row>
    <row r="1359" spans="1:10" x14ac:dyDescent="0.75">
      <c r="A1359" s="20"/>
      <c r="B1359" s="20"/>
      <c r="C1359" s="8"/>
      <c r="D1359" s="9"/>
      <c r="E1359" s="20"/>
      <c r="F1359" s="20"/>
      <c r="G1359" s="20"/>
      <c r="H1359" s="1"/>
      <c r="I1359" s="1"/>
      <c r="J1359" s="1"/>
    </row>
    <row r="1360" spans="1:10" x14ac:dyDescent="0.75">
      <c r="A1360" s="34" t="s">
        <v>15</v>
      </c>
      <c r="B1360" s="35"/>
      <c r="C1360" s="35"/>
      <c r="D1360" s="35"/>
      <c r="E1360" s="35"/>
      <c r="F1360" s="35"/>
      <c r="G1360" s="36"/>
      <c r="H1360" s="1"/>
      <c r="I1360" s="1"/>
      <c r="J1360" s="1"/>
    </row>
    <row r="1361" spans="1:10" x14ac:dyDescent="0.75">
      <c r="A1361" s="21" t="s">
        <v>32</v>
      </c>
      <c r="B1361" s="22"/>
      <c r="C1361" s="22"/>
      <c r="D1361" s="23" t="s">
        <v>33</v>
      </c>
      <c r="E1361" s="22"/>
      <c r="F1361" s="22"/>
      <c r="G1361" s="24"/>
      <c r="H1361" s="1"/>
      <c r="I1361" s="1"/>
      <c r="J1361" s="1"/>
    </row>
    <row r="1362" spans="1:10" x14ac:dyDescent="0.75">
      <c r="A1362" s="37" t="s">
        <v>723</v>
      </c>
      <c r="B1362" s="37"/>
      <c r="C1362" s="37"/>
      <c r="D1362" s="37"/>
      <c r="E1362" s="37"/>
      <c r="F1362" s="37"/>
      <c r="G1362" s="37"/>
      <c r="H1362" s="37"/>
      <c r="I1362" s="1"/>
      <c r="J1362" s="1"/>
    </row>
    <row r="1363" spans="1:10" x14ac:dyDescent="0.75">
      <c r="A1363" s="55" t="s">
        <v>0</v>
      </c>
      <c r="B1363" s="55"/>
      <c r="C1363" s="55"/>
      <c r="D1363" s="55"/>
      <c r="E1363" s="55"/>
      <c r="F1363" s="55"/>
      <c r="G1363" s="55"/>
      <c r="H1363" s="55"/>
      <c r="I1363" s="1"/>
      <c r="J1363" s="1"/>
    </row>
    <row r="1364" spans="1:10" x14ac:dyDescent="0.75">
      <c r="A1364" s="55" t="s">
        <v>1</v>
      </c>
      <c r="B1364" s="55"/>
      <c r="C1364" s="55"/>
      <c r="D1364" s="55"/>
      <c r="E1364" s="55"/>
      <c r="F1364" s="55"/>
      <c r="G1364" s="55"/>
      <c r="H1364" s="55"/>
      <c r="I1364" s="1"/>
      <c r="J1364" s="1"/>
    </row>
    <row r="1365" spans="1:10" x14ac:dyDescent="0.75">
      <c r="A1365" s="38" t="s">
        <v>35</v>
      </c>
      <c r="B1365" s="39"/>
      <c r="C1365" s="39"/>
      <c r="D1365" s="39"/>
      <c r="E1365" s="39"/>
      <c r="F1365" s="39"/>
      <c r="G1365" s="40"/>
      <c r="H1365" s="1"/>
      <c r="I1365" s="1"/>
      <c r="J1365" s="1"/>
    </row>
    <row r="1366" spans="1:10" ht="21.5" x14ac:dyDescent="0.75">
      <c r="A1366" s="2" t="s">
        <v>3</v>
      </c>
      <c r="B1366" s="3" t="s">
        <v>4</v>
      </c>
      <c r="C1366" s="4"/>
      <c r="D1366" s="5" t="s">
        <v>5</v>
      </c>
      <c r="E1366" s="3" t="s">
        <v>6</v>
      </c>
      <c r="F1366" s="3" t="s">
        <v>7</v>
      </c>
      <c r="G1366" s="6" t="s">
        <v>8</v>
      </c>
      <c r="H1366" s="1"/>
      <c r="I1366" s="1"/>
      <c r="J1366" s="1"/>
    </row>
    <row r="1367" spans="1:10" x14ac:dyDescent="0.75">
      <c r="A1367" s="10">
        <v>43823</v>
      </c>
      <c r="B1367" s="11"/>
      <c r="C1367" s="56" t="s">
        <v>19</v>
      </c>
      <c r="D1367" s="57"/>
      <c r="E1367" s="11"/>
      <c r="F1367" s="11"/>
      <c r="G1367" s="12">
        <v>1053583.92</v>
      </c>
      <c r="H1367" s="1"/>
      <c r="I1367" s="1"/>
      <c r="J1367" s="1"/>
    </row>
    <row r="1368" spans="1:10" x14ac:dyDescent="0.75">
      <c r="A1368" s="13">
        <v>43823</v>
      </c>
      <c r="B1368" s="13">
        <v>43823</v>
      </c>
      <c r="C1368" s="58" t="s">
        <v>724</v>
      </c>
      <c r="D1368" s="59"/>
      <c r="E1368" s="14">
        <v>1373.52</v>
      </c>
      <c r="F1368" s="15" t="s">
        <v>21</v>
      </c>
      <c r="G1368" s="14">
        <v>1052210.3999999999</v>
      </c>
      <c r="H1368" s="1"/>
      <c r="I1368" s="1"/>
      <c r="J1368" s="1"/>
    </row>
    <row r="1369" spans="1:10" x14ac:dyDescent="0.75">
      <c r="A1369" s="16">
        <v>43823</v>
      </c>
      <c r="B1369" s="16">
        <v>43823</v>
      </c>
      <c r="C1369" s="53" t="s">
        <v>725</v>
      </c>
      <c r="D1369" s="54"/>
      <c r="E1369" s="17">
        <v>1729.99</v>
      </c>
      <c r="F1369" s="18" t="s">
        <v>21</v>
      </c>
      <c r="G1369" s="17">
        <v>1050480.4099999999</v>
      </c>
      <c r="H1369" s="1"/>
      <c r="I1369" s="1"/>
      <c r="J1369" s="1"/>
    </row>
    <row r="1370" spans="1:10" x14ac:dyDescent="0.75">
      <c r="A1370" s="16">
        <v>43823</v>
      </c>
      <c r="B1370" s="16">
        <v>43823</v>
      </c>
      <c r="C1370" s="53" t="s">
        <v>726</v>
      </c>
      <c r="D1370" s="54"/>
      <c r="E1370" s="17">
        <v>2764.5</v>
      </c>
      <c r="F1370" s="18" t="s">
        <v>21</v>
      </c>
      <c r="G1370" s="17">
        <v>1047715.91</v>
      </c>
      <c r="H1370" s="1"/>
      <c r="I1370" s="1"/>
      <c r="J1370" s="1"/>
    </row>
    <row r="1371" spans="1:10" x14ac:dyDescent="0.75">
      <c r="A1371" s="16">
        <v>43823</v>
      </c>
      <c r="B1371" s="16">
        <v>43823</v>
      </c>
      <c r="C1371" s="53" t="s">
        <v>727</v>
      </c>
      <c r="D1371" s="54"/>
      <c r="E1371" s="17">
        <v>6660</v>
      </c>
      <c r="F1371" s="18" t="s">
        <v>21</v>
      </c>
      <c r="G1371" s="17">
        <v>1041055.91</v>
      </c>
      <c r="H1371" s="1"/>
      <c r="I1371" s="1"/>
      <c r="J1371" s="1"/>
    </row>
    <row r="1372" spans="1:10" x14ac:dyDescent="0.75">
      <c r="A1372" s="16">
        <v>43823</v>
      </c>
      <c r="B1372" s="16">
        <v>43823</v>
      </c>
      <c r="C1372" s="53" t="s">
        <v>728</v>
      </c>
      <c r="D1372" s="54"/>
      <c r="E1372" s="17">
        <v>7182</v>
      </c>
      <c r="F1372" s="18" t="s">
        <v>21</v>
      </c>
      <c r="G1372" s="17">
        <v>1033873.91</v>
      </c>
      <c r="H1372" s="1"/>
      <c r="I1372" s="1"/>
      <c r="J1372" s="1"/>
    </row>
    <row r="1373" spans="1:10" x14ac:dyDescent="0.75">
      <c r="A1373" s="16">
        <v>43823</v>
      </c>
      <c r="B1373" s="16">
        <v>43823</v>
      </c>
      <c r="C1373" s="53" t="s">
        <v>729</v>
      </c>
      <c r="D1373" s="54"/>
      <c r="E1373" s="17">
        <v>274752</v>
      </c>
      <c r="F1373" s="18" t="s">
        <v>21</v>
      </c>
      <c r="G1373" s="17">
        <v>759121.91</v>
      </c>
      <c r="H1373" s="1"/>
      <c r="I1373" s="1"/>
      <c r="J1373" s="1"/>
    </row>
    <row r="1374" spans="1:10" x14ac:dyDescent="0.75">
      <c r="A1374" s="16">
        <v>43826</v>
      </c>
      <c r="B1374" s="16">
        <v>43826</v>
      </c>
      <c r="C1374" s="53" t="s">
        <v>28</v>
      </c>
      <c r="D1374" s="54"/>
      <c r="E1374" s="18" t="s">
        <v>21</v>
      </c>
      <c r="F1374" s="17">
        <v>61887.3</v>
      </c>
      <c r="G1374" s="17">
        <v>821009.21</v>
      </c>
      <c r="H1374" s="1"/>
      <c r="I1374" s="1"/>
      <c r="J1374" s="1"/>
    </row>
    <row r="1375" spans="1:10" x14ac:dyDescent="0.75">
      <c r="A1375" s="16">
        <v>43826</v>
      </c>
      <c r="B1375" s="16">
        <v>43826</v>
      </c>
      <c r="C1375" s="53" t="s">
        <v>730</v>
      </c>
      <c r="D1375" s="54"/>
      <c r="E1375" s="17">
        <v>1455</v>
      </c>
      <c r="F1375" s="18" t="s">
        <v>21</v>
      </c>
      <c r="G1375" s="17">
        <v>819554.21</v>
      </c>
      <c r="H1375" s="1"/>
      <c r="I1375" s="1"/>
      <c r="J1375" s="1"/>
    </row>
    <row r="1376" spans="1:10" x14ac:dyDescent="0.75">
      <c r="A1376" s="16">
        <v>43826</v>
      </c>
      <c r="B1376" s="16">
        <v>43826</v>
      </c>
      <c r="C1376" s="53" t="s">
        <v>731</v>
      </c>
      <c r="D1376" s="54"/>
      <c r="E1376" s="17">
        <v>1650</v>
      </c>
      <c r="F1376" s="18" t="s">
        <v>21</v>
      </c>
      <c r="G1376" s="17">
        <v>817904.21</v>
      </c>
      <c r="H1376" s="1"/>
      <c r="I1376" s="1"/>
      <c r="J1376" s="1"/>
    </row>
    <row r="1377" spans="1:10" x14ac:dyDescent="0.75">
      <c r="A1377" s="16">
        <v>43826</v>
      </c>
      <c r="B1377" s="16">
        <v>43826</v>
      </c>
      <c r="C1377" s="53" t="s">
        <v>732</v>
      </c>
      <c r="D1377" s="54"/>
      <c r="E1377" s="17">
        <v>9372</v>
      </c>
      <c r="F1377" s="18" t="s">
        <v>21</v>
      </c>
      <c r="G1377" s="17">
        <v>808532.21</v>
      </c>
      <c r="H1377" s="1"/>
      <c r="I1377" s="1"/>
      <c r="J1377" s="1"/>
    </row>
    <row r="1378" spans="1:10" x14ac:dyDescent="0.75">
      <c r="A1378" s="16">
        <v>43826</v>
      </c>
      <c r="B1378" s="16">
        <v>43826</v>
      </c>
      <c r="C1378" s="53" t="s">
        <v>733</v>
      </c>
      <c r="D1378" s="54"/>
      <c r="E1378" s="17">
        <v>14935.85</v>
      </c>
      <c r="F1378" s="18" t="s">
        <v>21</v>
      </c>
      <c r="G1378" s="17">
        <v>793596.36</v>
      </c>
      <c r="H1378" s="1"/>
      <c r="I1378" s="1"/>
      <c r="J1378" s="1"/>
    </row>
    <row r="1379" spans="1:10" x14ac:dyDescent="0.75">
      <c r="A1379" s="16">
        <v>43826</v>
      </c>
      <c r="B1379" s="16">
        <v>43826</v>
      </c>
      <c r="C1379" s="53" t="s">
        <v>734</v>
      </c>
      <c r="D1379" s="54"/>
      <c r="E1379" s="17">
        <v>18129.3</v>
      </c>
      <c r="F1379" s="18" t="s">
        <v>21</v>
      </c>
      <c r="G1379" s="17">
        <v>775467.06</v>
      </c>
      <c r="H1379" s="1"/>
      <c r="I1379" s="1"/>
      <c r="J1379" s="1"/>
    </row>
    <row r="1380" spans="1:10" x14ac:dyDescent="0.75">
      <c r="A1380" s="20"/>
      <c r="B1380" s="20"/>
      <c r="C1380" s="8"/>
      <c r="D1380" s="9"/>
      <c r="E1380" s="20"/>
      <c r="F1380" s="20"/>
      <c r="G1380" s="20"/>
      <c r="H1380" s="1"/>
      <c r="I1380" s="1"/>
      <c r="J1380" s="1"/>
    </row>
    <row r="1381" spans="1:10" x14ac:dyDescent="0.75">
      <c r="A1381" s="34" t="s">
        <v>15</v>
      </c>
      <c r="B1381" s="35"/>
      <c r="C1381" s="35"/>
      <c r="D1381" s="35"/>
      <c r="E1381" s="35"/>
      <c r="F1381" s="35"/>
      <c r="G1381" s="36"/>
      <c r="H1381" s="1"/>
      <c r="I1381" s="1"/>
      <c r="J1381" s="1"/>
    </row>
    <row r="1382" spans="1:10" x14ac:dyDescent="0.75">
      <c r="A1382" s="21" t="s">
        <v>32</v>
      </c>
      <c r="B1382" s="22"/>
      <c r="C1382" s="22"/>
      <c r="D1382" s="23" t="s">
        <v>33</v>
      </c>
      <c r="E1382" s="22"/>
      <c r="F1382" s="22"/>
      <c r="G1382" s="24"/>
      <c r="H1382" s="1"/>
      <c r="I1382" s="1"/>
      <c r="J1382" s="1"/>
    </row>
    <row r="1383" spans="1:10" x14ac:dyDescent="0.75">
      <c r="A1383" s="37" t="s">
        <v>735</v>
      </c>
      <c r="B1383" s="37"/>
      <c r="C1383" s="37"/>
      <c r="D1383" s="37"/>
      <c r="E1383" s="37"/>
      <c r="F1383" s="37"/>
      <c r="G1383" s="37"/>
      <c r="H1383" s="37"/>
      <c r="I1383" s="1"/>
      <c r="J1383" s="1"/>
    </row>
    <row r="1384" spans="1:10" x14ac:dyDescent="0.75">
      <c r="A1384" s="55" t="s">
        <v>0</v>
      </c>
      <c r="B1384" s="55"/>
      <c r="C1384" s="55"/>
      <c r="D1384" s="55"/>
      <c r="E1384" s="55"/>
      <c r="F1384" s="55"/>
      <c r="G1384" s="55"/>
      <c r="H1384" s="55"/>
      <c r="I1384" s="1"/>
      <c r="J1384" s="1"/>
    </row>
    <row r="1385" spans="1:10" x14ac:dyDescent="0.75">
      <c r="A1385" s="55" t="s">
        <v>1</v>
      </c>
      <c r="B1385" s="55"/>
      <c r="C1385" s="55"/>
      <c r="D1385" s="55"/>
      <c r="E1385" s="55"/>
      <c r="F1385" s="55"/>
      <c r="G1385" s="55"/>
      <c r="H1385" s="55"/>
      <c r="I1385" s="1"/>
      <c r="J1385" s="1"/>
    </row>
    <row r="1386" spans="1:10" x14ac:dyDescent="0.75">
      <c r="A1386" s="38" t="s">
        <v>35</v>
      </c>
      <c r="B1386" s="39"/>
      <c r="C1386" s="39"/>
      <c r="D1386" s="39"/>
      <c r="E1386" s="39"/>
      <c r="F1386" s="39"/>
      <c r="G1386" s="40"/>
      <c r="H1386" s="1"/>
      <c r="I1386" s="1"/>
      <c r="J1386" s="1"/>
    </row>
    <row r="1387" spans="1:10" ht="21.5" x14ac:dyDescent="0.75">
      <c r="A1387" s="2" t="s">
        <v>3</v>
      </c>
      <c r="B1387" s="3" t="s">
        <v>4</v>
      </c>
      <c r="C1387" s="4"/>
      <c r="D1387" s="5" t="s">
        <v>5</v>
      </c>
      <c r="E1387" s="3" t="s">
        <v>6</v>
      </c>
      <c r="F1387" s="3" t="s">
        <v>7</v>
      </c>
      <c r="G1387" s="6" t="s">
        <v>8</v>
      </c>
      <c r="H1387" s="1"/>
      <c r="I1387" s="1"/>
      <c r="J1387" s="1"/>
    </row>
    <row r="1388" spans="1:10" ht="75.25" x14ac:dyDescent="0.75">
      <c r="A1388" s="41" t="s">
        <v>736</v>
      </c>
      <c r="B1388" s="41" t="s">
        <v>737</v>
      </c>
      <c r="C1388" s="44" t="s">
        <v>738</v>
      </c>
      <c r="D1388" s="45"/>
      <c r="E1388" s="7" t="s">
        <v>739</v>
      </c>
      <c r="F1388" s="7" t="s">
        <v>740</v>
      </c>
      <c r="G1388" s="48" t="s">
        <v>741</v>
      </c>
      <c r="H1388" s="1"/>
      <c r="I1388" s="1"/>
      <c r="J1388" s="1"/>
    </row>
    <row r="1389" spans="1:10" x14ac:dyDescent="0.75">
      <c r="A1389" s="42"/>
      <c r="B1389" s="42"/>
      <c r="C1389" s="46"/>
      <c r="D1389" s="47"/>
      <c r="E1389" s="51">
        <v>2253746.25</v>
      </c>
      <c r="F1389" s="51">
        <v>1689594.56</v>
      </c>
      <c r="G1389" s="49"/>
      <c r="H1389" s="1"/>
      <c r="I1389" s="1"/>
      <c r="J1389" s="1"/>
    </row>
    <row r="1390" spans="1:10" x14ac:dyDescent="0.75">
      <c r="A1390" s="43"/>
      <c r="B1390" s="43"/>
      <c r="C1390" s="8"/>
      <c r="D1390" s="9"/>
      <c r="E1390" s="52"/>
      <c r="F1390" s="52"/>
      <c r="G1390" s="50"/>
      <c r="H1390" s="1"/>
      <c r="I1390" s="1"/>
      <c r="J1390" s="1"/>
    </row>
    <row r="1391" spans="1:10" x14ac:dyDescent="0.75">
      <c r="A1391" s="34" t="s">
        <v>15</v>
      </c>
      <c r="B1391" s="35"/>
      <c r="C1391" s="35"/>
      <c r="D1391" s="35"/>
      <c r="E1391" s="35"/>
      <c r="F1391" s="35"/>
      <c r="G1391" s="36"/>
      <c r="H1391" s="1"/>
      <c r="I1391" s="1"/>
      <c r="J1391" s="1"/>
    </row>
    <row r="1392" spans="1:10" x14ac:dyDescent="0.75">
      <c r="A1392" s="34" t="s">
        <v>16</v>
      </c>
      <c r="B1392" s="35"/>
      <c r="C1392" s="35"/>
      <c r="D1392" s="35"/>
      <c r="E1392" s="35"/>
      <c r="F1392" s="35"/>
      <c r="G1392" s="36"/>
      <c r="H1392" s="1"/>
      <c r="I1392" s="1"/>
      <c r="J1392" s="1"/>
    </row>
    <row r="1393" spans="1:10" x14ac:dyDescent="0.75">
      <c r="A1393" s="37" t="s">
        <v>742</v>
      </c>
      <c r="B1393" s="37"/>
      <c r="C1393" s="37"/>
      <c r="D1393" s="37"/>
      <c r="E1393" s="37"/>
      <c r="F1393" s="37"/>
      <c r="G1393" s="37"/>
      <c r="H1393" s="37"/>
      <c r="I1393" s="1"/>
      <c r="J1393" s="1"/>
    </row>
    <row r="1394" spans="1:10" x14ac:dyDescent="0.75">
      <c r="A1394" s="1"/>
      <c r="B1394" s="1"/>
      <c r="C1394" s="1"/>
      <c r="D1394" s="1"/>
      <c r="E1394" s="1"/>
      <c r="F1394" s="1"/>
      <c r="G1394" s="1"/>
      <c r="H1394" s="1"/>
      <c r="I1394" s="1"/>
      <c r="J1394" s="1"/>
    </row>
  </sheetData>
  <mergeCells count="1233">
    <mergeCell ref="A8:G8"/>
    <mergeCell ref="A9:G9"/>
    <mergeCell ref="A10:H10"/>
    <mergeCell ref="A13:H13"/>
    <mergeCell ref="A14:H14"/>
    <mergeCell ref="A15:G15"/>
    <mergeCell ref="A1:H1"/>
    <mergeCell ref="A2:H2"/>
    <mergeCell ref="A3:G3"/>
    <mergeCell ref="A5:A7"/>
    <mergeCell ref="B5:B7"/>
    <mergeCell ref="C5:D6"/>
    <mergeCell ref="G5:G7"/>
    <mergeCell ref="E6:E7"/>
    <mergeCell ref="F6:F7"/>
    <mergeCell ref="C29:D29"/>
    <mergeCell ref="A31:G31"/>
    <mergeCell ref="A33:H33"/>
    <mergeCell ref="A34:H34"/>
    <mergeCell ref="A35:H35"/>
    <mergeCell ref="A36:G36"/>
    <mergeCell ref="C23:D23"/>
    <mergeCell ref="C24:D24"/>
    <mergeCell ref="C25:D25"/>
    <mergeCell ref="C26:D26"/>
    <mergeCell ref="C27:D27"/>
    <mergeCell ref="C28:D28"/>
    <mergeCell ref="C17:D17"/>
    <mergeCell ref="C18:D18"/>
    <mergeCell ref="C19:D19"/>
    <mergeCell ref="C20:D20"/>
    <mergeCell ref="C21:D21"/>
    <mergeCell ref="C22:D22"/>
    <mergeCell ref="C50:D50"/>
    <mergeCell ref="C51:D51"/>
    <mergeCell ref="A53:G53"/>
    <mergeCell ref="A55:H55"/>
    <mergeCell ref="A56:H56"/>
    <mergeCell ref="A57:H57"/>
    <mergeCell ref="C44:D44"/>
    <mergeCell ref="C45:D45"/>
    <mergeCell ref="C46:D46"/>
    <mergeCell ref="C47:D47"/>
    <mergeCell ref="C48:D48"/>
    <mergeCell ref="C49:D49"/>
    <mergeCell ref="C38:D38"/>
    <mergeCell ref="C39:D39"/>
    <mergeCell ref="C40:D40"/>
    <mergeCell ref="C41:D41"/>
    <mergeCell ref="C42:D42"/>
    <mergeCell ref="C43:D43"/>
    <mergeCell ref="C71:D71"/>
    <mergeCell ref="C72:D72"/>
    <mergeCell ref="A74:G74"/>
    <mergeCell ref="A76:H76"/>
    <mergeCell ref="A77:H77"/>
    <mergeCell ref="A78:H78"/>
    <mergeCell ref="C65:D65"/>
    <mergeCell ref="C66:D66"/>
    <mergeCell ref="C67:D67"/>
    <mergeCell ref="C68:D68"/>
    <mergeCell ref="C69:D69"/>
    <mergeCell ref="C70:D70"/>
    <mergeCell ref="A58:G58"/>
    <mergeCell ref="C60:D60"/>
    <mergeCell ref="C61:D61"/>
    <mergeCell ref="C62:D62"/>
    <mergeCell ref="C63:D63"/>
    <mergeCell ref="C64:D64"/>
    <mergeCell ref="C92:D92"/>
    <mergeCell ref="C93:D93"/>
    <mergeCell ref="A95:G95"/>
    <mergeCell ref="A97:H97"/>
    <mergeCell ref="A98:H98"/>
    <mergeCell ref="A99:H99"/>
    <mergeCell ref="C86:D86"/>
    <mergeCell ref="C87:D87"/>
    <mergeCell ref="C88:D88"/>
    <mergeCell ref="C89:D89"/>
    <mergeCell ref="C90:D90"/>
    <mergeCell ref="C91:D91"/>
    <mergeCell ref="A79:G79"/>
    <mergeCell ref="C81:D81"/>
    <mergeCell ref="C82:D82"/>
    <mergeCell ref="C83:D83"/>
    <mergeCell ref="C84:D84"/>
    <mergeCell ref="C85:D85"/>
    <mergeCell ref="C113:D113"/>
    <mergeCell ref="C114:D114"/>
    <mergeCell ref="C115:D115"/>
    <mergeCell ref="A117:G117"/>
    <mergeCell ref="A119:H119"/>
    <mergeCell ref="A120:H120"/>
    <mergeCell ref="C107:D107"/>
    <mergeCell ref="C108:D108"/>
    <mergeCell ref="C109:D109"/>
    <mergeCell ref="C110:D110"/>
    <mergeCell ref="C111:D111"/>
    <mergeCell ref="C112:D112"/>
    <mergeCell ref="A100:G100"/>
    <mergeCell ref="C102:D102"/>
    <mergeCell ref="C103:D103"/>
    <mergeCell ref="C104:D104"/>
    <mergeCell ref="C105:D105"/>
    <mergeCell ref="C106:D106"/>
    <mergeCell ref="C134:D134"/>
    <mergeCell ref="C135:D135"/>
    <mergeCell ref="C136:D136"/>
    <mergeCell ref="C137:D137"/>
    <mergeCell ref="C138:D138"/>
    <mergeCell ref="C139:D139"/>
    <mergeCell ref="A127:G127"/>
    <mergeCell ref="A128:G128"/>
    <mergeCell ref="A129:H129"/>
    <mergeCell ref="A130:H130"/>
    <mergeCell ref="A131:H131"/>
    <mergeCell ref="A132:G132"/>
    <mergeCell ref="A121:H121"/>
    <mergeCell ref="A122:G122"/>
    <mergeCell ref="A124:A126"/>
    <mergeCell ref="B124:B126"/>
    <mergeCell ref="C124:D125"/>
    <mergeCell ref="G124:G126"/>
    <mergeCell ref="E125:E126"/>
    <mergeCell ref="F125:F126"/>
    <mergeCell ref="C155:D155"/>
    <mergeCell ref="C156:D156"/>
    <mergeCell ref="C157:D157"/>
    <mergeCell ref="C158:D158"/>
    <mergeCell ref="C159:D159"/>
    <mergeCell ref="C160:D160"/>
    <mergeCell ref="C146:D146"/>
    <mergeCell ref="A148:G148"/>
    <mergeCell ref="A150:H150"/>
    <mergeCell ref="A151:H151"/>
    <mergeCell ref="A152:H152"/>
    <mergeCell ref="A153:G153"/>
    <mergeCell ref="C140:D140"/>
    <mergeCell ref="C141:D141"/>
    <mergeCell ref="C142:D142"/>
    <mergeCell ref="C143:D143"/>
    <mergeCell ref="C144:D144"/>
    <mergeCell ref="C145:D145"/>
    <mergeCell ref="C176:D176"/>
    <mergeCell ref="C177:D177"/>
    <mergeCell ref="C178:D178"/>
    <mergeCell ref="C179:D179"/>
    <mergeCell ref="C180:D180"/>
    <mergeCell ref="C181:D181"/>
    <mergeCell ref="C167:D167"/>
    <mergeCell ref="A169:G169"/>
    <mergeCell ref="A171:H171"/>
    <mergeCell ref="A172:H172"/>
    <mergeCell ref="A173:H173"/>
    <mergeCell ref="A174:G174"/>
    <mergeCell ref="C161:D161"/>
    <mergeCell ref="C162:D162"/>
    <mergeCell ref="C163:D163"/>
    <mergeCell ref="C164:D164"/>
    <mergeCell ref="C165:D165"/>
    <mergeCell ref="C166:D166"/>
    <mergeCell ref="A196:H196"/>
    <mergeCell ref="A197:G197"/>
    <mergeCell ref="C199:D199"/>
    <mergeCell ref="C200:D200"/>
    <mergeCell ref="C201:D201"/>
    <mergeCell ref="C202:D202"/>
    <mergeCell ref="C188:D188"/>
    <mergeCell ref="C189:D189"/>
    <mergeCell ref="C190:D190"/>
    <mergeCell ref="A192:G192"/>
    <mergeCell ref="A194:H194"/>
    <mergeCell ref="A195:H195"/>
    <mergeCell ref="C182:D182"/>
    <mergeCell ref="C183:D183"/>
    <mergeCell ref="C184:D184"/>
    <mergeCell ref="C185:D185"/>
    <mergeCell ref="C186:D186"/>
    <mergeCell ref="C187:D187"/>
    <mergeCell ref="A217:H217"/>
    <mergeCell ref="A218:H218"/>
    <mergeCell ref="A219:G219"/>
    <mergeCell ref="C221:D221"/>
    <mergeCell ref="C222:D222"/>
    <mergeCell ref="C223:D223"/>
    <mergeCell ref="C209:D209"/>
    <mergeCell ref="C210:D210"/>
    <mergeCell ref="C211:D211"/>
    <mergeCell ref="C212:D212"/>
    <mergeCell ref="A214:G214"/>
    <mergeCell ref="A216:H216"/>
    <mergeCell ref="C203:D203"/>
    <mergeCell ref="C204:D204"/>
    <mergeCell ref="C205:D205"/>
    <mergeCell ref="C206:D206"/>
    <mergeCell ref="C207:D207"/>
    <mergeCell ref="C208:D208"/>
    <mergeCell ref="C236:D236"/>
    <mergeCell ref="C237:D237"/>
    <mergeCell ref="C238:D238"/>
    <mergeCell ref="C239:D239"/>
    <mergeCell ref="A241:G241"/>
    <mergeCell ref="A243:H243"/>
    <mergeCell ref="C230:D230"/>
    <mergeCell ref="C231:D231"/>
    <mergeCell ref="C232:D232"/>
    <mergeCell ref="C233:D233"/>
    <mergeCell ref="C234:D234"/>
    <mergeCell ref="C235:D235"/>
    <mergeCell ref="C224:D224"/>
    <mergeCell ref="C225:D225"/>
    <mergeCell ref="C226:D226"/>
    <mergeCell ref="C227:D227"/>
    <mergeCell ref="C228:D228"/>
    <mergeCell ref="C229:D229"/>
    <mergeCell ref="C257:D257"/>
    <mergeCell ref="C258:D258"/>
    <mergeCell ref="C259:D259"/>
    <mergeCell ref="C260:D260"/>
    <mergeCell ref="C261:D261"/>
    <mergeCell ref="C262:D262"/>
    <mergeCell ref="C251:D251"/>
    <mergeCell ref="C252:D252"/>
    <mergeCell ref="C253:D253"/>
    <mergeCell ref="C254:D254"/>
    <mergeCell ref="C255:D255"/>
    <mergeCell ref="C256:D256"/>
    <mergeCell ref="A244:H244"/>
    <mergeCell ref="A245:H245"/>
    <mergeCell ref="A246:G246"/>
    <mergeCell ref="C248:D248"/>
    <mergeCell ref="C249:D249"/>
    <mergeCell ref="C250:D250"/>
    <mergeCell ref="C278:D278"/>
    <mergeCell ref="C279:D279"/>
    <mergeCell ref="C280:D280"/>
    <mergeCell ref="C281:D281"/>
    <mergeCell ref="C282:D282"/>
    <mergeCell ref="C283:D283"/>
    <mergeCell ref="A271:G271"/>
    <mergeCell ref="C273:D273"/>
    <mergeCell ref="C274:D274"/>
    <mergeCell ref="C275:D275"/>
    <mergeCell ref="C276:D276"/>
    <mergeCell ref="C277:D277"/>
    <mergeCell ref="C263:D263"/>
    <mergeCell ref="C264:D264"/>
    <mergeCell ref="A266:G266"/>
    <mergeCell ref="A268:H268"/>
    <mergeCell ref="A269:H269"/>
    <mergeCell ref="A270:H270"/>
    <mergeCell ref="A297:G297"/>
    <mergeCell ref="A298:G298"/>
    <mergeCell ref="A299:H299"/>
    <mergeCell ref="A300:H300"/>
    <mergeCell ref="A301:H301"/>
    <mergeCell ref="A302:G302"/>
    <mergeCell ref="A292:G292"/>
    <mergeCell ref="A294:A296"/>
    <mergeCell ref="B294:B296"/>
    <mergeCell ref="C294:D295"/>
    <mergeCell ref="G294:G296"/>
    <mergeCell ref="E295:E296"/>
    <mergeCell ref="F295:F296"/>
    <mergeCell ref="C284:D284"/>
    <mergeCell ref="C285:D285"/>
    <mergeCell ref="A287:G287"/>
    <mergeCell ref="A289:H289"/>
    <mergeCell ref="A290:H290"/>
    <mergeCell ref="A291:H291"/>
    <mergeCell ref="C316:D316"/>
    <mergeCell ref="A318:G318"/>
    <mergeCell ref="A320:H320"/>
    <mergeCell ref="A321:H321"/>
    <mergeCell ref="A322:H322"/>
    <mergeCell ref="A323:G323"/>
    <mergeCell ref="C310:D310"/>
    <mergeCell ref="C311:D311"/>
    <mergeCell ref="C312:D312"/>
    <mergeCell ref="C313:D313"/>
    <mergeCell ref="C314:D314"/>
    <mergeCell ref="C315:D315"/>
    <mergeCell ref="C304:D304"/>
    <mergeCell ref="C305:D305"/>
    <mergeCell ref="C306:D306"/>
    <mergeCell ref="C307:D307"/>
    <mergeCell ref="C308:D308"/>
    <mergeCell ref="C309:D309"/>
    <mergeCell ref="C337:D337"/>
    <mergeCell ref="A339:G339"/>
    <mergeCell ref="A341:H341"/>
    <mergeCell ref="A342:H342"/>
    <mergeCell ref="A343:H343"/>
    <mergeCell ref="A344:G344"/>
    <mergeCell ref="C331:D331"/>
    <mergeCell ref="C332:D332"/>
    <mergeCell ref="C333:D333"/>
    <mergeCell ref="C334:D334"/>
    <mergeCell ref="C335:D335"/>
    <mergeCell ref="C336:D336"/>
    <mergeCell ref="C325:D325"/>
    <mergeCell ref="C326:D326"/>
    <mergeCell ref="C327:D327"/>
    <mergeCell ref="C328:D328"/>
    <mergeCell ref="C329:D329"/>
    <mergeCell ref="C330:D330"/>
    <mergeCell ref="C358:D358"/>
    <mergeCell ref="A360:G360"/>
    <mergeCell ref="A362:H362"/>
    <mergeCell ref="A363:H363"/>
    <mergeCell ref="A364:H364"/>
    <mergeCell ref="A365:G365"/>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79:D379"/>
    <mergeCell ref="A381:G381"/>
    <mergeCell ref="A383:H383"/>
    <mergeCell ref="A384:H384"/>
    <mergeCell ref="A385:H385"/>
    <mergeCell ref="A386:G386"/>
    <mergeCell ref="C373:D373"/>
    <mergeCell ref="C374:D374"/>
    <mergeCell ref="C375:D375"/>
    <mergeCell ref="C376:D376"/>
    <mergeCell ref="C377:D377"/>
    <mergeCell ref="C378:D378"/>
    <mergeCell ref="C367:D367"/>
    <mergeCell ref="C368:D368"/>
    <mergeCell ref="C369:D369"/>
    <mergeCell ref="C370:D370"/>
    <mergeCell ref="C371:D371"/>
    <mergeCell ref="C372:D372"/>
    <mergeCell ref="C400:D400"/>
    <mergeCell ref="A402:G402"/>
    <mergeCell ref="A404:H404"/>
    <mergeCell ref="A405:H405"/>
    <mergeCell ref="A406:H406"/>
    <mergeCell ref="A407:G407"/>
    <mergeCell ref="C394:D394"/>
    <mergeCell ref="C395:D395"/>
    <mergeCell ref="C396:D396"/>
    <mergeCell ref="C397:D397"/>
    <mergeCell ref="C398:D398"/>
    <mergeCell ref="C399:D399"/>
    <mergeCell ref="C388:D388"/>
    <mergeCell ref="C389:D389"/>
    <mergeCell ref="C390:D390"/>
    <mergeCell ref="C391:D391"/>
    <mergeCell ref="C392:D392"/>
    <mergeCell ref="C393:D393"/>
    <mergeCell ref="C421:D421"/>
    <mergeCell ref="A423:G423"/>
    <mergeCell ref="A425:H425"/>
    <mergeCell ref="A426:H426"/>
    <mergeCell ref="A427:H427"/>
    <mergeCell ref="A428:G428"/>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42:D442"/>
    <mergeCell ref="A444:G444"/>
    <mergeCell ref="A446:H446"/>
    <mergeCell ref="A447:H447"/>
    <mergeCell ref="A448:H448"/>
    <mergeCell ref="A449:G449"/>
    <mergeCell ref="C436:D436"/>
    <mergeCell ref="C437:D437"/>
    <mergeCell ref="C438:D438"/>
    <mergeCell ref="C439:D439"/>
    <mergeCell ref="C440:D440"/>
    <mergeCell ref="C441:D441"/>
    <mergeCell ref="C430:D430"/>
    <mergeCell ref="C431:D431"/>
    <mergeCell ref="C432:D432"/>
    <mergeCell ref="C433:D433"/>
    <mergeCell ref="C434:D434"/>
    <mergeCell ref="C435:D435"/>
    <mergeCell ref="C463:D463"/>
    <mergeCell ref="A465:G465"/>
    <mergeCell ref="A467:H467"/>
    <mergeCell ref="A468:H468"/>
    <mergeCell ref="A469:H469"/>
    <mergeCell ref="A470:G470"/>
    <mergeCell ref="C457:D457"/>
    <mergeCell ref="C458:D458"/>
    <mergeCell ref="C459:D459"/>
    <mergeCell ref="C460:D460"/>
    <mergeCell ref="C461:D461"/>
    <mergeCell ref="C462:D462"/>
    <mergeCell ref="C451:D451"/>
    <mergeCell ref="C452:D452"/>
    <mergeCell ref="C453:D453"/>
    <mergeCell ref="C454:D454"/>
    <mergeCell ref="C455:D455"/>
    <mergeCell ref="C456:D456"/>
    <mergeCell ref="C484:D484"/>
    <mergeCell ref="A486:G486"/>
    <mergeCell ref="A488:H488"/>
    <mergeCell ref="A489:H489"/>
    <mergeCell ref="A490:H490"/>
    <mergeCell ref="A491:G491"/>
    <mergeCell ref="C478:D478"/>
    <mergeCell ref="C479:D479"/>
    <mergeCell ref="C480:D480"/>
    <mergeCell ref="C481:D481"/>
    <mergeCell ref="C482:D482"/>
    <mergeCell ref="C483:D483"/>
    <mergeCell ref="C472:D472"/>
    <mergeCell ref="C473:D473"/>
    <mergeCell ref="C474:D474"/>
    <mergeCell ref="C475:D475"/>
    <mergeCell ref="C476:D476"/>
    <mergeCell ref="C477:D477"/>
    <mergeCell ref="C505:D505"/>
    <mergeCell ref="A507:G507"/>
    <mergeCell ref="A509:H509"/>
    <mergeCell ref="A510:H510"/>
    <mergeCell ref="A511:H511"/>
    <mergeCell ref="A512:G512"/>
    <mergeCell ref="C499:D499"/>
    <mergeCell ref="C500:D500"/>
    <mergeCell ref="C501:D501"/>
    <mergeCell ref="C502:D502"/>
    <mergeCell ref="C503:D503"/>
    <mergeCell ref="C504:D504"/>
    <mergeCell ref="C493:D493"/>
    <mergeCell ref="C494:D494"/>
    <mergeCell ref="C495:D495"/>
    <mergeCell ref="C496:D496"/>
    <mergeCell ref="C497:D497"/>
    <mergeCell ref="C498:D498"/>
    <mergeCell ref="C526:D526"/>
    <mergeCell ref="C527:D527"/>
    <mergeCell ref="C528:D528"/>
    <mergeCell ref="A530:G530"/>
    <mergeCell ref="A532:H532"/>
    <mergeCell ref="A533:H533"/>
    <mergeCell ref="C520:D520"/>
    <mergeCell ref="C521:D521"/>
    <mergeCell ref="C522:D522"/>
    <mergeCell ref="C523:D523"/>
    <mergeCell ref="C524:D524"/>
    <mergeCell ref="C525:D525"/>
    <mergeCell ref="C514:D514"/>
    <mergeCell ref="C515:D515"/>
    <mergeCell ref="C516:D516"/>
    <mergeCell ref="C517:D517"/>
    <mergeCell ref="C518:D518"/>
    <mergeCell ref="C519:D519"/>
    <mergeCell ref="C547:D547"/>
    <mergeCell ref="C548:D548"/>
    <mergeCell ref="C549:D549"/>
    <mergeCell ref="A551:G551"/>
    <mergeCell ref="A553:H553"/>
    <mergeCell ref="A554:H554"/>
    <mergeCell ref="C541:D541"/>
    <mergeCell ref="C542:D542"/>
    <mergeCell ref="C543:D543"/>
    <mergeCell ref="C544:D544"/>
    <mergeCell ref="C545:D545"/>
    <mergeCell ref="C546:D546"/>
    <mergeCell ref="A534:H534"/>
    <mergeCell ref="A535:G535"/>
    <mergeCell ref="C537:D537"/>
    <mergeCell ref="C538:D538"/>
    <mergeCell ref="C539:D539"/>
    <mergeCell ref="C540:D540"/>
    <mergeCell ref="C568:D568"/>
    <mergeCell ref="C569:D569"/>
    <mergeCell ref="C570:D570"/>
    <mergeCell ref="C571:D571"/>
    <mergeCell ref="C572:D572"/>
    <mergeCell ref="C573:D573"/>
    <mergeCell ref="A561:G561"/>
    <mergeCell ref="A562:G562"/>
    <mergeCell ref="A563:H563"/>
    <mergeCell ref="A564:H564"/>
    <mergeCell ref="A565:H565"/>
    <mergeCell ref="A566:G566"/>
    <mergeCell ref="A555:H555"/>
    <mergeCell ref="A556:G556"/>
    <mergeCell ref="A558:A560"/>
    <mergeCell ref="B558:B560"/>
    <mergeCell ref="C558:D559"/>
    <mergeCell ref="G558:G560"/>
    <mergeCell ref="E559:E560"/>
    <mergeCell ref="F559:F560"/>
    <mergeCell ref="C589:D589"/>
    <mergeCell ref="C590:D590"/>
    <mergeCell ref="C591:D591"/>
    <mergeCell ref="C592:D592"/>
    <mergeCell ref="C593:D593"/>
    <mergeCell ref="C594:D594"/>
    <mergeCell ref="C580:D580"/>
    <mergeCell ref="A582:G582"/>
    <mergeCell ref="A584:H584"/>
    <mergeCell ref="A585:H585"/>
    <mergeCell ref="A586:H586"/>
    <mergeCell ref="A587:G587"/>
    <mergeCell ref="C574:D574"/>
    <mergeCell ref="C575:D575"/>
    <mergeCell ref="C576:D576"/>
    <mergeCell ref="C577:D577"/>
    <mergeCell ref="C578:D578"/>
    <mergeCell ref="C579:D579"/>
    <mergeCell ref="C610:D610"/>
    <mergeCell ref="C611:D611"/>
    <mergeCell ref="C612:D612"/>
    <mergeCell ref="C613:D613"/>
    <mergeCell ref="C614:D614"/>
    <mergeCell ref="C615:D615"/>
    <mergeCell ref="C601:D601"/>
    <mergeCell ref="A603:G603"/>
    <mergeCell ref="A605:H605"/>
    <mergeCell ref="A606:H606"/>
    <mergeCell ref="A607:H607"/>
    <mergeCell ref="A608:G608"/>
    <mergeCell ref="C595:D595"/>
    <mergeCell ref="C596:D596"/>
    <mergeCell ref="C597:D597"/>
    <mergeCell ref="C598:D598"/>
    <mergeCell ref="C599:D599"/>
    <mergeCell ref="C600:D600"/>
    <mergeCell ref="A630:H630"/>
    <mergeCell ref="A631:G631"/>
    <mergeCell ref="C633:D633"/>
    <mergeCell ref="C634:D634"/>
    <mergeCell ref="C635:D635"/>
    <mergeCell ref="C636:D636"/>
    <mergeCell ref="C622:D622"/>
    <mergeCell ref="C623:D623"/>
    <mergeCell ref="C624:D624"/>
    <mergeCell ref="A626:G626"/>
    <mergeCell ref="A628:H628"/>
    <mergeCell ref="A629:H629"/>
    <mergeCell ref="C616:D616"/>
    <mergeCell ref="C617:D617"/>
    <mergeCell ref="C618:D618"/>
    <mergeCell ref="C619:D619"/>
    <mergeCell ref="C620:D620"/>
    <mergeCell ref="C621:D621"/>
    <mergeCell ref="A651:H651"/>
    <mergeCell ref="A652:G652"/>
    <mergeCell ref="A654:A656"/>
    <mergeCell ref="B654:B656"/>
    <mergeCell ref="C654:D655"/>
    <mergeCell ref="G654:G656"/>
    <mergeCell ref="E655:E656"/>
    <mergeCell ref="F655:F656"/>
    <mergeCell ref="C643:D643"/>
    <mergeCell ref="C644:D644"/>
    <mergeCell ref="C645:D645"/>
    <mergeCell ref="A647:G647"/>
    <mergeCell ref="A649:H649"/>
    <mergeCell ref="A650:H650"/>
    <mergeCell ref="C637:D637"/>
    <mergeCell ref="C638:D638"/>
    <mergeCell ref="C639:D639"/>
    <mergeCell ref="C640:D640"/>
    <mergeCell ref="C641:D641"/>
    <mergeCell ref="C642:D642"/>
    <mergeCell ref="C670:D670"/>
    <mergeCell ref="C671:D671"/>
    <mergeCell ref="C672:D672"/>
    <mergeCell ref="C673:D673"/>
    <mergeCell ref="C674:D674"/>
    <mergeCell ref="C675:D675"/>
    <mergeCell ref="C664:D664"/>
    <mergeCell ref="C665:D665"/>
    <mergeCell ref="C666:D666"/>
    <mergeCell ref="C667:D667"/>
    <mergeCell ref="C668:D668"/>
    <mergeCell ref="C669:D669"/>
    <mergeCell ref="A657:G657"/>
    <mergeCell ref="A658:G658"/>
    <mergeCell ref="A659:H659"/>
    <mergeCell ref="A660:H660"/>
    <mergeCell ref="A661:H661"/>
    <mergeCell ref="A662:G662"/>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6:D676"/>
    <mergeCell ref="A678:G678"/>
    <mergeCell ref="A680:H680"/>
    <mergeCell ref="A681:H681"/>
    <mergeCell ref="A682:H682"/>
    <mergeCell ref="A683:G683"/>
    <mergeCell ref="A709:G709"/>
    <mergeCell ref="A710:G710"/>
    <mergeCell ref="A711:H711"/>
    <mergeCell ref="A712:H712"/>
    <mergeCell ref="A713:H713"/>
    <mergeCell ref="A714:G714"/>
    <mergeCell ref="A706:A708"/>
    <mergeCell ref="B706:B708"/>
    <mergeCell ref="C706:D707"/>
    <mergeCell ref="G706:G708"/>
    <mergeCell ref="E707:E708"/>
    <mergeCell ref="F707:F708"/>
    <mergeCell ref="C697:D697"/>
    <mergeCell ref="A699:G699"/>
    <mergeCell ref="A701:H701"/>
    <mergeCell ref="A702:H702"/>
    <mergeCell ref="A703:H703"/>
    <mergeCell ref="A704:G704"/>
    <mergeCell ref="C728:D728"/>
    <mergeCell ref="C729:D729"/>
    <mergeCell ref="A731:G731"/>
    <mergeCell ref="A733:H733"/>
    <mergeCell ref="A734:H734"/>
    <mergeCell ref="A735:H735"/>
    <mergeCell ref="C722:D722"/>
    <mergeCell ref="C723:D723"/>
    <mergeCell ref="C724:D724"/>
    <mergeCell ref="C725:D725"/>
    <mergeCell ref="C726:D726"/>
    <mergeCell ref="C727:D727"/>
    <mergeCell ref="C716:D716"/>
    <mergeCell ref="C717:D717"/>
    <mergeCell ref="C718:D718"/>
    <mergeCell ref="C719:D719"/>
    <mergeCell ref="C720:D720"/>
    <mergeCell ref="C721:D721"/>
    <mergeCell ref="C748:D748"/>
    <mergeCell ref="C749:D749"/>
    <mergeCell ref="C750:D750"/>
    <mergeCell ref="C751:D751"/>
    <mergeCell ref="C752:D752"/>
    <mergeCell ref="C753:D753"/>
    <mergeCell ref="A741:G741"/>
    <mergeCell ref="A742:G742"/>
    <mergeCell ref="A743:H743"/>
    <mergeCell ref="A744:H744"/>
    <mergeCell ref="A745:H745"/>
    <mergeCell ref="A746:G746"/>
    <mergeCell ref="A736:G736"/>
    <mergeCell ref="A738:A740"/>
    <mergeCell ref="B738:B740"/>
    <mergeCell ref="C738:D739"/>
    <mergeCell ref="G738:G740"/>
    <mergeCell ref="E739:E740"/>
    <mergeCell ref="F739:F740"/>
    <mergeCell ref="C769:D769"/>
    <mergeCell ref="C770:D770"/>
    <mergeCell ref="C771:D771"/>
    <mergeCell ref="C772:D772"/>
    <mergeCell ref="C773:D773"/>
    <mergeCell ref="C774:D774"/>
    <mergeCell ref="C760:D760"/>
    <mergeCell ref="A762:G762"/>
    <mergeCell ref="A764:H764"/>
    <mergeCell ref="A765:H765"/>
    <mergeCell ref="A766:H766"/>
    <mergeCell ref="A767:G767"/>
    <mergeCell ref="C754:D754"/>
    <mergeCell ref="C755:D755"/>
    <mergeCell ref="C756:D756"/>
    <mergeCell ref="C757:D757"/>
    <mergeCell ref="C758:D758"/>
    <mergeCell ref="C759:D759"/>
    <mergeCell ref="A790:A792"/>
    <mergeCell ref="B790:B792"/>
    <mergeCell ref="C790:D791"/>
    <mergeCell ref="G790:G792"/>
    <mergeCell ref="E791:E792"/>
    <mergeCell ref="F791:F792"/>
    <mergeCell ref="C781:D781"/>
    <mergeCell ref="A783:G783"/>
    <mergeCell ref="A785:H785"/>
    <mergeCell ref="A786:H786"/>
    <mergeCell ref="A787:H787"/>
    <mergeCell ref="A788:G788"/>
    <mergeCell ref="C775:D775"/>
    <mergeCell ref="C776:D776"/>
    <mergeCell ref="C777:D777"/>
    <mergeCell ref="C778:D778"/>
    <mergeCell ref="C779:D779"/>
    <mergeCell ref="C780:D780"/>
    <mergeCell ref="C806:D806"/>
    <mergeCell ref="C807:D807"/>
    <mergeCell ref="C808:D808"/>
    <mergeCell ref="C809:D809"/>
    <mergeCell ref="C810:D810"/>
    <mergeCell ref="C811:D811"/>
    <mergeCell ref="C800:D800"/>
    <mergeCell ref="C801:D801"/>
    <mergeCell ref="C802:D802"/>
    <mergeCell ref="C803:D803"/>
    <mergeCell ref="C804:D804"/>
    <mergeCell ref="C805:D805"/>
    <mergeCell ref="A793:G793"/>
    <mergeCell ref="A794:G794"/>
    <mergeCell ref="A795:H795"/>
    <mergeCell ref="A796:H796"/>
    <mergeCell ref="A797:H797"/>
    <mergeCell ref="A798:G798"/>
    <mergeCell ref="C827:D827"/>
    <mergeCell ref="C828:D828"/>
    <mergeCell ref="C829:D829"/>
    <mergeCell ref="C830:D830"/>
    <mergeCell ref="C831:D831"/>
    <mergeCell ref="C832:D832"/>
    <mergeCell ref="C821:D821"/>
    <mergeCell ref="C822:D822"/>
    <mergeCell ref="C823:D823"/>
    <mergeCell ref="C824:D824"/>
    <mergeCell ref="C825:D825"/>
    <mergeCell ref="C826:D826"/>
    <mergeCell ref="C812:D812"/>
    <mergeCell ref="A814:G814"/>
    <mergeCell ref="A816:H816"/>
    <mergeCell ref="A817:H817"/>
    <mergeCell ref="A818:H818"/>
    <mergeCell ref="A819:G819"/>
    <mergeCell ref="C848:D848"/>
    <mergeCell ref="C849:D849"/>
    <mergeCell ref="C850:D850"/>
    <mergeCell ref="C851:D851"/>
    <mergeCell ref="C852:D852"/>
    <mergeCell ref="C853:D853"/>
    <mergeCell ref="C842:D842"/>
    <mergeCell ref="C843:D843"/>
    <mergeCell ref="C844:D844"/>
    <mergeCell ref="C845:D845"/>
    <mergeCell ref="C846:D846"/>
    <mergeCell ref="C847:D847"/>
    <mergeCell ref="C833:D833"/>
    <mergeCell ref="A835:G835"/>
    <mergeCell ref="A837:H837"/>
    <mergeCell ref="A838:H838"/>
    <mergeCell ref="A839:H839"/>
    <mergeCell ref="A840:G840"/>
    <mergeCell ref="C869:D869"/>
    <mergeCell ref="C870:D870"/>
    <mergeCell ref="C871:D871"/>
    <mergeCell ref="C872:D872"/>
    <mergeCell ref="C873:D873"/>
    <mergeCell ref="C874:D874"/>
    <mergeCell ref="C863:D863"/>
    <mergeCell ref="C864:D864"/>
    <mergeCell ref="C865:D865"/>
    <mergeCell ref="C866:D866"/>
    <mergeCell ref="C867:D867"/>
    <mergeCell ref="C868:D868"/>
    <mergeCell ref="C854:D854"/>
    <mergeCell ref="A856:G856"/>
    <mergeCell ref="A858:H858"/>
    <mergeCell ref="A859:H859"/>
    <mergeCell ref="A860:H860"/>
    <mergeCell ref="A861:G861"/>
    <mergeCell ref="C890:D890"/>
    <mergeCell ref="C891:D891"/>
    <mergeCell ref="C892:D892"/>
    <mergeCell ref="C893:D893"/>
    <mergeCell ref="C894:D894"/>
    <mergeCell ref="C895:D895"/>
    <mergeCell ref="C884:D884"/>
    <mergeCell ref="C885:D885"/>
    <mergeCell ref="C886:D886"/>
    <mergeCell ref="C887:D887"/>
    <mergeCell ref="C888:D888"/>
    <mergeCell ref="C889:D889"/>
    <mergeCell ref="C875:D875"/>
    <mergeCell ref="A877:G877"/>
    <mergeCell ref="A879:H879"/>
    <mergeCell ref="A880:H880"/>
    <mergeCell ref="A881:H881"/>
    <mergeCell ref="A882:G882"/>
    <mergeCell ref="A908:G908"/>
    <mergeCell ref="A909:G909"/>
    <mergeCell ref="A910:H910"/>
    <mergeCell ref="A911:H911"/>
    <mergeCell ref="A912:H912"/>
    <mergeCell ref="A913:G913"/>
    <mergeCell ref="A905:A907"/>
    <mergeCell ref="B905:B907"/>
    <mergeCell ref="C905:D906"/>
    <mergeCell ref="G905:G907"/>
    <mergeCell ref="E906:E907"/>
    <mergeCell ref="F906:F907"/>
    <mergeCell ref="C896:D896"/>
    <mergeCell ref="A898:G898"/>
    <mergeCell ref="A900:H900"/>
    <mergeCell ref="A901:H901"/>
    <mergeCell ref="A902:H902"/>
    <mergeCell ref="A903:G903"/>
    <mergeCell ref="C927:D927"/>
    <mergeCell ref="A929:G929"/>
    <mergeCell ref="A931:H931"/>
    <mergeCell ref="A932:H932"/>
    <mergeCell ref="A933:H933"/>
    <mergeCell ref="A934:G934"/>
    <mergeCell ref="C921:D921"/>
    <mergeCell ref="C922:D922"/>
    <mergeCell ref="C923:D923"/>
    <mergeCell ref="C924:D924"/>
    <mergeCell ref="C925:D925"/>
    <mergeCell ref="C926:D926"/>
    <mergeCell ref="C915:D915"/>
    <mergeCell ref="C916:D916"/>
    <mergeCell ref="C917:D917"/>
    <mergeCell ref="C918:D918"/>
    <mergeCell ref="C919:D919"/>
    <mergeCell ref="C920:D920"/>
    <mergeCell ref="C948:D948"/>
    <mergeCell ref="A950:G950"/>
    <mergeCell ref="A952:H952"/>
    <mergeCell ref="A953:H953"/>
    <mergeCell ref="A954:H954"/>
    <mergeCell ref="A955:G955"/>
    <mergeCell ref="C942:D942"/>
    <mergeCell ref="C943:D943"/>
    <mergeCell ref="C944:D944"/>
    <mergeCell ref="C945:D945"/>
    <mergeCell ref="C946:D946"/>
    <mergeCell ref="C947:D947"/>
    <mergeCell ref="C936:D936"/>
    <mergeCell ref="C937:D937"/>
    <mergeCell ref="C938:D938"/>
    <mergeCell ref="C939:D939"/>
    <mergeCell ref="C940:D940"/>
    <mergeCell ref="C941:D941"/>
    <mergeCell ref="C969:D969"/>
    <mergeCell ref="A971:G971"/>
    <mergeCell ref="A973:H973"/>
    <mergeCell ref="A974:H974"/>
    <mergeCell ref="A975:H975"/>
    <mergeCell ref="A976:G976"/>
    <mergeCell ref="C963:D963"/>
    <mergeCell ref="C964:D964"/>
    <mergeCell ref="C965:D965"/>
    <mergeCell ref="C966:D966"/>
    <mergeCell ref="C967:D967"/>
    <mergeCell ref="C968:D968"/>
    <mergeCell ref="C957:D957"/>
    <mergeCell ref="C958:D958"/>
    <mergeCell ref="C959:D959"/>
    <mergeCell ref="C960:D960"/>
    <mergeCell ref="C961:D961"/>
    <mergeCell ref="C962:D962"/>
    <mergeCell ref="C990:D990"/>
    <mergeCell ref="A992:G992"/>
    <mergeCell ref="A994:H994"/>
    <mergeCell ref="A995:H995"/>
    <mergeCell ref="A996:H996"/>
    <mergeCell ref="A997:G997"/>
    <mergeCell ref="C984:D984"/>
    <mergeCell ref="C985:D985"/>
    <mergeCell ref="C986:D986"/>
    <mergeCell ref="C987:D987"/>
    <mergeCell ref="C988:D988"/>
    <mergeCell ref="C989:D989"/>
    <mergeCell ref="C978:D978"/>
    <mergeCell ref="C979:D979"/>
    <mergeCell ref="C980:D980"/>
    <mergeCell ref="C981:D981"/>
    <mergeCell ref="C982:D982"/>
    <mergeCell ref="C983:D983"/>
    <mergeCell ref="C1011:D1011"/>
    <mergeCell ref="A1013:G1013"/>
    <mergeCell ref="A1015:H1015"/>
    <mergeCell ref="A1016:H1016"/>
    <mergeCell ref="A1017:H1017"/>
    <mergeCell ref="A1018:G1018"/>
    <mergeCell ref="C1005:D1005"/>
    <mergeCell ref="C1006:D1006"/>
    <mergeCell ref="C1007:D1007"/>
    <mergeCell ref="C1008:D1008"/>
    <mergeCell ref="C1009:D1009"/>
    <mergeCell ref="C1010:D1010"/>
    <mergeCell ref="C999:D999"/>
    <mergeCell ref="C1000:D1000"/>
    <mergeCell ref="C1001:D1001"/>
    <mergeCell ref="C1002:D1002"/>
    <mergeCell ref="C1003:D1003"/>
    <mergeCell ref="C1004:D1004"/>
    <mergeCell ref="C1032:D1032"/>
    <mergeCell ref="A1034:G1034"/>
    <mergeCell ref="A1036:H1036"/>
    <mergeCell ref="A1037:H1037"/>
    <mergeCell ref="A1038:H1038"/>
    <mergeCell ref="A1039:G1039"/>
    <mergeCell ref="C1026:D1026"/>
    <mergeCell ref="C1027:D1027"/>
    <mergeCell ref="C1028:D1028"/>
    <mergeCell ref="C1029:D1029"/>
    <mergeCell ref="C1030:D1030"/>
    <mergeCell ref="C1031:D1031"/>
    <mergeCell ref="C1020:D1020"/>
    <mergeCell ref="C1021:D1021"/>
    <mergeCell ref="C1022:D1022"/>
    <mergeCell ref="C1023:D1023"/>
    <mergeCell ref="C1024:D1024"/>
    <mergeCell ref="C1025:D1025"/>
    <mergeCell ref="C1053:D1053"/>
    <mergeCell ref="A1055:G1055"/>
    <mergeCell ref="A1057:H1057"/>
    <mergeCell ref="A1058:H1058"/>
    <mergeCell ref="A1059:H1059"/>
    <mergeCell ref="A1060:G1060"/>
    <mergeCell ref="C1047:D1047"/>
    <mergeCell ref="C1048:D1048"/>
    <mergeCell ref="C1049:D1049"/>
    <mergeCell ref="C1050:D1050"/>
    <mergeCell ref="C1051:D1051"/>
    <mergeCell ref="C1052:D1052"/>
    <mergeCell ref="C1041:D1041"/>
    <mergeCell ref="C1042:D1042"/>
    <mergeCell ref="C1043:D1043"/>
    <mergeCell ref="C1044:D1044"/>
    <mergeCell ref="C1045:D1045"/>
    <mergeCell ref="C1046:D1046"/>
    <mergeCell ref="C1074:D1074"/>
    <mergeCell ref="A1076:G1076"/>
    <mergeCell ref="A1078:H1078"/>
    <mergeCell ref="A1079:H1079"/>
    <mergeCell ref="A1080:H1080"/>
    <mergeCell ref="A1081:G1081"/>
    <mergeCell ref="C1068:D1068"/>
    <mergeCell ref="C1069:D1069"/>
    <mergeCell ref="C1070:D1070"/>
    <mergeCell ref="C1071:D1071"/>
    <mergeCell ref="C1072:D1072"/>
    <mergeCell ref="C1073:D1073"/>
    <mergeCell ref="C1062:D1062"/>
    <mergeCell ref="C1063:D1063"/>
    <mergeCell ref="C1064:D1064"/>
    <mergeCell ref="C1065:D1065"/>
    <mergeCell ref="C1066:D1066"/>
    <mergeCell ref="C1067:D1067"/>
    <mergeCell ref="C1095:D1095"/>
    <mergeCell ref="A1097:G1097"/>
    <mergeCell ref="A1099:H1099"/>
    <mergeCell ref="A1100:H1100"/>
    <mergeCell ref="A1101:H1101"/>
    <mergeCell ref="A1102:G1102"/>
    <mergeCell ref="C1089:D1089"/>
    <mergeCell ref="C1090:D1090"/>
    <mergeCell ref="C1091:D1091"/>
    <mergeCell ref="C1092:D1092"/>
    <mergeCell ref="C1093:D1093"/>
    <mergeCell ref="C1094:D1094"/>
    <mergeCell ref="C1083:D1083"/>
    <mergeCell ref="C1084:D1084"/>
    <mergeCell ref="C1085:D1085"/>
    <mergeCell ref="C1086:D1086"/>
    <mergeCell ref="C1087:D1087"/>
    <mergeCell ref="C1088:D1088"/>
    <mergeCell ref="C1116:D1116"/>
    <mergeCell ref="A1118:G1118"/>
    <mergeCell ref="A1120:H1120"/>
    <mergeCell ref="A1121:H1121"/>
    <mergeCell ref="A1122:H1122"/>
    <mergeCell ref="A1123:G1123"/>
    <mergeCell ref="C1110:D1110"/>
    <mergeCell ref="C1111:D1111"/>
    <mergeCell ref="C1112:D1112"/>
    <mergeCell ref="C1113:D1113"/>
    <mergeCell ref="C1114:D1114"/>
    <mergeCell ref="C1115:D1115"/>
    <mergeCell ref="C1104:D1104"/>
    <mergeCell ref="C1105:D1105"/>
    <mergeCell ref="C1106:D1106"/>
    <mergeCell ref="C1107:D1107"/>
    <mergeCell ref="C1108:D1108"/>
    <mergeCell ref="C1109:D1109"/>
    <mergeCell ref="C1137:D1137"/>
    <mergeCell ref="A1139:G1139"/>
    <mergeCell ref="A1141:H1141"/>
    <mergeCell ref="A1142:H1142"/>
    <mergeCell ref="A1143:H1143"/>
    <mergeCell ref="A1144:G1144"/>
    <mergeCell ref="C1131:D1131"/>
    <mergeCell ref="C1132:D1132"/>
    <mergeCell ref="C1133:D1133"/>
    <mergeCell ref="C1134:D1134"/>
    <mergeCell ref="C1135:D1135"/>
    <mergeCell ref="C1136:D1136"/>
    <mergeCell ref="C1125:D1125"/>
    <mergeCell ref="C1126:D1126"/>
    <mergeCell ref="C1127:D1127"/>
    <mergeCell ref="C1128:D1128"/>
    <mergeCell ref="C1129:D1129"/>
    <mergeCell ref="C1130:D1130"/>
    <mergeCell ref="C1158:D1158"/>
    <mergeCell ref="A1160:G1160"/>
    <mergeCell ref="A1162:H1162"/>
    <mergeCell ref="A1163:H1163"/>
    <mergeCell ref="A1164:H1164"/>
    <mergeCell ref="A1165:G1165"/>
    <mergeCell ref="C1152:D1152"/>
    <mergeCell ref="C1153:D1153"/>
    <mergeCell ref="C1154:D1154"/>
    <mergeCell ref="C1155:D1155"/>
    <mergeCell ref="C1156:D1156"/>
    <mergeCell ref="C1157:D1157"/>
    <mergeCell ref="C1146:D1146"/>
    <mergeCell ref="C1147:D1147"/>
    <mergeCell ref="C1148:D1148"/>
    <mergeCell ref="C1149:D1149"/>
    <mergeCell ref="C1150:D1150"/>
    <mergeCell ref="C1151:D1151"/>
    <mergeCell ref="C1177:D1177"/>
    <mergeCell ref="C1178:D1178"/>
    <mergeCell ref="C1179:D1179"/>
    <mergeCell ref="C1180:D1180"/>
    <mergeCell ref="C1181:D1181"/>
    <mergeCell ref="C1182:D1182"/>
    <mergeCell ref="A1170:G1170"/>
    <mergeCell ref="A1171:G1171"/>
    <mergeCell ref="A1172:H1172"/>
    <mergeCell ref="A1173:H1173"/>
    <mergeCell ref="A1174:H1174"/>
    <mergeCell ref="A1175:G1175"/>
    <mergeCell ref="A1167:A1169"/>
    <mergeCell ref="B1167:B1169"/>
    <mergeCell ref="C1167:D1168"/>
    <mergeCell ref="G1167:G1169"/>
    <mergeCell ref="E1168:E1169"/>
    <mergeCell ref="F1168:F1169"/>
    <mergeCell ref="C1198:D1198"/>
    <mergeCell ref="C1199:D1199"/>
    <mergeCell ref="C1200:D1200"/>
    <mergeCell ref="C1201:D1201"/>
    <mergeCell ref="C1202:D1202"/>
    <mergeCell ref="C1203:D1203"/>
    <mergeCell ref="C1189:D1189"/>
    <mergeCell ref="A1191:G1191"/>
    <mergeCell ref="A1193:H1193"/>
    <mergeCell ref="A1194:H1194"/>
    <mergeCell ref="A1195:H1195"/>
    <mergeCell ref="A1196:G1196"/>
    <mergeCell ref="C1183:D1183"/>
    <mergeCell ref="C1184:D1184"/>
    <mergeCell ref="C1185:D1185"/>
    <mergeCell ref="C1186:D1186"/>
    <mergeCell ref="C1187:D1187"/>
    <mergeCell ref="C1188:D1188"/>
    <mergeCell ref="C1219:D1219"/>
    <mergeCell ref="C1220:D1220"/>
    <mergeCell ref="C1221:D1221"/>
    <mergeCell ref="C1222:D1222"/>
    <mergeCell ref="C1223:D1223"/>
    <mergeCell ref="C1224:D1224"/>
    <mergeCell ref="C1210:D1210"/>
    <mergeCell ref="A1212:G1212"/>
    <mergeCell ref="A1214:H1214"/>
    <mergeCell ref="A1215:H1215"/>
    <mergeCell ref="A1216:H1216"/>
    <mergeCell ref="A1217:G1217"/>
    <mergeCell ref="C1204:D1204"/>
    <mergeCell ref="C1205:D1205"/>
    <mergeCell ref="C1206:D1206"/>
    <mergeCell ref="C1207:D1207"/>
    <mergeCell ref="C1208:D1208"/>
    <mergeCell ref="C1209:D1209"/>
    <mergeCell ref="C1240:D1240"/>
    <mergeCell ref="C1241:D1241"/>
    <mergeCell ref="C1242:D1242"/>
    <mergeCell ref="C1243:D1243"/>
    <mergeCell ref="C1244:D1244"/>
    <mergeCell ref="C1245:D1245"/>
    <mergeCell ref="C1231:D1231"/>
    <mergeCell ref="A1233:G1233"/>
    <mergeCell ref="A1235:H1235"/>
    <mergeCell ref="A1236:H1236"/>
    <mergeCell ref="A1237:H1237"/>
    <mergeCell ref="A1238:G1238"/>
    <mergeCell ref="C1225:D1225"/>
    <mergeCell ref="C1226:D1226"/>
    <mergeCell ref="C1227:D1227"/>
    <mergeCell ref="C1228:D1228"/>
    <mergeCell ref="C1229:D1229"/>
    <mergeCell ref="C1230:D1230"/>
    <mergeCell ref="C1261:D1261"/>
    <mergeCell ref="C1262:D1262"/>
    <mergeCell ref="C1263:D1263"/>
    <mergeCell ref="C1264:D1264"/>
    <mergeCell ref="C1265:D1265"/>
    <mergeCell ref="C1266:D1266"/>
    <mergeCell ref="C1252:D1252"/>
    <mergeCell ref="A1254:G1254"/>
    <mergeCell ref="A1256:H1256"/>
    <mergeCell ref="A1257:H1257"/>
    <mergeCell ref="A1258:H1258"/>
    <mergeCell ref="A1259:G1259"/>
    <mergeCell ref="C1246:D1246"/>
    <mergeCell ref="C1247:D1247"/>
    <mergeCell ref="C1248:D1248"/>
    <mergeCell ref="C1249:D1249"/>
    <mergeCell ref="C1250:D1250"/>
    <mergeCell ref="C1251:D1251"/>
    <mergeCell ref="C1282:D1282"/>
    <mergeCell ref="C1283:D1283"/>
    <mergeCell ref="C1284:D1284"/>
    <mergeCell ref="C1285:D1285"/>
    <mergeCell ref="C1286:D1286"/>
    <mergeCell ref="C1287:D1287"/>
    <mergeCell ref="C1273:D1273"/>
    <mergeCell ref="A1275:G1275"/>
    <mergeCell ref="A1277:H1277"/>
    <mergeCell ref="A1278:H1278"/>
    <mergeCell ref="A1279:H1279"/>
    <mergeCell ref="A1280:G1280"/>
    <mergeCell ref="C1267:D1267"/>
    <mergeCell ref="C1268:D1268"/>
    <mergeCell ref="C1269:D1269"/>
    <mergeCell ref="C1270:D1270"/>
    <mergeCell ref="C1271:D1271"/>
    <mergeCell ref="C1272:D1272"/>
    <mergeCell ref="C1303:D1303"/>
    <mergeCell ref="C1304:D1304"/>
    <mergeCell ref="C1305:D1305"/>
    <mergeCell ref="C1306:D1306"/>
    <mergeCell ref="C1307:D1307"/>
    <mergeCell ref="C1308:D1308"/>
    <mergeCell ref="C1294:D1294"/>
    <mergeCell ref="A1296:G1296"/>
    <mergeCell ref="A1298:H1298"/>
    <mergeCell ref="A1299:H1299"/>
    <mergeCell ref="A1300:H1300"/>
    <mergeCell ref="A1301:G1301"/>
    <mergeCell ref="C1288:D1288"/>
    <mergeCell ref="C1289:D1289"/>
    <mergeCell ref="C1290:D1290"/>
    <mergeCell ref="C1291:D1291"/>
    <mergeCell ref="C1292:D1292"/>
    <mergeCell ref="C1293:D1293"/>
    <mergeCell ref="C1324:D1324"/>
    <mergeCell ref="C1325:D1325"/>
    <mergeCell ref="C1326:D1326"/>
    <mergeCell ref="C1327:D1327"/>
    <mergeCell ref="C1328:D1328"/>
    <mergeCell ref="C1329:D1329"/>
    <mergeCell ref="C1315:D1315"/>
    <mergeCell ref="A1317:G1317"/>
    <mergeCell ref="A1319:H1319"/>
    <mergeCell ref="A1320:H1320"/>
    <mergeCell ref="A1321:H1321"/>
    <mergeCell ref="A1322:G1322"/>
    <mergeCell ref="C1309:D1309"/>
    <mergeCell ref="C1310:D1310"/>
    <mergeCell ref="C1311:D1311"/>
    <mergeCell ref="C1312:D1312"/>
    <mergeCell ref="C1313:D1313"/>
    <mergeCell ref="C1314:D1314"/>
    <mergeCell ref="C1345:D1345"/>
    <mergeCell ref="C1346:D1346"/>
    <mergeCell ref="C1347:D1347"/>
    <mergeCell ref="C1348:D1348"/>
    <mergeCell ref="C1349:D1349"/>
    <mergeCell ref="C1350:D1350"/>
    <mergeCell ref="C1336:D1336"/>
    <mergeCell ref="A1338:G1338"/>
    <mergeCell ref="A1340:H1340"/>
    <mergeCell ref="A1341:H1341"/>
    <mergeCell ref="A1342:H1342"/>
    <mergeCell ref="A1343:G1343"/>
    <mergeCell ref="C1330:D1330"/>
    <mergeCell ref="C1331:D1331"/>
    <mergeCell ref="C1332:D1332"/>
    <mergeCell ref="C1333:D1333"/>
    <mergeCell ref="C1334:D1334"/>
    <mergeCell ref="C1335:D1335"/>
    <mergeCell ref="A1365:G1365"/>
    <mergeCell ref="C1367:D1367"/>
    <mergeCell ref="C1368:D1368"/>
    <mergeCell ref="C1369:D1369"/>
    <mergeCell ref="C1370:D1370"/>
    <mergeCell ref="C1371:D1371"/>
    <mergeCell ref="C1357:D1357"/>
    <mergeCell ref="C1358:D1358"/>
    <mergeCell ref="A1360:G1360"/>
    <mergeCell ref="A1362:H1362"/>
    <mergeCell ref="A1363:H1363"/>
    <mergeCell ref="A1364:H1364"/>
    <mergeCell ref="C1351:D1351"/>
    <mergeCell ref="C1352:D1352"/>
    <mergeCell ref="C1353:D1353"/>
    <mergeCell ref="C1354:D1354"/>
    <mergeCell ref="C1355:D1355"/>
    <mergeCell ref="C1356:D1356"/>
    <mergeCell ref="A1391:G1391"/>
    <mergeCell ref="A1392:G1392"/>
    <mergeCell ref="A1393:H1393"/>
    <mergeCell ref="A1386:G1386"/>
    <mergeCell ref="A1388:A1390"/>
    <mergeCell ref="B1388:B1390"/>
    <mergeCell ref="C1388:D1389"/>
    <mergeCell ref="G1388:G1390"/>
    <mergeCell ref="E1389:E1390"/>
    <mergeCell ref="F1389:F1390"/>
    <mergeCell ref="C1378:D1378"/>
    <mergeCell ref="C1379:D1379"/>
    <mergeCell ref="A1381:G1381"/>
    <mergeCell ref="A1383:H1383"/>
    <mergeCell ref="A1384:H1384"/>
    <mergeCell ref="A1385:H1385"/>
    <mergeCell ref="C1372:D1372"/>
    <mergeCell ref="C1373:D1373"/>
    <mergeCell ref="C1374:D1374"/>
    <mergeCell ref="C1375:D1375"/>
    <mergeCell ref="C1376:D1376"/>
    <mergeCell ref="C1377:D1377"/>
  </mergeCells>
  <hyperlinks>
    <hyperlink ref="A8" r:id="rId1" display="http://www.standardchartered.com/gh" xr:uid="{954871E3-BBFD-4F1D-8D89-27AECA640E43}"/>
    <hyperlink ref="A31" r:id="rId2" display="http://www.standardchartered.com/gh" xr:uid="{9ADD9F07-2B61-4333-A2C1-FEBC089C0D34}"/>
    <hyperlink ref="A53" r:id="rId3" display="http://www.standardchartered.com/gh" xr:uid="{302B0568-4384-41DD-8B80-B7418638ABC9}"/>
    <hyperlink ref="A74" r:id="rId4" display="http://www.standardchartered.com/gh" xr:uid="{896FB298-DF46-4D9D-8027-C12C4921A024}"/>
    <hyperlink ref="A95" r:id="rId5" display="http://www.standardchartered.com/gh" xr:uid="{A3F61158-3EC7-48A8-8516-95E7083A5F14}"/>
    <hyperlink ref="A117" r:id="rId6" display="http://www.standardchartered.com/gh" xr:uid="{685ECD94-F5E7-48C9-8455-EABD7AEBB033}"/>
    <hyperlink ref="A127" r:id="rId7" display="http://www.standardchartered.com/gh" xr:uid="{EDF434E6-87FB-43B0-9402-B6F3A2C9058E}"/>
    <hyperlink ref="A148" r:id="rId8" display="http://www.standardchartered.com/gh" xr:uid="{4A7B764D-7327-4E78-B558-1CF18366CE11}"/>
    <hyperlink ref="A169" r:id="rId9" display="http://www.standardchartered.com/gh" xr:uid="{2699B0D3-A559-410A-AED3-3562F8DA6E68}"/>
    <hyperlink ref="A192" r:id="rId10" display="http://www.standardchartered.com/gh" xr:uid="{79555472-9FD4-4776-B403-D6E747316745}"/>
    <hyperlink ref="A214" r:id="rId11" display="http://www.standardchartered.com/gh" xr:uid="{D6A31438-C2F0-43F7-93ED-87D34738C6B3}"/>
    <hyperlink ref="A241" r:id="rId12" display="http://www.standardchartered.com/gh" xr:uid="{7134AF08-7842-453A-B2D6-E73FC53BF1EE}"/>
    <hyperlink ref="A266" r:id="rId13" display="http://www.standardchartered.com/gh" xr:uid="{C1AD6F4C-4E92-4ECD-9185-BDD839256C01}"/>
    <hyperlink ref="A287" r:id="rId14" display="http://www.standardchartered.com/gh" xr:uid="{BA0836C6-C8F8-4CEE-8801-2C2F51AB3352}"/>
    <hyperlink ref="A297" r:id="rId15" display="http://www.standardchartered.com/gh" xr:uid="{5D8C4CA7-2DDF-448B-BF4A-10E7664CB656}"/>
    <hyperlink ref="A318" r:id="rId16" display="http://www.standardchartered.com/gh" xr:uid="{7A6A916D-EC4D-439E-AFF6-607A5BE50717}"/>
    <hyperlink ref="A339" r:id="rId17" display="http://www.standardchartered.com/gh" xr:uid="{33521E9A-4A9D-44B0-B412-592C99CBEBE2}"/>
    <hyperlink ref="A360" r:id="rId18" display="http://www.standardchartered.com/gh" xr:uid="{33142ECD-2606-445C-ADA1-0CEDA529994C}"/>
    <hyperlink ref="A381" r:id="rId19" display="http://www.standardchartered.com/gh" xr:uid="{AB1DE82D-5CFA-4999-98E3-8889D905722A}"/>
    <hyperlink ref="A402" r:id="rId20" display="http://www.standardchartered.com/gh" xr:uid="{65AE6302-6145-4F6D-9DC6-68FBCA6CF8EE}"/>
    <hyperlink ref="A423" r:id="rId21" display="http://www.standardchartered.com/gh" xr:uid="{ADE5265D-20C3-42C3-8907-B485D33E422C}"/>
    <hyperlink ref="A444" r:id="rId22" display="http://www.standardchartered.com/gh" xr:uid="{DDCCC7A7-E5EF-4E84-8FB1-15486BBEA40A}"/>
    <hyperlink ref="A465" r:id="rId23" display="http://www.standardchartered.com/gh" xr:uid="{8B072340-4E7B-4CDB-A7E3-C5D301B84872}"/>
    <hyperlink ref="A486" r:id="rId24" display="http://www.standardchartered.com/gh" xr:uid="{749E14AF-D7D7-4440-8A6A-C97B8C4FD489}"/>
    <hyperlink ref="A507" r:id="rId25" display="http://www.standardchartered.com/gh" xr:uid="{0D111156-3111-4B4B-A576-E80C37E00E96}"/>
    <hyperlink ref="A530" r:id="rId26" display="http://www.standardchartered.com/gh" xr:uid="{AD013F98-824F-4A06-AB6B-468C0E913ADD}"/>
    <hyperlink ref="A551" r:id="rId27" display="http://www.standardchartered.com/gh" xr:uid="{75845A90-9AC2-4FEE-9748-0AFCDA684972}"/>
    <hyperlink ref="A561" r:id="rId28" display="http://www.standardchartered.com/gh" xr:uid="{5EA7BF95-7A4D-42BB-BCAE-509A7538A74B}"/>
    <hyperlink ref="A582" r:id="rId29" display="http://www.standardchartered.com/gh" xr:uid="{561D4565-97D3-46A2-ABA2-934592A7708C}"/>
    <hyperlink ref="A603" r:id="rId30" display="http://www.standardchartered.com/gh" xr:uid="{0D841518-0B7B-47F0-8903-31338E0F2909}"/>
    <hyperlink ref="A626" r:id="rId31" display="http://www.standardchartered.com/gh" xr:uid="{23C48CBA-98FC-460A-898D-C832FE2BA3BA}"/>
    <hyperlink ref="A647" r:id="rId32" display="http://www.standardchartered.com/gh" xr:uid="{65C73351-0E4C-4F76-A282-6F12C59257F3}"/>
    <hyperlink ref="A657" r:id="rId33" display="http://www.standardchartered.com/gh" xr:uid="{924056EA-ADB0-4EB5-B9D1-5EBA786BAFFA}"/>
    <hyperlink ref="A678" r:id="rId34" display="http://www.standardchartered.com/gh" xr:uid="{0D2ADD30-7325-4088-8AB9-2949D80A3D68}"/>
    <hyperlink ref="A699" r:id="rId35" display="http://www.standardchartered.com/gh" xr:uid="{95357DFD-3ED2-49F3-9981-176B3138CB4C}"/>
    <hyperlink ref="A709" r:id="rId36" display="http://www.standardchartered.com/gh" xr:uid="{C8D1B7AB-9D1D-400C-ABE5-2E0B835C427E}"/>
    <hyperlink ref="A731" r:id="rId37" display="http://www.standardchartered.com/gh" xr:uid="{09CC05FE-49D2-4B4E-8135-1B153A18EC31}"/>
    <hyperlink ref="A741" r:id="rId38" display="http://www.standardchartered.com/gh" xr:uid="{2BF54A13-EA39-4694-A72C-F3202416F8F2}"/>
    <hyperlink ref="A762" r:id="rId39" display="http://www.standardchartered.com/gh" xr:uid="{BFE5F913-9668-40CC-BEE7-83DAC003A068}"/>
    <hyperlink ref="A783" r:id="rId40" display="http://www.standardchartered.com/gh" xr:uid="{47CA3998-4E88-460A-AD4B-6EF574579727}"/>
    <hyperlink ref="A793" r:id="rId41" display="http://www.standardchartered.com/gh" xr:uid="{700823A4-E724-4B93-B965-C3E09F29F509}"/>
    <hyperlink ref="A814" r:id="rId42" display="http://www.standardchartered.com/gh" xr:uid="{698795EF-5CD8-4262-906D-85CBA0BD5052}"/>
    <hyperlink ref="A835" r:id="rId43" display="http://www.standardchartered.com/gh" xr:uid="{002ED1A8-FAA0-4C71-9771-A2B534A978DD}"/>
    <hyperlink ref="A856" r:id="rId44" display="http://www.standardchartered.com/gh" xr:uid="{52AFDE2E-B533-442E-8A9E-7EC94F72B80D}"/>
    <hyperlink ref="A877" r:id="rId45" display="http://www.standardchartered.com/gh" xr:uid="{BE1EE1F6-4B68-49B3-A6B1-A6C620E44294}"/>
    <hyperlink ref="A898" r:id="rId46" display="http://www.standardchartered.com/gh" xr:uid="{3930FABF-3E42-44FF-9F27-D47691873EC6}"/>
    <hyperlink ref="A908" r:id="rId47" display="http://www.standardchartered.com/gh" xr:uid="{AB4A3FAB-B29F-4C4D-B700-1C6324D0B4EB}"/>
    <hyperlink ref="A929" r:id="rId48" display="http://www.standardchartered.com/gh" xr:uid="{F87DD5D4-47D6-4D32-BC42-93AA560CEB18}"/>
    <hyperlink ref="A950" r:id="rId49" display="http://www.standardchartered.com/gh" xr:uid="{E3EFCD8B-3659-4689-A5C1-895C41A1B840}"/>
    <hyperlink ref="A971" r:id="rId50" display="http://www.standardchartered.com/gh" xr:uid="{BC9004D4-0C40-4BAF-A33F-F4351FF23F86}"/>
    <hyperlink ref="A992" r:id="rId51" display="http://www.standardchartered.com/gh" xr:uid="{939E794C-D8BD-49A1-BBB6-A003AD06AC3B}"/>
    <hyperlink ref="A1013" r:id="rId52" display="http://www.standardchartered.com/gh" xr:uid="{4759E394-20A8-44C5-98FB-FAED1BE6D540}"/>
    <hyperlink ref="A1034" r:id="rId53" display="http://www.standardchartered.com/gh" xr:uid="{CB5DE44E-BC76-40F0-85A7-B3659FB8FC63}"/>
    <hyperlink ref="A1055" r:id="rId54" display="http://www.standardchartered.com/gh" xr:uid="{70C503BA-1332-4089-BB22-891E55489D04}"/>
    <hyperlink ref="A1076" r:id="rId55" display="http://www.standardchartered.com/gh" xr:uid="{5AF35A27-18D8-4311-861C-D09512990890}"/>
    <hyperlink ref="A1097" r:id="rId56" display="http://www.standardchartered.com/gh" xr:uid="{AE9F0748-632A-4F99-9994-CF19898B6499}"/>
    <hyperlink ref="A1118" r:id="rId57" display="http://www.standardchartered.com/gh" xr:uid="{32A89825-2476-4D4E-B332-9A5B87D9B43E}"/>
    <hyperlink ref="A1139" r:id="rId58" display="http://www.standardchartered.com/gh" xr:uid="{99C298EA-3703-4ABE-98D3-80B6686AD759}"/>
    <hyperlink ref="A1160" r:id="rId59" display="http://www.standardchartered.com/gh" xr:uid="{97D75AFC-E307-40CB-9415-8B19BC6F17C2}"/>
    <hyperlink ref="A1170" r:id="rId60" display="http://www.standardchartered.com/gh" xr:uid="{2EF198F2-3F3D-497A-953A-E7721141F1F1}"/>
    <hyperlink ref="A1191" r:id="rId61" display="http://www.standardchartered.com/gh" xr:uid="{0BBCBEC7-D886-4B91-A6F5-E37E48015C6B}"/>
    <hyperlink ref="A1212" r:id="rId62" display="http://www.standardchartered.com/gh" xr:uid="{D51E3C09-05C4-4E38-84AE-F4079F5E2713}"/>
    <hyperlink ref="A1233" r:id="rId63" display="http://www.standardchartered.com/gh" xr:uid="{3638D3C6-54E1-453D-BA35-27E5CB04D6B9}"/>
    <hyperlink ref="A1254" r:id="rId64" display="http://www.standardchartered.com/gh" xr:uid="{65C874BD-C0ED-4DE3-8860-32D6077A832D}"/>
    <hyperlink ref="A1275" r:id="rId65" display="http://www.standardchartered.com/gh" xr:uid="{B71B7CB5-7EC4-46E8-B32D-C9ACAE29397D}"/>
    <hyperlink ref="A1296" r:id="rId66" display="http://www.standardchartered.com/gh" xr:uid="{A65D5F94-A621-4CC1-8C8B-94EB4264B206}"/>
    <hyperlink ref="A1317" r:id="rId67" display="http://www.standardchartered.com/gh" xr:uid="{74E61798-0A33-49DB-B4ED-186434B1A2D0}"/>
    <hyperlink ref="A1338" r:id="rId68" display="http://www.standardchartered.com/gh" xr:uid="{5F8643A9-653C-4982-8FFB-69D10E20C5FD}"/>
    <hyperlink ref="A1360" r:id="rId69" display="http://www.standardchartered.com/gh" xr:uid="{C1408DCC-DB7D-41C8-8FD4-EDF2E2B56052}"/>
    <hyperlink ref="A1381" r:id="rId70" display="http://www.standardchartered.com/gh" xr:uid="{0F4D9514-98F6-4D78-9176-8F4C26AC30EB}"/>
    <hyperlink ref="A1391" r:id="rId71" display="http://www.standardchartered.com/gh" xr:uid="{8931CB24-7014-4C39-807C-6EE1727FA28A}"/>
  </hyperlinks>
  <pageMargins left="0.7" right="0.7" top="0.75" bottom="0.75" header="0.3" footer="0.3"/>
  <drawing r:id="rId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BF7F-14F5-4BB7-A7EA-3BB6A0A7293E}">
  <dimension ref="A4:J854"/>
  <sheetViews>
    <sheetView tabSelected="1" workbookViewId="0">
      <selection activeCell="A164" sqref="A164:XFD172"/>
    </sheetView>
  </sheetViews>
  <sheetFormatPr defaultColWidth="10.04296875" defaultRowHeight="14.75" x14ac:dyDescent="0.75"/>
  <cols>
    <col min="1" max="1" width="11.5" style="1" customWidth="1"/>
    <col min="2" max="2" width="11.6328125" style="1" customWidth="1"/>
    <col min="3" max="3" width="50.08984375" style="1" customWidth="1"/>
    <col min="4" max="6" width="10.04296875" style="1"/>
    <col min="7" max="7" width="12.453125" style="1" customWidth="1"/>
    <col min="8" max="8" width="10.04296875" style="1"/>
    <col min="9" max="9" width="16.31640625" style="1" customWidth="1"/>
    <col min="10" max="16384" width="10.04296875" style="1"/>
  </cols>
  <sheetData>
    <row r="4" spans="1:10" x14ac:dyDescent="0.75">
      <c r="A4" s="32" t="s">
        <v>743</v>
      </c>
      <c r="B4" s="32" t="s">
        <v>744</v>
      </c>
      <c r="C4" s="33" t="s">
        <v>745</v>
      </c>
      <c r="D4" s="33"/>
      <c r="E4" s="33" t="s">
        <v>746</v>
      </c>
      <c r="F4" s="33" t="s">
        <v>747</v>
      </c>
      <c r="G4" s="33" t="s">
        <v>748</v>
      </c>
      <c r="H4" s="33"/>
      <c r="I4" s="33" t="s">
        <v>749</v>
      </c>
      <c r="J4" s="33" t="s">
        <v>750</v>
      </c>
    </row>
    <row r="5" spans="1:10" x14ac:dyDescent="0.75">
      <c r="A5" s="1" t="s">
        <v>751</v>
      </c>
      <c r="B5" s="1" t="s">
        <v>752</v>
      </c>
      <c r="C5" s="1" t="s">
        <v>753</v>
      </c>
      <c r="E5" s="1" t="s">
        <v>754</v>
      </c>
      <c r="F5" s="30">
        <v>2702.04</v>
      </c>
      <c r="G5" s="30">
        <v>2702.04</v>
      </c>
      <c r="I5" s="30">
        <f>SUM($F$5:$F5)-SUM($E$5:$E5)</f>
        <v>2702.04</v>
      </c>
      <c r="J5" s="30">
        <f>I5-G5</f>
        <v>0</v>
      </c>
    </row>
    <row r="6" spans="1:10" x14ac:dyDescent="0.75">
      <c r="A6" s="1" t="s">
        <v>752</v>
      </c>
      <c r="B6" s="1" t="s">
        <v>752</v>
      </c>
      <c r="C6" s="1" t="s">
        <v>755</v>
      </c>
      <c r="E6" s="1" t="s">
        <v>754</v>
      </c>
      <c r="F6" s="30">
        <v>13454.33</v>
      </c>
      <c r="G6" s="30">
        <v>16156.37</v>
      </c>
      <c r="I6" s="30">
        <f>SUM($F$5:$F6)-SUM($E$5:$E6)</f>
        <v>16156.369999999999</v>
      </c>
      <c r="J6" s="30">
        <f t="shared" ref="J6:J69" si="0">I6-G6</f>
        <v>0</v>
      </c>
    </row>
    <row r="7" spans="1:10" x14ac:dyDescent="0.75">
      <c r="A7" s="1" t="s">
        <v>752</v>
      </c>
      <c r="B7" s="1" t="s">
        <v>752</v>
      </c>
      <c r="C7" s="1" t="s">
        <v>756</v>
      </c>
      <c r="E7" s="30">
        <v>2702.04</v>
      </c>
      <c r="F7" s="1" t="s">
        <v>754</v>
      </c>
      <c r="G7" s="30">
        <v>13454.33</v>
      </c>
      <c r="I7" s="30">
        <f>SUM($F$5:$F7)-SUM($E$5:$E7)</f>
        <v>13454.329999999998</v>
      </c>
      <c r="J7" s="30">
        <f t="shared" si="0"/>
        <v>0</v>
      </c>
    </row>
    <row r="8" spans="1:10" x14ac:dyDescent="0.75">
      <c r="A8" s="1" t="s">
        <v>752</v>
      </c>
      <c r="B8" s="1" t="s">
        <v>752</v>
      </c>
      <c r="C8" s="1" t="s">
        <v>757</v>
      </c>
      <c r="E8" s="30">
        <v>13454.33</v>
      </c>
      <c r="F8" s="1" t="s">
        <v>754</v>
      </c>
      <c r="G8" s="30">
        <v>0</v>
      </c>
      <c r="I8" s="30">
        <f>SUM($F$5:$F8)-SUM($E$5:$E8)</f>
        <v>0</v>
      </c>
      <c r="J8" s="30">
        <f t="shared" si="0"/>
        <v>0</v>
      </c>
    </row>
    <row r="9" spans="1:10" x14ac:dyDescent="0.75">
      <c r="A9" s="1" t="s">
        <v>752</v>
      </c>
      <c r="B9" s="1" t="s">
        <v>758</v>
      </c>
      <c r="C9" s="1" t="s">
        <v>759</v>
      </c>
      <c r="E9" s="30">
        <v>23487.55</v>
      </c>
      <c r="F9" s="1" t="s">
        <v>754</v>
      </c>
      <c r="G9" s="30">
        <v>-23487.55</v>
      </c>
      <c r="I9" s="30">
        <f>SUM($F$5:$F9)-SUM($E$5:$E9)</f>
        <v>-23487.55</v>
      </c>
      <c r="J9" s="30">
        <f t="shared" si="0"/>
        <v>0</v>
      </c>
    </row>
    <row r="10" spans="1:10" x14ac:dyDescent="0.75">
      <c r="A10" s="1" t="s">
        <v>758</v>
      </c>
      <c r="B10" s="1" t="s">
        <v>760</v>
      </c>
      <c r="C10" s="1" t="s">
        <v>761</v>
      </c>
      <c r="E10" s="1" t="s">
        <v>754</v>
      </c>
      <c r="F10" s="30">
        <v>100000</v>
      </c>
      <c r="G10" s="30">
        <v>76512.45</v>
      </c>
      <c r="I10" s="30">
        <f>SUM($F$5:$F10)-SUM($E$5:$E10)</f>
        <v>76512.45</v>
      </c>
      <c r="J10" s="30">
        <f t="shared" si="0"/>
        <v>0</v>
      </c>
    </row>
    <row r="11" spans="1:10" x14ac:dyDescent="0.75">
      <c r="A11" s="1" t="s">
        <v>760</v>
      </c>
      <c r="B11" s="1" t="s">
        <v>760</v>
      </c>
      <c r="C11" s="1" t="s">
        <v>762</v>
      </c>
      <c r="E11" s="1" t="s">
        <v>754</v>
      </c>
      <c r="F11" s="1">
        <v>645.04999999999995</v>
      </c>
      <c r="G11" s="30">
        <v>77157.5</v>
      </c>
      <c r="I11" s="30">
        <f>SUM($F$5:$F11)-SUM($E$5:$E11)</f>
        <v>77157.5</v>
      </c>
      <c r="J11" s="30">
        <f t="shared" si="0"/>
        <v>0</v>
      </c>
    </row>
    <row r="12" spans="1:10" x14ac:dyDescent="0.75">
      <c r="A12" s="1" t="s">
        <v>760</v>
      </c>
      <c r="B12" s="1" t="s">
        <v>760</v>
      </c>
      <c r="C12" s="1" t="s">
        <v>763</v>
      </c>
      <c r="E12" s="1">
        <v>645.04999999999995</v>
      </c>
      <c r="F12" s="1" t="s">
        <v>754</v>
      </c>
      <c r="G12" s="30">
        <v>76512.45</v>
      </c>
      <c r="I12" s="30">
        <f>SUM($F$5:$F12)-SUM($E$5:$E12)</f>
        <v>76512.45</v>
      </c>
      <c r="J12" s="30">
        <f t="shared" si="0"/>
        <v>0</v>
      </c>
    </row>
    <row r="13" spans="1:10" x14ac:dyDescent="0.75">
      <c r="A13" s="1" t="s">
        <v>760</v>
      </c>
      <c r="B13" s="1" t="s">
        <v>764</v>
      </c>
      <c r="C13" s="1" t="s">
        <v>765</v>
      </c>
      <c r="E13" s="30">
        <v>15598.92</v>
      </c>
      <c r="F13" s="1" t="s">
        <v>754</v>
      </c>
      <c r="G13" s="30">
        <v>60913.53</v>
      </c>
      <c r="I13" s="30">
        <f>SUM($F$5:$F13)-SUM($E$5:$E13)</f>
        <v>60913.53</v>
      </c>
      <c r="J13" s="30">
        <f t="shared" si="0"/>
        <v>0</v>
      </c>
    </row>
    <row r="14" spans="1:10" x14ac:dyDescent="0.75">
      <c r="A14" s="1" t="s">
        <v>764</v>
      </c>
      <c r="B14" s="1" t="s">
        <v>764</v>
      </c>
      <c r="C14" s="1" t="s">
        <v>766</v>
      </c>
      <c r="E14" s="1">
        <v>27.02</v>
      </c>
      <c r="F14" s="1" t="s">
        <v>754</v>
      </c>
      <c r="G14" s="30">
        <v>60886.51</v>
      </c>
      <c r="I14" s="30">
        <f>SUM($F$5:$F14)-SUM($E$5:$E14)</f>
        <v>60886.51</v>
      </c>
      <c r="J14" s="30">
        <f t="shared" si="0"/>
        <v>0</v>
      </c>
    </row>
    <row r="15" spans="1:10" x14ac:dyDescent="0.75">
      <c r="A15" s="1" t="s">
        <v>764</v>
      </c>
      <c r="C15" s="1" t="s">
        <v>767</v>
      </c>
      <c r="E15" s="1">
        <v>2702.04</v>
      </c>
      <c r="G15" s="1">
        <v>58184.47</v>
      </c>
      <c r="I15" s="30">
        <f>SUM($F$5:$F15)-SUM($E$5:$E15)</f>
        <v>58184.47</v>
      </c>
      <c r="J15" s="30">
        <f t="shared" si="0"/>
        <v>0</v>
      </c>
    </row>
    <row r="16" spans="1:10" x14ac:dyDescent="0.75">
      <c r="A16" s="31">
        <v>43558</v>
      </c>
      <c r="B16" s="31">
        <v>43558</v>
      </c>
      <c r="C16" s="1" t="s">
        <v>768</v>
      </c>
      <c r="E16" s="1">
        <v>13454.33</v>
      </c>
      <c r="F16" s="1" t="s">
        <v>754</v>
      </c>
      <c r="G16" s="1">
        <v>44730.14</v>
      </c>
      <c r="I16" s="30">
        <f>SUM($F$5:$F16)-SUM($E$5:$E16)</f>
        <v>44730.14</v>
      </c>
      <c r="J16" s="30">
        <f t="shared" si="0"/>
        <v>0</v>
      </c>
    </row>
    <row r="17" spans="1:10" x14ac:dyDescent="0.75">
      <c r="A17" s="31">
        <v>43558</v>
      </c>
      <c r="B17" s="31">
        <v>43558</v>
      </c>
      <c r="C17" s="1" t="s">
        <v>763</v>
      </c>
      <c r="E17" s="1">
        <v>645.04999999999995</v>
      </c>
      <c r="F17" s="1" t="s">
        <v>754</v>
      </c>
      <c r="G17" s="1">
        <v>44085.09</v>
      </c>
      <c r="I17" s="30">
        <f>SUM($F$5:$F17)-SUM($E$5:$E17)</f>
        <v>44085.09</v>
      </c>
      <c r="J17" s="30">
        <f t="shared" si="0"/>
        <v>0</v>
      </c>
    </row>
    <row r="18" spans="1:10" x14ac:dyDescent="0.75">
      <c r="A18" s="31">
        <v>43558</v>
      </c>
      <c r="B18" s="31">
        <v>43558</v>
      </c>
      <c r="C18" s="1" t="s">
        <v>769</v>
      </c>
      <c r="E18" s="1">
        <v>675.39</v>
      </c>
      <c r="F18" s="1" t="s">
        <v>754</v>
      </c>
      <c r="G18" s="1">
        <v>43409.7</v>
      </c>
      <c r="I18" s="30">
        <f>SUM($F$5:$F18)-SUM($E$5:$E18)</f>
        <v>43409.7</v>
      </c>
      <c r="J18" s="30">
        <f t="shared" si="0"/>
        <v>0</v>
      </c>
    </row>
    <row r="19" spans="1:10" x14ac:dyDescent="0.75">
      <c r="A19" s="31">
        <v>43680</v>
      </c>
      <c r="B19" s="31">
        <v>43680</v>
      </c>
      <c r="C19" s="1" t="s">
        <v>770</v>
      </c>
      <c r="E19" s="1">
        <v>8820</v>
      </c>
      <c r="F19" s="1" t="s">
        <v>754</v>
      </c>
      <c r="G19" s="1">
        <v>34589.699999999997</v>
      </c>
      <c r="I19" s="30">
        <f>SUM($F$5:$F19)-SUM($E$5:$E19)</f>
        <v>34589.699999999997</v>
      </c>
      <c r="J19" s="30">
        <f t="shared" si="0"/>
        <v>0</v>
      </c>
    </row>
    <row r="20" spans="1:10" x14ac:dyDescent="0.75">
      <c r="A20" s="31">
        <v>43772</v>
      </c>
      <c r="B20" s="31">
        <v>43772</v>
      </c>
      <c r="C20" s="1" t="s">
        <v>771</v>
      </c>
      <c r="E20" s="1">
        <v>1267.8499999999999</v>
      </c>
      <c r="F20" s="1" t="s">
        <v>754</v>
      </c>
      <c r="G20" s="1">
        <v>33321.85</v>
      </c>
      <c r="I20" s="30">
        <f>SUM($F$5:$F20)-SUM($E$5:$E20)</f>
        <v>33321.849999999991</v>
      </c>
      <c r="J20" s="30">
        <f t="shared" si="0"/>
        <v>0</v>
      </c>
    </row>
    <row r="21" spans="1:10" x14ac:dyDescent="0.75">
      <c r="A21" s="31">
        <v>43802</v>
      </c>
      <c r="B21" s="31">
        <v>43802</v>
      </c>
      <c r="C21" s="1" t="s">
        <v>772</v>
      </c>
      <c r="E21" s="1">
        <v>1962.15</v>
      </c>
      <c r="F21" s="1" t="s">
        <v>754</v>
      </c>
      <c r="G21" s="1">
        <v>31359.7</v>
      </c>
      <c r="I21" s="30">
        <f>SUM($F$5:$F21)-SUM($E$5:$E21)</f>
        <v>31359.699999999997</v>
      </c>
      <c r="J21" s="30">
        <f t="shared" si="0"/>
        <v>0</v>
      </c>
    </row>
    <row r="22" spans="1:10" x14ac:dyDescent="0.75">
      <c r="A22" s="31">
        <v>43802</v>
      </c>
      <c r="B22" s="31">
        <v>43802</v>
      </c>
      <c r="C22" s="1" t="s">
        <v>773</v>
      </c>
      <c r="F22" s="1">
        <v>278341.32</v>
      </c>
      <c r="G22" s="1">
        <v>309701.02</v>
      </c>
      <c r="I22" s="30">
        <f>SUM($F$5:$F22)-SUM($E$5:$E22)</f>
        <v>309701.02</v>
      </c>
      <c r="J22" s="30">
        <f t="shared" si="0"/>
        <v>0</v>
      </c>
    </row>
    <row r="23" spans="1:10" x14ac:dyDescent="0.75">
      <c r="A23" s="31" t="s">
        <v>774</v>
      </c>
      <c r="B23" s="31" t="s">
        <v>774</v>
      </c>
      <c r="C23" s="1" t="s">
        <v>775</v>
      </c>
      <c r="E23" s="1">
        <v>7974.56</v>
      </c>
      <c r="F23" s="1" t="s">
        <v>754</v>
      </c>
      <c r="G23" s="1">
        <v>301726.46000000002</v>
      </c>
      <c r="I23" s="30">
        <f>SUM($F$5:$F23)-SUM($E$5:$E23)</f>
        <v>301726.45999999996</v>
      </c>
      <c r="J23" s="30">
        <f t="shared" si="0"/>
        <v>0</v>
      </c>
    </row>
    <row r="24" spans="1:10" x14ac:dyDescent="0.75">
      <c r="A24" s="1" t="s">
        <v>774</v>
      </c>
      <c r="B24" s="1" t="s">
        <v>774</v>
      </c>
      <c r="C24" s="1" t="s">
        <v>776</v>
      </c>
      <c r="E24" s="1">
        <v>10445.780000000001</v>
      </c>
      <c r="F24" s="1" t="s">
        <v>754</v>
      </c>
      <c r="G24" s="1">
        <v>291280.68</v>
      </c>
      <c r="I24" s="30">
        <f>SUM($F$5:$F24)-SUM($E$5:$E24)</f>
        <v>291280.68</v>
      </c>
      <c r="J24" s="30">
        <f t="shared" si="0"/>
        <v>0</v>
      </c>
    </row>
    <row r="25" spans="1:10" x14ac:dyDescent="0.75">
      <c r="A25" s="1" t="s">
        <v>774</v>
      </c>
      <c r="B25" s="1" t="s">
        <v>774</v>
      </c>
      <c r="C25" s="1" t="s">
        <v>777</v>
      </c>
      <c r="E25" s="1">
        <v>19853.18</v>
      </c>
      <c r="F25" s="1" t="s">
        <v>754</v>
      </c>
      <c r="G25" s="1">
        <v>271427.5</v>
      </c>
      <c r="I25" s="30">
        <f>SUM($F$5:$F25)-SUM($E$5:$E25)</f>
        <v>271427.5</v>
      </c>
      <c r="J25" s="30">
        <f t="shared" si="0"/>
        <v>0</v>
      </c>
    </row>
    <row r="26" spans="1:10" x14ac:dyDescent="0.75">
      <c r="A26" s="1" t="s">
        <v>774</v>
      </c>
      <c r="B26" s="1" t="s">
        <v>774</v>
      </c>
      <c r="C26" s="1" t="s">
        <v>773</v>
      </c>
      <c r="E26" s="1" t="s">
        <v>754</v>
      </c>
      <c r="F26" s="1">
        <v>54137.98</v>
      </c>
      <c r="G26" s="1">
        <v>325565.48</v>
      </c>
      <c r="I26" s="30">
        <f>SUM($F$5:$F26)-SUM($E$5:$E26)</f>
        <v>325565.48</v>
      </c>
      <c r="J26" s="30">
        <f t="shared" si="0"/>
        <v>0</v>
      </c>
    </row>
    <row r="27" spans="1:10" x14ac:dyDescent="0.75">
      <c r="A27" s="1" t="s">
        <v>778</v>
      </c>
      <c r="B27" s="1" t="s">
        <v>778</v>
      </c>
      <c r="C27" s="1" t="s">
        <v>779</v>
      </c>
      <c r="E27" s="1">
        <v>739.23</v>
      </c>
      <c r="F27" s="1" t="s">
        <v>754</v>
      </c>
      <c r="G27" s="1">
        <v>324826.25</v>
      </c>
      <c r="I27" s="30">
        <f>SUM($F$5:$F27)-SUM($E$5:$E27)</f>
        <v>324826.25</v>
      </c>
      <c r="J27" s="30">
        <f t="shared" si="0"/>
        <v>0</v>
      </c>
    </row>
    <row r="28" spans="1:10" x14ac:dyDescent="0.75">
      <c r="A28" s="1" t="s">
        <v>778</v>
      </c>
      <c r="B28" s="1" t="s">
        <v>778</v>
      </c>
      <c r="C28" s="1" t="s">
        <v>780</v>
      </c>
      <c r="E28" s="1">
        <v>11667.86</v>
      </c>
      <c r="F28" s="1" t="s">
        <v>754</v>
      </c>
      <c r="G28" s="1">
        <v>313158.39</v>
      </c>
      <c r="I28" s="30">
        <f>SUM($F$5:$F28)-SUM($E$5:$E28)</f>
        <v>313158.39</v>
      </c>
      <c r="J28" s="30">
        <f t="shared" si="0"/>
        <v>0</v>
      </c>
    </row>
    <row r="29" spans="1:10" x14ac:dyDescent="0.75">
      <c r="A29" s="1" t="s">
        <v>778</v>
      </c>
      <c r="B29" s="1" t="s">
        <v>778</v>
      </c>
      <c r="C29" s="1" t="s">
        <v>781</v>
      </c>
      <c r="E29" s="1" t="s">
        <v>754</v>
      </c>
      <c r="F29" s="1">
        <v>500000</v>
      </c>
      <c r="G29" s="1">
        <v>813158.39</v>
      </c>
      <c r="I29" s="30">
        <f>SUM($F$5:$F29)-SUM($E$5:$E29)</f>
        <v>813158.39</v>
      </c>
      <c r="J29" s="30">
        <f t="shared" si="0"/>
        <v>0</v>
      </c>
    </row>
    <row r="30" spans="1:10" x14ac:dyDescent="0.75">
      <c r="A30" s="1" t="s">
        <v>782</v>
      </c>
      <c r="B30" s="1" t="s">
        <v>782</v>
      </c>
      <c r="C30" s="1" t="s">
        <v>773</v>
      </c>
      <c r="E30" s="1" t="s">
        <v>754</v>
      </c>
      <c r="F30" s="1">
        <v>2317.2800000000002</v>
      </c>
      <c r="G30" s="1">
        <v>815475.67</v>
      </c>
      <c r="I30" s="30">
        <f>SUM($F$5:$F30)-SUM($E$5:$E30)</f>
        <v>815475.67</v>
      </c>
      <c r="J30" s="30">
        <f t="shared" si="0"/>
        <v>0</v>
      </c>
    </row>
    <row r="31" spans="1:10" x14ac:dyDescent="0.75">
      <c r="A31" s="1" t="s">
        <v>782</v>
      </c>
      <c r="B31" s="1" t="s">
        <v>782</v>
      </c>
      <c r="C31" s="1" t="s">
        <v>783</v>
      </c>
      <c r="E31" s="1">
        <v>2087.85</v>
      </c>
      <c r="F31" s="1" t="s">
        <v>754</v>
      </c>
      <c r="G31" s="1">
        <v>813387.82</v>
      </c>
      <c r="I31" s="30">
        <f>SUM($F$5:$F31)-SUM($E$5:$E31)</f>
        <v>813387.82000000007</v>
      </c>
      <c r="J31" s="30">
        <f t="shared" si="0"/>
        <v>0</v>
      </c>
    </row>
    <row r="32" spans="1:10" x14ac:dyDescent="0.75">
      <c r="A32" s="1" t="s">
        <v>782</v>
      </c>
      <c r="B32" s="1" t="s">
        <v>782</v>
      </c>
      <c r="C32" s="1" t="s">
        <v>784</v>
      </c>
      <c r="E32" s="1">
        <v>8753.7199999999993</v>
      </c>
      <c r="F32" s="1" t="s">
        <v>754</v>
      </c>
      <c r="G32" s="1">
        <v>804634.1</v>
      </c>
      <c r="I32" s="30">
        <f>SUM($F$5:$F32)-SUM($E$5:$E32)</f>
        <v>804634.1</v>
      </c>
      <c r="J32" s="30">
        <f t="shared" si="0"/>
        <v>0</v>
      </c>
    </row>
    <row r="33" spans="1:10" x14ac:dyDescent="0.75">
      <c r="A33" s="1" t="s">
        <v>782</v>
      </c>
      <c r="B33" s="1" t="s">
        <v>782</v>
      </c>
      <c r="C33" s="1" t="s">
        <v>785</v>
      </c>
      <c r="E33" s="1">
        <v>12646.22</v>
      </c>
      <c r="F33" s="1" t="s">
        <v>754</v>
      </c>
      <c r="G33" s="1">
        <v>791987.88</v>
      </c>
      <c r="I33" s="30">
        <f>SUM($F$5:$F33)-SUM($E$5:$E33)</f>
        <v>791987.88</v>
      </c>
      <c r="J33" s="30">
        <f t="shared" si="0"/>
        <v>0</v>
      </c>
    </row>
    <row r="34" spans="1:10" x14ac:dyDescent="0.75">
      <c r="A34" s="1" t="s">
        <v>786</v>
      </c>
      <c r="B34" s="1" t="s">
        <v>786</v>
      </c>
      <c r="C34" s="1" t="s">
        <v>787</v>
      </c>
      <c r="E34" s="1">
        <v>31493.67</v>
      </c>
      <c r="F34" s="1" t="s">
        <v>754</v>
      </c>
      <c r="G34" s="1">
        <v>760494.21</v>
      </c>
      <c r="I34" s="30">
        <f>SUM($F$5:$F34)-SUM($E$5:$E34)</f>
        <v>760494.21</v>
      </c>
      <c r="J34" s="30">
        <f t="shared" si="0"/>
        <v>0</v>
      </c>
    </row>
    <row r="35" spans="1:10" x14ac:dyDescent="0.75">
      <c r="A35" s="1" t="s">
        <v>786</v>
      </c>
      <c r="B35" s="1" t="s">
        <v>786</v>
      </c>
      <c r="C35" s="1" t="s">
        <v>773</v>
      </c>
      <c r="E35" s="1" t="s">
        <v>754</v>
      </c>
      <c r="F35" s="1">
        <v>19652.2</v>
      </c>
      <c r="G35" s="1">
        <v>780146.41</v>
      </c>
      <c r="I35" s="30">
        <f>SUM($F$5:$F35)-SUM($E$5:$E35)</f>
        <v>780146.40999999992</v>
      </c>
      <c r="J35" s="30">
        <f t="shared" si="0"/>
        <v>0</v>
      </c>
    </row>
    <row r="36" spans="1:10" x14ac:dyDescent="0.75">
      <c r="A36" s="1" t="s">
        <v>788</v>
      </c>
      <c r="B36" s="1" t="s">
        <v>788</v>
      </c>
      <c r="C36" s="1" t="s">
        <v>789</v>
      </c>
      <c r="E36" s="1">
        <v>1264.3900000000001</v>
      </c>
      <c r="F36" s="1" t="s">
        <v>754</v>
      </c>
      <c r="G36" s="1">
        <v>778882.02</v>
      </c>
      <c r="I36" s="30">
        <f>SUM($F$5:$F36)-SUM($E$5:$E36)</f>
        <v>778882.02</v>
      </c>
      <c r="J36" s="30">
        <f t="shared" si="0"/>
        <v>0</v>
      </c>
    </row>
    <row r="37" spans="1:10" x14ac:dyDescent="0.75">
      <c r="A37" s="1" t="s">
        <v>788</v>
      </c>
      <c r="B37" s="1" t="s">
        <v>788</v>
      </c>
      <c r="C37" s="1" t="s">
        <v>790</v>
      </c>
      <c r="E37" s="1">
        <v>3616.2</v>
      </c>
      <c r="F37" s="1" t="s">
        <v>754</v>
      </c>
      <c r="G37" s="1">
        <v>775265.82</v>
      </c>
      <c r="I37" s="30">
        <f>SUM($F$5:$F37)-SUM($E$5:$E37)</f>
        <v>775265.82</v>
      </c>
      <c r="J37" s="30">
        <f t="shared" si="0"/>
        <v>0</v>
      </c>
    </row>
    <row r="38" spans="1:10" x14ac:dyDescent="0.75">
      <c r="A38" s="1" t="s">
        <v>788</v>
      </c>
      <c r="B38" s="1" t="s">
        <v>788</v>
      </c>
      <c r="C38" s="1" t="s">
        <v>791</v>
      </c>
      <c r="E38" s="1">
        <v>3616.2</v>
      </c>
      <c r="F38" s="1" t="s">
        <v>754</v>
      </c>
      <c r="G38" s="1">
        <v>771649.62</v>
      </c>
      <c r="I38" s="30">
        <f>SUM($F$5:$F38)-SUM($E$5:$E38)</f>
        <v>771649.61999999988</v>
      </c>
      <c r="J38" s="30">
        <f t="shared" si="0"/>
        <v>0</v>
      </c>
    </row>
    <row r="39" spans="1:10" x14ac:dyDescent="0.75">
      <c r="A39" s="1" t="s">
        <v>788</v>
      </c>
      <c r="B39" s="1" t="s">
        <v>788</v>
      </c>
      <c r="C39" s="1" t="s">
        <v>792</v>
      </c>
      <c r="E39" s="1">
        <v>20689.61</v>
      </c>
      <c r="F39" s="1" t="s">
        <v>754</v>
      </c>
      <c r="G39" s="1">
        <v>750960.01</v>
      </c>
      <c r="I39" s="30">
        <f>SUM($F$5:$F39)-SUM($E$5:$E39)</f>
        <v>750960.01</v>
      </c>
      <c r="J39" s="30">
        <f t="shared" si="0"/>
        <v>0</v>
      </c>
    </row>
    <row r="40" spans="1:10" x14ac:dyDescent="0.75">
      <c r="A40" s="1" t="s">
        <v>788</v>
      </c>
      <c r="B40" s="1" t="s">
        <v>788</v>
      </c>
      <c r="C40" s="1" t="s">
        <v>793</v>
      </c>
      <c r="E40" s="1">
        <v>23935.72</v>
      </c>
      <c r="F40" s="1" t="s">
        <v>754</v>
      </c>
      <c r="G40" s="1">
        <v>727024.29</v>
      </c>
      <c r="I40" s="30">
        <f>SUM($F$5:$F40)-SUM($E$5:$E40)</f>
        <v>727024.28999999992</v>
      </c>
      <c r="J40" s="30">
        <f t="shared" si="0"/>
        <v>0</v>
      </c>
    </row>
    <row r="41" spans="1:10" x14ac:dyDescent="0.75">
      <c r="A41" s="1" t="s">
        <v>788</v>
      </c>
      <c r="B41" s="1" t="s">
        <v>788</v>
      </c>
      <c r="C41" s="1" t="s">
        <v>794</v>
      </c>
      <c r="E41" s="1">
        <v>28173.55</v>
      </c>
      <c r="F41" s="1" t="s">
        <v>754</v>
      </c>
      <c r="G41" s="1">
        <v>698850.74</v>
      </c>
      <c r="I41" s="30">
        <f>SUM($F$5:$F41)-SUM($E$5:$E41)</f>
        <v>698850.74</v>
      </c>
      <c r="J41" s="30">
        <f t="shared" si="0"/>
        <v>0</v>
      </c>
    </row>
    <row r="42" spans="1:10" x14ac:dyDescent="0.75">
      <c r="A42" s="1" t="s">
        <v>788</v>
      </c>
      <c r="B42" s="1" t="s">
        <v>788</v>
      </c>
      <c r="C42" s="1" t="s">
        <v>795</v>
      </c>
      <c r="E42" s="1">
        <v>56617.45</v>
      </c>
      <c r="F42" s="1" t="s">
        <v>754</v>
      </c>
      <c r="G42" s="1">
        <v>642233.29</v>
      </c>
      <c r="I42" s="30">
        <f>SUM($F$5:$F42)-SUM($E$5:$E42)</f>
        <v>642233.28999999992</v>
      </c>
      <c r="J42" s="30">
        <f t="shared" si="0"/>
        <v>0</v>
      </c>
    </row>
    <row r="43" spans="1:10" x14ac:dyDescent="0.75">
      <c r="A43" s="1" t="s">
        <v>788</v>
      </c>
      <c r="B43" s="1" t="s">
        <v>788</v>
      </c>
      <c r="C43" s="1" t="s">
        <v>773</v>
      </c>
      <c r="E43" s="1" t="s">
        <v>754</v>
      </c>
      <c r="F43" s="1">
        <v>41376.83</v>
      </c>
      <c r="G43" s="1">
        <v>683610.12</v>
      </c>
      <c r="I43" s="30">
        <f>SUM($F$5:$F43)-SUM($E$5:$E43)</f>
        <v>683610.11999999988</v>
      </c>
      <c r="J43" s="30">
        <f t="shared" si="0"/>
        <v>0</v>
      </c>
    </row>
    <row r="44" spans="1:10" x14ac:dyDescent="0.75">
      <c r="A44" s="1" t="s">
        <v>796</v>
      </c>
      <c r="B44" s="1" t="s">
        <v>796</v>
      </c>
      <c r="C44" s="1" t="s">
        <v>797</v>
      </c>
      <c r="E44" s="1">
        <v>525.47</v>
      </c>
      <c r="F44" s="1" t="s">
        <v>754</v>
      </c>
      <c r="G44" s="1">
        <v>683084.65</v>
      </c>
      <c r="I44" s="30">
        <f>SUM($F$5:$F44)-SUM($E$5:$E44)</f>
        <v>683084.64999999991</v>
      </c>
      <c r="J44" s="30">
        <f t="shared" si="0"/>
        <v>0</v>
      </c>
    </row>
    <row r="45" spans="1:10" x14ac:dyDescent="0.75">
      <c r="A45" s="1" t="s">
        <v>796</v>
      </c>
      <c r="B45" s="1" t="s">
        <v>796</v>
      </c>
      <c r="C45" s="1" t="s">
        <v>798</v>
      </c>
      <c r="E45" s="1">
        <v>954.48</v>
      </c>
      <c r="F45" s="1" t="s">
        <v>754</v>
      </c>
      <c r="G45" s="1">
        <v>682130.17</v>
      </c>
      <c r="I45" s="30">
        <f>SUM($F$5:$F45)-SUM($E$5:$E45)</f>
        <v>682130.16999999993</v>
      </c>
      <c r="J45" s="30">
        <f t="shared" si="0"/>
        <v>0</v>
      </c>
    </row>
    <row r="46" spans="1:10" x14ac:dyDescent="0.75">
      <c r="A46" s="1" t="s">
        <v>796</v>
      </c>
      <c r="B46" s="1" t="s">
        <v>796</v>
      </c>
      <c r="C46" s="1" t="s">
        <v>799</v>
      </c>
      <c r="E46" s="1">
        <v>2910</v>
      </c>
      <c r="F46" s="1" t="s">
        <v>754</v>
      </c>
      <c r="G46" s="1">
        <v>679220.17</v>
      </c>
      <c r="I46" s="30">
        <f>SUM($F$5:$F46)-SUM($E$5:$E46)</f>
        <v>679220.16999999993</v>
      </c>
      <c r="J46" s="30">
        <f t="shared" si="0"/>
        <v>0</v>
      </c>
    </row>
    <row r="47" spans="1:10" x14ac:dyDescent="0.75">
      <c r="A47" s="1" t="s">
        <v>796</v>
      </c>
      <c r="B47" s="1" t="s">
        <v>796</v>
      </c>
      <c r="C47" s="1" t="s">
        <v>800</v>
      </c>
      <c r="E47" s="1">
        <v>3195.3</v>
      </c>
      <c r="F47" s="1" t="s">
        <v>754</v>
      </c>
      <c r="G47" s="1">
        <v>676024.87</v>
      </c>
      <c r="I47" s="30">
        <f>SUM($F$5:$F47)-SUM($E$5:$E47)</f>
        <v>676024.86999999988</v>
      </c>
      <c r="J47" s="30">
        <f t="shared" si="0"/>
        <v>0</v>
      </c>
    </row>
    <row r="48" spans="1:10" x14ac:dyDescent="0.75">
      <c r="A48" s="1" t="s">
        <v>796</v>
      </c>
      <c r="B48" s="1" t="s">
        <v>796</v>
      </c>
      <c r="C48" s="1" t="s">
        <v>801</v>
      </c>
      <c r="E48" s="1">
        <v>13382.27</v>
      </c>
      <c r="F48" s="1" t="s">
        <v>754</v>
      </c>
      <c r="G48" s="1">
        <v>662642.6</v>
      </c>
      <c r="I48" s="30">
        <f>SUM($F$5:$F48)-SUM($E$5:$E48)</f>
        <v>662642.59999999986</v>
      </c>
      <c r="J48" s="30">
        <f t="shared" si="0"/>
        <v>0</v>
      </c>
    </row>
    <row r="49" spans="1:10" x14ac:dyDescent="0.75">
      <c r="A49" s="1" t="s">
        <v>796</v>
      </c>
      <c r="B49" s="1" t="s">
        <v>796</v>
      </c>
      <c r="C49" s="1" t="s">
        <v>802</v>
      </c>
      <c r="E49" s="1">
        <v>15592.5</v>
      </c>
      <c r="F49" s="1" t="s">
        <v>754</v>
      </c>
      <c r="G49" s="1">
        <v>647050.1</v>
      </c>
      <c r="I49" s="30">
        <f>SUM($F$5:$F49)-SUM($E$5:$E49)</f>
        <v>647050.09999999986</v>
      </c>
      <c r="J49" s="30">
        <f t="shared" si="0"/>
        <v>0</v>
      </c>
    </row>
    <row r="50" spans="1:10" x14ac:dyDescent="0.75">
      <c r="A50" s="1" t="s">
        <v>796</v>
      </c>
      <c r="B50" s="1" t="s">
        <v>796</v>
      </c>
      <c r="C50" s="1" t="s">
        <v>773</v>
      </c>
      <c r="E50" s="1" t="s">
        <v>754</v>
      </c>
      <c r="F50" s="1">
        <v>91757.51</v>
      </c>
      <c r="G50" s="1">
        <v>738807.61</v>
      </c>
      <c r="I50" s="30">
        <f>SUM($F$5:$F50)-SUM($E$5:$E50)</f>
        <v>738807.60999999987</v>
      </c>
      <c r="J50" s="30">
        <f t="shared" si="0"/>
        <v>0</v>
      </c>
    </row>
    <row r="51" spans="1:10" x14ac:dyDescent="0.75">
      <c r="A51" s="1" t="s">
        <v>803</v>
      </c>
      <c r="B51" s="1" t="s">
        <v>803</v>
      </c>
      <c r="C51" s="1" t="s">
        <v>804</v>
      </c>
      <c r="E51" s="1">
        <v>295.31</v>
      </c>
      <c r="F51" s="1" t="s">
        <v>754</v>
      </c>
      <c r="G51" s="1">
        <v>738512.3</v>
      </c>
      <c r="I51" s="30">
        <f>SUM($F$5:$F51)-SUM($E$5:$E51)</f>
        <v>738512.29999999981</v>
      </c>
      <c r="J51" s="30">
        <f t="shared" si="0"/>
        <v>0</v>
      </c>
    </row>
    <row r="52" spans="1:10" x14ac:dyDescent="0.75">
      <c r="A52" s="1" t="s">
        <v>803</v>
      </c>
      <c r="B52" s="1" t="s">
        <v>803</v>
      </c>
      <c r="C52" s="1" t="s">
        <v>805</v>
      </c>
      <c r="E52" s="1">
        <v>4195.57</v>
      </c>
      <c r="F52" s="1" t="s">
        <v>754</v>
      </c>
      <c r="G52" s="1">
        <v>734316.73</v>
      </c>
      <c r="I52" s="30">
        <f>SUM($F$5:$F52)-SUM($E$5:$E52)</f>
        <v>734316.72999999975</v>
      </c>
      <c r="J52" s="30">
        <f t="shared" si="0"/>
        <v>0</v>
      </c>
    </row>
    <row r="53" spans="1:10" x14ac:dyDescent="0.75">
      <c r="A53" s="1" t="s">
        <v>803</v>
      </c>
      <c r="B53" s="1" t="s">
        <v>803</v>
      </c>
      <c r="C53" s="1" t="s">
        <v>806</v>
      </c>
      <c r="E53" s="1">
        <v>6671.69</v>
      </c>
      <c r="F53" s="1" t="s">
        <v>754</v>
      </c>
      <c r="G53" s="1">
        <v>727645.04</v>
      </c>
      <c r="I53" s="30">
        <f>SUM($F$5:$F53)-SUM($E$5:$E53)</f>
        <v>727645.0399999998</v>
      </c>
      <c r="J53" s="30">
        <f t="shared" si="0"/>
        <v>0</v>
      </c>
    </row>
    <row r="54" spans="1:10" x14ac:dyDescent="0.75">
      <c r="A54" s="1" t="s">
        <v>803</v>
      </c>
      <c r="B54" s="1" t="s">
        <v>803</v>
      </c>
      <c r="C54" s="1" t="s">
        <v>807</v>
      </c>
      <c r="E54" s="1">
        <v>18004.150000000001</v>
      </c>
      <c r="F54" s="1" t="s">
        <v>754</v>
      </c>
      <c r="G54" s="1">
        <v>709640.89</v>
      </c>
      <c r="I54" s="30">
        <f>SUM($F$5:$F54)-SUM($E$5:$E54)</f>
        <v>709640.88999999978</v>
      </c>
      <c r="J54" s="30">
        <f t="shared" si="0"/>
        <v>0</v>
      </c>
    </row>
    <row r="55" spans="1:10" x14ac:dyDescent="0.75">
      <c r="A55" s="1" t="s">
        <v>803</v>
      </c>
      <c r="B55" s="1" t="s">
        <v>803</v>
      </c>
      <c r="C55" s="1" t="s">
        <v>773</v>
      </c>
      <c r="E55" s="1" t="s">
        <v>754</v>
      </c>
      <c r="F55" s="1">
        <v>20910.099999999999</v>
      </c>
      <c r="G55" s="1">
        <v>730550.99</v>
      </c>
      <c r="I55" s="30">
        <f>SUM($F$5:$F55)-SUM($E$5:$E55)</f>
        <v>730550.98999999987</v>
      </c>
      <c r="J55" s="30">
        <f t="shared" si="0"/>
        <v>0</v>
      </c>
    </row>
    <row r="56" spans="1:10" x14ac:dyDescent="0.75">
      <c r="A56" s="1" t="s">
        <v>808</v>
      </c>
      <c r="B56" s="1" t="s">
        <v>808</v>
      </c>
      <c r="C56" s="1" t="s">
        <v>809</v>
      </c>
      <c r="E56" s="1">
        <v>2425.5</v>
      </c>
      <c r="F56" s="1" t="s">
        <v>754</v>
      </c>
      <c r="G56" s="1">
        <v>728125.49</v>
      </c>
      <c r="I56" s="30">
        <f>SUM($F$5:$F56)-SUM($E$5:$E56)</f>
        <v>728125.48999999987</v>
      </c>
      <c r="J56" s="30">
        <f t="shared" si="0"/>
        <v>0</v>
      </c>
    </row>
    <row r="57" spans="1:10" x14ac:dyDescent="0.75">
      <c r="A57" s="1" t="s">
        <v>808</v>
      </c>
      <c r="B57" s="1" t="s">
        <v>808</v>
      </c>
      <c r="C57" s="1" t="s">
        <v>773</v>
      </c>
      <c r="E57" s="1" t="s">
        <v>754</v>
      </c>
      <c r="F57" s="1">
        <v>19110.41</v>
      </c>
      <c r="G57" s="1">
        <v>747235.9</v>
      </c>
      <c r="I57" s="30">
        <f>SUM($F$5:$F57)-SUM($E$5:$E57)</f>
        <v>747235.89999999979</v>
      </c>
      <c r="J57" s="30">
        <f t="shared" si="0"/>
        <v>0</v>
      </c>
    </row>
    <row r="58" spans="1:10" x14ac:dyDescent="0.75">
      <c r="A58" s="1" t="s">
        <v>810</v>
      </c>
      <c r="B58" s="1" t="s">
        <v>810</v>
      </c>
      <c r="C58" s="1" t="s">
        <v>811</v>
      </c>
      <c r="E58" s="1">
        <v>1167.0899999999999</v>
      </c>
      <c r="F58" s="1" t="s">
        <v>754</v>
      </c>
      <c r="G58" s="1">
        <v>746068.81</v>
      </c>
      <c r="I58" s="30">
        <f>SUM($F$5:$F58)-SUM($E$5:$E58)</f>
        <v>746068.80999999982</v>
      </c>
      <c r="J58" s="30">
        <f t="shared" si="0"/>
        <v>0</v>
      </c>
    </row>
    <row r="59" spans="1:10" x14ac:dyDescent="0.75">
      <c r="A59" s="1" t="s">
        <v>810</v>
      </c>
      <c r="B59" s="1" t="s">
        <v>810</v>
      </c>
      <c r="C59" s="1" t="s">
        <v>812</v>
      </c>
      <c r="E59" s="1">
        <v>1914.8</v>
      </c>
      <c r="F59" s="1" t="s">
        <v>754</v>
      </c>
      <c r="G59" s="1">
        <v>744154.01</v>
      </c>
      <c r="I59" s="30">
        <f>SUM($F$5:$F59)-SUM($E$5:$E59)</f>
        <v>744154.00999999978</v>
      </c>
      <c r="J59" s="30">
        <f t="shared" si="0"/>
        <v>0</v>
      </c>
    </row>
    <row r="60" spans="1:10" x14ac:dyDescent="0.75">
      <c r="A60" s="1" t="s">
        <v>810</v>
      </c>
      <c r="B60" s="1" t="s">
        <v>810</v>
      </c>
      <c r="C60" s="1" t="s">
        <v>813</v>
      </c>
      <c r="E60" s="1">
        <v>2153.4</v>
      </c>
      <c r="F60" s="1" t="s">
        <v>754</v>
      </c>
      <c r="G60" s="1">
        <v>742000.61</v>
      </c>
      <c r="I60" s="30">
        <f>SUM($F$5:$F60)-SUM($E$5:$E60)</f>
        <v>742000.60999999975</v>
      </c>
      <c r="J60" s="30">
        <f t="shared" si="0"/>
        <v>0</v>
      </c>
    </row>
    <row r="61" spans="1:10" x14ac:dyDescent="0.75">
      <c r="A61" s="1" t="s">
        <v>810</v>
      </c>
      <c r="B61" s="1" t="s">
        <v>810</v>
      </c>
      <c r="C61" s="1" t="s">
        <v>814</v>
      </c>
      <c r="E61" s="1">
        <v>3104.44</v>
      </c>
      <c r="F61" s="1" t="s">
        <v>754</v>
      </c>
      <c r="G61" s="1">
        <v>738896.17</v>
      </c>
      <c r="I61" s="30">
        <f>SUM($F$5:$F61)-SUM($E$5:$E61)</f>
        <v>738896.16999999969</v>
      </c>
      <c r="J61" s="30">
        <f t="shared" si="0"/>
        <v>0</v>
      </c>
    </row>
    <row r="62" spans="1:10" x14ac:dyDescent="0.75">
      <c r="A62" s="1" t="s">
        <v>810</v>
      </c>
      <c r="B62" s="1" t="s">
        <v>810</v>
      </c>
      <c r="C62" s="1" t="s">
        <v>815</v>
      </c>
      <c r="E62" s="1">
        <v>3638.84</v>
      </c>
      <c r="F62" s="1" t="s">
        <v>754</v>
      </c>
      <c r="G62" s="1">
        <v>735257.33</v>
      </c>
      <c r="I62" s="30">
        <f>SUM($F$5:$F62)-SUM($E$5:$E62)</f>
        <v>735257.32999999973</v>
      </c>
      <c r="J62" s="30">
        <f t="shared" si="0"/>
        <v>0</v>
      </c>
    </row>
    <row r="63" spans="1:10" x14ac:dyDescent="0.75">
      <c r="A63" s="1" t="s">
        <v>810</v>
      </c>
      <c r="B63" s="1" t="s">
        <v>810</v>
      </c>
      <c r="C63" s="1" t="s">
        <v>816</v>
      </c>
      <c r="E63" s="1">
        <v>4892.95</v>
      </c>
      <c r="F63" s="1" t="s">
        <v>754</v>
      </c>
      <c r="G63" s="1">
        <v>730364.38</v>
      </c>
      <c r="I63" s="30">
        <f>SUM($F$5:$F63)-SUM($E$5:$E63)</f>
        <v>730364.37999999966</v>
      </c>
      <c r="J63" s="30">
        <f t="shared" si="0"/>
        <v>0</v>
      </c>
    </row>
    <row r="64" spans="1:10" x14ac:dyDescent="0.75">
      <c r="A64" s="1" t="s">
        <v>810</v>
      </c>
      <c r="B64" s="1" t="s">
        <v>810</v>
      </c>
      <c r="C64" s="1" t="s">
        <v>817</v>
      </c>
      <c r="E64" s="1">
        <v>24158.71</v>
      </c>
      <c r="F64" s="1" t="s">
        <v>754</v>
      </c>
      <c r="G64" s="1">
        <v>706205.67</v>
      </c>
      <c r="I64" s="30">
        <f>SUM($F$5:$F64)-SUM($E$5:$E64)</f>
        <v>706205.66999999969</v>
      </c>
      <c r="J64" s="30">
        <f t="shared" si="0"/>
        <v>0</v>
      </c>
    </row>
    <row r="65" spans="1:10" x14ac:dyDescent="0.75">
      <c r="A65" s="1" t="s">
        <v>810</v>
      </c>
      <c r="B65" s="1" t="s">
        <v>810</v>
      </c>
      <c r="C65" s="1" t="s">
        <v>818</v>
      </c>
      <c r="E65" s="1">
        <v>32331.15</v>
      </c>
      <c r="F65" s="1" t="s">
        <v>754</v>
      </c>
      <c r="G65" s="1">
        <v>673874.52</v>
      </c>
      <c r="I65" s="30">
        <f>SUM($F$5:$F65)-SUM($E$5:$E65)</f>
        <v>673874.51999999967</v>
      </c>
      <c r="J65" s="30">
        <f t="shared" si="0"/>
        <v>0</v>
      </c>
    </row>
    <row r="66" spans="1:10" x14ac:dyDescent="0.75">
      <c r="A66" s="1" t="s">
        <v>810</v>
      </c>
      <c r="B66" s="1" t="s">
        <v>810</v>
      </c>
      <c r="C66" s="1" t="s">
        <v>819</v>
      </c>
      <c r="E66" s="1">
        <v>101184.33</v>
      </c>
      <c r="F66" s="1" t="s">
        <v>754</v>
      </c>
      <c r="G66" s="1">
        <v>572690.18999999994</v>
      </c>
      <c r="I66" s="30">
        <f>SUM($F$5:$F66)-SUM($E$5:$E66)</f>
        <v>572690.18999999971</v>
      </c>
      <c r="J66" s="30">
        <f t="shared" si="0"/>
        <v>0</v>
      </c>
    </row>
    <row r="67" spans="1:10" x14ac:dyDescent="0.75">
      <c r="A67" s="1" t="s">
        <v>810</v>
      </c>
      <c r="B67" s="1" t="s">
        <v>810</v>
      </c>
      <c r="C67" s="1" t="s">
        <v>820</v>
      </c>
      <c r="E67" s="1">
        <v>116981.36</v>
      </c>
      <c r="F67" s="1" t="s">
        <v>754</v>
      </c>
      <c r="G67" s="1">
        <v>455708.83</v>
      </c>
      <c r="I67" s="30">
        <f>SUM($F$5:$F67)-SUM($E$5:$E67)</f>
        <v>455708.82999999973</v>
      </c>
      <c r="J67" s="30">
        <f t="shared" si="0"/>
        <v>0</v>
      </c>
    </row>
    <row r="68" spans="1:10" x14ac:dyDescent="0.75">
      <c r="A68" s="1" t="s">
        <v>810</v>
      </c>
      <c r="B68" s="1" t="s">
        <v>810</v>
      </c>
      <c r="C68" s="1" t="s">
        <v>821</v>
      </c>
      <c r="E68" s="1">
        <v>4620.25</v>
      </c>
      <c r="F68" s="1" t="s">
        <v>754</v>
      </c>
      <c r="G68" s="1">
        <v>451088.58</v>
      </c>
      <c r="I68" s="30">
        <f>SUM($F$5:$F68)-SUM($E$5:$E68)</f>
        <v>451088.57999999973</v>
      </c>
      <c r="J68" s="30">
        <f t="shared" si="0"/>
        <v>0</v>
      </c>
    </row>
    <row r="69" spans="1:10" x14ac:dyDescent="0.75">
      <c r="A69" s="1" t="s">
        <v>822</v>
      </c>
      <c r="B69" s="1" t="s">
        <v>822</v>
      </c>
      <c r="C69" s="1" t="s">
        <v>823</v>
      </c>
      <c r="E69" s="1">
        <v>552.9</v>
      </c>
      <c r="F69" s="1" t="s">
        <v>754</v>
      </c>
      <c r="G69" s="1">
        <v>450535.67999999999</v>
      </c>
      <c r="I69" s="30">
        <f>SUM($F$5:$F69)-SUM($E$5:$E69)</f>
        <v>450535.6799999997</v>
      </c>
      <c r="J69" s="30">
        <f t="shared" si="0"/>
        <v>0</v>
      </c>
    </row>
    <row r="70" spans="1:10" x14ac:dyDescent="0.75">
      <c r="A70" s="1" t="s">
        <v>822</v>
      </c>
      <c r="B70" s="1" t="s">
        <v>822</v>
      </c>
      <c r="C70" s="1" t="s">
        <v>824</v>
      </c>
      <c r="E70" s="1">
        <v>2413.3200000000002</v>
      </c>
      <c r="F70" s="1" t="s">
        <v>754</v>
      </c>
      <c r="G70" s="1">
        <v>448122.36</v>
      </c>
      <c r="I70" s="30">
        <f>SUM($F$5:$F70)-SUM($E$5:$E70)</f>
        <v>448122.35999999975</v>
      </c>
      <c r="J70" s="30">
        <f t="shared" ref="J70:J133" si="1">I70-G70</f>
        <v>0</v>
      </c>
    </row>
    <row r="71" spans="1:10" x14ac:dyDescent="0.75">
      <c r="A71" s="1" t="s">
        <v>822</v>
      </c>
      <c r="B71" s="1" t="s">
        <v>822</v>
      </c>
      <c r="C71" s="1" t="s">
        <v>825</v>
      </c>
      <c r="E71" s="1">
        <v>169275.4</v>
      </c>
      <c r="F71" s="1" t="s">
        <v>754</v>
      </c>
      <c r="G71" s="1">
        <v>278846.96000000002</v>
      </c>
      <c r="I71" s="30">
        <f>SUM($F$5:$F71)-SUM($E$5:$E71)</f>
        <v>278846.95999999973</v>
      </c>
      <c r="J71" s="30">
        <f t="shared" si="1"/>
        <v>0</v>
      </c>
    </row>
    <row r="72" spans="1:10" x14ac:dyDescent="0.75">
      <c r="A72" s="1" t="s">
        <v>822</v>
      </c>
      <c r="B72" s="1" t="s">
        <v>822</v>
      </c>
      <c r="C72" s="1" t="s">
        <v>773</v>
      </c>
      <c r="E72" s="1" t="s">
        <v>754</v>
      </c>
      <c r="F72" s="1">
        <v>44298.080000000002</v>
      </c>
      <c r="G72" s="1">
        <v>323145.03999999998</v>
      </c>
      <c r="I72" s="30">
        <f>SUM($F$5:$F72)-SUM($E$5:$E72)</f>
        <v>323145.0399999998</v>
      </c>
      <c r="J72" s="30">
        <f t="shared" si="1"/>
        <v>0</v>
      </c>
    </row>
    <row r="73" spans="1:10" x14ac:dyDescent="0.75">
      <c r="A73" s="1" t="s">
        <v>826</v>
      </c>
      <c r="B73" s="1" t="s">
        <v>826</v>
      </c>
      <c r="C73" s="1" t="s">
        <v>827</v>
      </c>
      <c r="E73" s="1">
        <v>656.1</v>
      </c>
      <c r="F73" s="1" t="s">
        <v>754</v>
      </c>
      <c r="G73" s="1">
        <v>322488.94</v>
      </c>
      <c r="I73" s="30">
        <f>SUM($F$5:$F73)-SUM($E$5:$E73)</f>
        <v>322488.93999999983</v>
      </c>
      <c r="J73" s="30">
        <f t="shared" si="1"/>
        <v>0</v>
      </c>
    </row>
    <row r="74" spans="1:10" x14ac:dyDescent="0.75">
      <c r="A74" s="1" t="s">
        <v>826</v>
      </c>
      <c r="B74" s="1" t="s">
        <v>826</v>
      </c>
      <c r="C74" s="1" t="s">
        <v>828</v>
      </c>
      <c r="E74" s="1">
        <v>1</v>
      </c>
      <c r="F74" s="1" t="s">
        <v>754</v>
      </c>
      <c r="G74" s="1">
        <v>322487.94</v>
      </c>
      <c r="I74" s="30">
        <f>SUM($F$5:$F74)-SUM($E$5:$E74)</f>
        <v>322487.93999999983</v>
      </c>
      <c r="J74" s="30">
        <f t="shared" si="1"/>
        <v>0</v>
      </c>
    </row>
    <row r="75" spans="1:10" x14ac:dyDescent="0.75">
      <c r="A75" s="1" t="s">
        <v>826</v>
      </c>
      <c r="B75" s="1" t="s">
        <v>826</v>
      </c>
      <c r="C75" s="1" t="s">
        <v>829</v>
      </c>
      <c r="F75" s="1" t="s">
        <v>754</v>
      </c>
      <c r="G75" s="30">
        <v>322487.94</v>
      </c>
      <c r="I75" s="30">
        <f>SUM($F$5:$F75)-SUM($E$5:$E75)</f>
        <v>322487.93999999983</v>
      </c>
      <c r="J75" s="30">
        <f t="shared" si="1"/>
        <v>0</v>
      </c>
    </row>
    <row r="76" spans="1:10" x14ac:dyDescent="0.75">
      <c r="A76" s="1" t="s">
        <v>830</v>
      </c>
      <c r="B76" s="1" t="s">
        <v>830</v>
      </c>
      <c r="C76" s="1" t="s">
        <v>831</v>
      </c>
      <c r="E76" s="30">
        <v>202395.28</v>
      </c>
      <c r="F76" s="1" t="s">
        <v>754</v>
      </c>
      <c r="G76" s="30">
        <v>120092.66</v>
      </c>
      <c r="I76" s="30">
        <f>SUM($F$5:$F76)-SUM($E$5:$E76)</f>
        <v>120092.65999999992</v>
      </c>
      <c r="J76" s="30">
        <f t="shared" si="1"/>
        <v>0</v>
      </c>
    </row>
    <row r="77" spans="1:10" x14ac:dyDescent="0.75">
      <c r="A77" s="1" t="s">
        <v>830</v>
      </c>
      <c r="B77" s="1" t="s">
        <v>832</v>
      </c>
      <c r="C77" s="1" t="s">
        <v>773</v>
      </c>
      <c r="E77" s="1" t="s">
        <v>754</v>
      </c>
      <c r="F77" s="30">
        <v>58257.53</v>
      </c>
      <c r="G77" s="30">
        <v>178350.19</v>
      </c>
      <c r="I77" s="30">
        <f>SUM($F$5:$F77)-SUM($E$5:$E77)</f>
        <v>178350.18999999994</v>
      </c>
      <c r="J77" s="30">
        <f t="shared" si="1"/>
        <v>0</v>
      </c>
    </row>
    <row r="78" spans="1:10" x14ac:dyDescent="0.75">
      <c r="A78" s="1" t="s">
        <v>832</v>
      </c>
      <c r="B78" s="1" t="s">
        <v>832</v>
      </c>
      <c r="C78" s="1" t="s">
        <v>833</v>
      </c>
      <c r="E78" s="1">
        <v>302.5</v>
      </c>
      <c r="F78" s="1" t="s">
        <v>754</v>
      </c>
      <c r="G78" s="30">
        <v>178047.69</v>
      </c>
      <c r="I78" s="30">
        <f>SUM($F$5:$F78)-SUM($E$5:$E78)</f>
        <v>178047.68999999994</v>
      </c>
      <c r="J78" s="30">
        <f t="shared" si="1"/>
        <v>0</v>
      </c>
    </row>
    <row r="79" spans="1:10" x14ac:dyDescent="0.75">
      <c r="A79" s="1" t="s">
        <v>832</v>
      </c>
      <c r="B79" s="1" t="s">
        <v>834</v>
      </c>
      <c r="C79" s="1" t="s">
        <v>773</v>
      </c>
      <c r="E79" s="1" t="s">
        <v>754</v>
      </c>
      <c r="F79" s="30">
        <v>66910.75</v>
      </c>
      <c r="G79" s="30">
        <v>244958.44</v>
      </c>
      <c r="I79" s="30">
        <f>SUM($F$5:$F79)-SUM($E$5:$E79)</f>
        <v>244958.43999999994</v>
      </c>
      <c r="J79" s="30">
        <f t="shared" si="1"/>
        <v>0</v>
      </c>
    </row>
    <row r="80" spans="1:10" x14ac:dyDescent="0.75">
      <c r="A80" s="1" t="s">
        <v>834</v>
      </c>
      <c r="B80" s="1" t="s">
        <v>834</v>
      </c>
      <c r="C80" s="1" t="s">
        <v>835</v>
      </c>
      <c r="E80" s="30">
        <v>4490.5600000000004</v>
      </c>
      <c r="F80" s="1" t="s">
        <v>754</v>
      </c>
      <c r="G80" s="30">
        <v>240467.88</v>
      </c>
      <c r="I80" s="30">
        <f>SUM($F$5:$F80)-SUM($E$5:$E80)</f>
        <v>240467.87999999989</v>
      </c>
      <c r="J80" s="30">
        <f t="shared" si="1"/>
        <v>0</v>
      </c>
    </row>
    <row r="81" spans="1:10" x14ac:dyDescent="0.75">
      <c r="A81" s="1" t="s">
        <v>834</v>
      </c>
      <c r="C81" s="1" t="s">
        <v>773</v>
      </c>
      <c r="E81" s="1" t="s">
        <v>754</v>
      </c>
      <c r="F81" s="30">
        <v>89565.85</v>
      </c>
      <c r="G81" s="30">
        <v>330033.73</v>
      </c>
      <c r="I81" s="30">
        <f>SUM($F$5:$F81)-SUM($E$5:$E81)</f>
        <v>330033.73</v>
      </c>
      <c r="J81" s="30">
        <f t="shared" si="1"/>
        <v>0</v>
      </c>
    </row>
    <row r="82" spans="1:10" x14ac:dyDescent="0.75">
      <c r="A82" s="31">
        <v>43469</v>
      </c>
      <c r="B82" s="31">
        <v>43469</v>
      </c>
      <c r="C82" s="1" t="s">
        <v>836</v>
      </c>
      <c r="E82" s="1">
        <v>3000</v>
      </c>
      <c r="F82" s="1" t="s">
        <v>754</v>
      </c>
      <c r="G82" s="30">
        <v>327033.73</v>
      </c>
      <c r="I82" s="30">
        <f>SUM($F$5:$F82)-SUM($E$5:$E82)</f>
        <v>327033.73</v>
      </c>
      <c r="J82" s="30">
        <f t="shared" si="1"/>
        <v>0</v>
      </c>
    </row>
    <row r="83" spans="1:10" x14ac:dyDescent="0.75">
      <c r="A83" s="31">
        <v>43469</v>
      </c>
      <c r="B83" s="31">
        <v>43469</v>
      </c>
      <c r="C83" s="1" t="s">
        <v>837</v>
      </c>
      <c r="E83" s="1">
        <v>14357.54</v>
      </c>
      <c r="F83" s="30" t="s">
        <v>754</v>
      </c>
      <c r="G83" s="30">
        <v>312676.19</v>
      </c>
      <c r="I83" s="30">
        <f>SUM($F$5:$F83)-SUM($E$5:$E83)</f>
        <v>312676.18999999994</v>
      </c>
      <c r="J83" s="30">
        <f t="shared" si="1"/>
        <v>0</v>
      </c>
    </row>
    <row r="84" spans="1:10" x14ac:dyDescent="0.75">
      <c r="A84" s="31">
        <v>43469</v>
      </c>
      <c r="B84" s="31">
        <v>43469</v>
      </c>
      <c r="C84" s="1" t="s">
        <v>838</v>
      </c>
      <c r="E84" s="30">
        <v>1680</v>
      </c>
      <c r="F84" s="1" t="s">
        <v>754</v>
      </c>
      <c r="G84" s="30">
        <v>310996.19</v>
      </c>
      <c r="I84" s="30">
        <f>SUM($F$5:$F84)-SUM($E$5:$E84)</f>
        <v>310996.18999999994</v>
      </c>
      <c r="J84" s="30">
        <f t="shared" si="1"/>
        <v>0</v>
      </c>
    </row>
    <row r="85" spans="1:10" x14ac:dyDescent="0.75">
      <c r="A85" s="31">
        <v>43469</v>
      </c>
      <c r="B85" s="31">
        <v>43469</v>
      </c>
      <c r="C85" s="1" t="s">
        <v>839</v>
      </c>
      <c r="E85" s="1">
        <v>3774</v>
      </c>
      <c r="F85" s="1" t="s">
        <v>754</v>
      </c>
      <c r="G85" s="1">
        <v>307222.19</v>
      </c>
      <c r="I85" s="30">
        <f>SUM($F$5:$F85)-SUM($E$5:$E85)</f>
        <v>307222.18999999994</v>
      </c>
      <c r="J85" s="30">
        <f t="shared" si="1"/>
        <v>0</v>
      </c>
    </row>
    <row r="86" spans="1:10" x14ac:dyDescent="0.75">
      <c r="A86" s="31">
        <v>43469</v>
      </c>
      <c r="B86" s="31">
        <v>43469</v>
      </c>
      <c r="C86" s="1" t="s">
        <v>773</v>
      </c>
      <c r="E86" s="1" t="s">
        <v>754</v>
      </c>
      <c r="F86" s="1">
        <v>33418.839999999997</v>
      </c>
      <c r="G86" s="1">
        <v>340641.03</v>
      </c>
      <c r="I86" s="30">
        <f>SUM($F$5:$F86)-SUM($E$5:$E86)</f>
        <v>340641.03</v>
      </c>
      <c r="J86" s="30">
        <f t="shared" si="1"/>
        <v>0</v>
      </c>
    </row>
    <row r="87" spans="1:10" x14ac:dyDescent="0.75">
      <c r="A87" s="31">
        <v>43500</v>
      </c>
      <c r="B87" s="31">
        <v>43500</v>
      </c>
      <c r="C87" s="1" t="s">
        <v>773</v>
      </c>
      <c r="E87" s="1" t="s">
        <v>754</v>
      </c>
      <c r="F87" s="1">
        <v>13534.72</v>
      </c>
      <c r="G87" s="1">
        <v>354175.75</v>
      </c>
      <c r="I87" s="30">
        <f>SUM($F$5:$F87)-SUM($E$5:$E87)</f>
        <v>354175.75</v>
      </c>
      <c r="J87" s="30">
        <f t="shared" si="1"/>
        <v>0</v>
      </c>
    </row>
    <row r="88" spans="1:10" x14ac:dyDescent="0.75">
      <c r="A88" s="31">
        <v>43528</v>
      </c>
      <c r="B88" s="31">
        <v>43528</v>
      </c>
      <c r="C88" s="1" t="s">
        <v>840</v>
      </c>
      <c r="E88" s="1">
        <v>675.39</v>
      </c>
      <c r="F88" s="1" t="s">
        <v>754</v>
      </c>
      <c r="G88" s="1">
        <v>353500.36</v>
      </c>
      <c r="I88" s="30">
        <f>SUM($F$5:$F88)-SUM($E$5:$E88)</f>
        <v>353500.3600000001</v>
      </c>
      <c r="J88" s="30">
        <f t="shared" si="1"/>
        <v>0</v>
      </c>
    </row>
    <row r="89" spans="1:10" x14ac:dyDescent="0.75">
      <c r="A89" s="31">
        <v>43528</v>
      </c>
      <c r="B89" s="31">
        <v>43528</v>
      </c>
      <c r="C89" s="1" t="s">
        <v>841</v>
      </c>
      <c r="E89" s="1">
        <v>4526.01</v>
      </c>
      <c r="F89" s="1" t="s">
        <v>754</v>
      </c>
      <c r="G89" s="1">
        <v>348974.35</v>
      </c>
      <c r="I89" s="30">
        <f>SUM($F$5:$F89)-SUM($E$5:$E89)</f>
        <v>348974.35000000009</v>
      </c>
      <c r="J89" s="30">
        <f t="shared" si="1"/>
        <v>0</v>
      </c>
    </row>
    <row r="90" spans="1:10" x14ac:dyDescent="0.75">
      <c r="A90" s="31">
        <v>43528</v>
      </c>
      <c r="B90" s="31">
        <v>43528</v>
      </c>
      <c r="C90" s="1" t="s">
        <v>842</v>
      </c>
      <c r="E90" s="1">
        <v>27522.05</v>
      </c>
      <c r="F90" s="1" t="s">
        <v>754</v>
      </c>
      <c r="G90" s="1">
        <v>321452.3</v>
      </c>
      <c r="I90" s="30">
        <f>SUM($F$5:$F90)-SUM($E$5:$E90)</f>
        <v>321452.30000000005</v>
      </c>
      <c r="J90" s="30">
        <f t="shared" si="1"/>
        <v>0</v>
      </c>
    </row>
    <row r="91" spans="1:10" x14ac:dyDescent="0.75">
      <c r="A91" s="31">
        <v>43528</v>
      </c>
      <c r="B91" s="31">
        <v>43528</v>
      </c>
      <c r="C91" s="1" t="s">
        <v>843</v>
      </c>
      <c r="E91" s="1">
        <v>9846.67</v>
      </c>
      <c r="F91" s="1" t="s">
        <v>754</v>
      </c>
      <c r="G91" s="1">
        <v>311605.63</v>
      </c>
      <c r="I91" s="30">
        <f>SUM($F$5:$F91)-SUM($E$5:$E91)</f>
        <v>311605.63000000012</v>
      </c>
      <c r="J91" s="30">
        <f t="shared" si="1"/>
        <v>0</v>
      </c>
    </row>
    <row r="92" spans="1:10" x14ac:dyDescent="0.75">
      <c r="A92" s="31">
        <v>43528</v>
      </c>
      <c r="B92" s="31">
        <v>43528</v>
      </c>
      <c r="C92" s="1" t="s">
        <v>773</v>
      </c>
      <c r="E92" s="1" t="s">
        <v>754</v>
      </c>
      <c r="F92" s="1">
        <v>448141.93</v>
      </c>
      <c r="G92" s="1">
        <v>759747.56</v>
      </c>
      <c r="I92" s="30">
        <f>SUM($F$5:$F92)-SUM($E$5:$E92)</f>
        <v>759747.56</v>
      </c>
      <c r="J92" s="30">
        <f t="shared" si="1"/>
        <v>0</v>
      </c>
    </row>
    <row r="93" spans="1:10" x14ac:dyDescent="0.75">
      <c r="A93" s="31">
        <v>43559</v>
      </c>
      <c r="B93" s="31">
        <v>43559</v>
      </c>
      <c r="C93" s="1" t="s">
        <v>844</v>
      </c>
      <c r="E93" s="1">
        <v>10721.62</v>
      </c>
      <c r="F93" s="1" t="s">
        <v>754</v>
      </c>
      <c r="G93" s="1">
        <v>749025.94</v>
      </c>
      <c r="I93" s="30">
        <f>SUM($F$5:$F93)-SUM($E$5:$E93)</f>
        <v>749025.94</v>
      </c>
      <c r="J93" s="30">
        <f t="shared" si="1"/>
        <v>0</v>
      </c>
    </row>
    <row r="94" spans="1:10" x14ac:dyDescent="0.75">
      <c r="A94" s="31">
        <v>43559</v>
      </c>
      <c r="B94" s="31">
        <v>43559</v>
      </c>
      <c r="C94" s="1" t="s">
        <v>845</v>
      </c>
      <c r="E94" s="1">
        <v>1765.4</v>
      </c>
      <c r="F94" s="1" t="s">
        <v>754</v>
      </c>
      <c r="G94" s="1">
        <v>747260.54</v>
      </c>
      <c r="I94" s="30">
        <f>SUM($F$5:$F94)-SUM($E$5:$E94)</f>
        <v>747260.54</v>
      </c>
      <c r="J94" s="30">
        <f t="shared" si="1"/>
        <v>0</v>
      </c>
    </row>
    <row r="95" spans="1:10" x14ac:dyDescent="0.75">
      <c r="A95" s="31">
        <v>43559</v>
      </c>
      <c r="B95" s="31">
        <v>43559</v>
      </c>
      <c r="C95" s="1" t="s">
        <v>773</v>
      </c>
      <c r="E95" s="1" t="s">
        <v>754</v>
      </c>
      <c r="F95" s="1">
        <v>11388.02</v>
      </c>
      <c r="G95" s="1">
        <v>758648.56</v>
      </c>
      <c r="I95" s="30">
        <f>SUM($F$5:$F95)-SUM($E$5:$E95)</f>
        <v>758648.56</v>
      </c>
      <c r="J95" s="30">
        <f t="shared" si="1"/>
        <v>0</v>
      </c>
    </row>
    <row r="96" spans="1:10" x14ac:dyDescent="0.75">
      <c r="A96" s="31">
        <v>43589</v>
      </c>
      <c r="B96" s="31">
        <v>43589</v>
      </c>
      <c r="C96" s="1" t="s">
        <v>846</v>
      </c>
      <c r="E96" s="1">
        <v>1</v>
      </c>
      <c r="F96" s="1" t="s">
        <v>754</v>
      </c>
      <c r="G96" s="1">
        <v>758647.56</v>
      </c>
      <c r="I96" s="30">
        <f>SUM($F$5:$F96)-SUM($E$5:$E96)</f>
        <v>758647.56</v>
      </c>
      <c r="J96" s="30">
        <f t="shared" si="1"/>
        <v>0</v>
      </c>
    </row>
    <row r="97" spans="1:10" x14ac:dyDescent="0.75">
      <c r="A97" s="31">
        <v>43589</v>
      </c>
      <c r="B97" s="31">
        <v>43589</v>
      </c>
      <c r="C97" s="1" t="s">
        <v>847</v>
      </c>
      <c r="E97" s="1">
        <v>2350</v>
      </c>
      <c r="F97" s="1" t="s">
        <v>754</v>
      </c>
      <c r="G97" s="1">
        <v>756297.56</v>
      </c>
      <c r="I97" s="30">
        <f>SUM($F$5:$F97)-SUM($E$5:$E97)</f>
        <v>756297.56</v>
      </c>
      <c r="J97" s="30">
        <f t="shared" si="1"/>
        <v>0</v>
      </c>
    </row>
    <row r="98" spans="1:10" x14ac:dyDescent="0.75">
      <c r="A98" s="31">
        <v>43589</v>
      </c>
      <c r="B98" s="31">
        <v>43589</v>
      </c>
      <c r="C98" s="1" t="s">
        <v>848</v>
      </c>
      <c r="E98" s="1">
        <v>16972.71</v>
      </c>
      <c r="F98" s="1" t="s">
        <v>754</v>
      </c>
      <c r="G98" s="1">
        <v>739324.85</v>
      </c>
      <c r="I98" s="30">
        <f>SUM($F$5:$F98)-SUM($E$5:$E98)</f>
        <v>739324.85000000009</v>
      </c>
      <c r="J98" s="30">
        <f t="shared" si="1"/>
        <v>0</v>
      </c>
    </row>
    <row r="99" spans="1:10" x14ac:dyDescent="0.75">
      <c r="A99" s="31">
        <v>43589</v>
      </c>
      <c r="B99" s="31">
        <v>43589</v>
      </c>
      <c r="C99" s="1" t="s">
        <v>773</v>
      </c>
      <c r="E99" s="1" t="s">
        <v>754</v>
      </c>
      <c r="F99" s="1">
        <v>125315.44</v>
      </c>
      <c r="G99" s="1">
        <v>864640.29</v>
      </c>
      <c r="I99" s="30">
        <f>SUM($F$5:$F99)-SUM($E$5:$E99)</f>
        <v>864640.29</v>
      </c>
      <c r="J99" s="30">
        <f t="shared" si="1"/>
        <v>0</v>
      </c>
    </row>
    <row r="100" spans="1:10" x14ac:dyDescent="0.75">
      <c r="A100" s="31">
        <v>43681</v>
      </c>
      <c r="B100" s="31">
        <v>43681</v>
      </c>
      <c r="C100" s="1" t="s">
        <v>849</v>
      </c>
      <c r="E100" s="1">
        <v>2334.23</v>
      </c>
      <c r="F100" s="1" t="s">
        <v>754</v>
      </c>
      <c r="G100" s="1">
        <v>862306.06</v>
      </c>
      <c r="I100" s="30">
        <f>SUM($F$5:$F100)-SUM($E$5:$E100)</f>
        <v>862306.06</v>
      </c>
      <c r="J100" s="30">
        <f t="shared" si="1"/>
        <v>0</v>
      </c>
    </row>
    <row r="101" spans="1:10" x14ac:dyDescent="0.75">
      <c r="A101" s="31">
        <v>43681</v>
      </c>
      <c r="B101" s="31">
        <v>43681</v>
      </c>
      <c r="C101" s="1" t="s">
        <v>773</v>
      </c>
      <c r="E101" s="1" t="s">
        <v>754</v>
      </c>
      <c r="F101" s="1">
        <v>18453.77</v>
      </c>
      <c r="G101" s="1">
        <v>880759.83</v>
      </c>
      <c r="I101" s="30">
        <f>SUM($F$5:$F101)-SUM($E$5:$E101)</f>
        <v>880759.83000000007</v>
      </c>
      <c r="J101" s="30">
        <f t="shared" si="1"/>
        <v>0</v>
      </c>
    </row>
    <row r="102" spans="1:10" x14ac:dyDescent="0.75">
      <c r="A102" s="31">
        <v>43712</v>
      </c>
      <c r="B102" s="31">
        <v>43712</v>
      </c>
      <c r="C102" s="1" t="s">
        <v>773</v>
      </c>
      <c r="E102" s="1" t="s">
        <v>754</v>
      </c>
      <c r="F102" s="1">
        <v>28199.35</v>
      </c>
      <c r="G102" s="1">
        <v>908959.18</v>
      </c>
      <c r="I102" s="30">
        <f>SUM($F$5:$F102)-SUM($E$5:$E102)</f>
        <v>908959.18000000017</v>
      </c>
      <c r="J102" s="30">
        <f t="shared" si="1"/>
        <v>0</v>
      </c>
    </row>
    <row r="103" spans="1:10" x14ac:dyDescent="0.75">
      <c r="A103" s="31">
        <v>43742</v>
      </c>
      <c r="B103" s="31">
        <v>43742</v>
      </c>
      <c r="C103" s="1" t="s">
        <v>850</v>
      </c>
      <c r="E103" s="1">
        <v>13766.28</v>
      </c>
      <c r="F103" s="1" t="s">
        <v>754</v>
      </c>
      <c r="G103" s="1">
        <v>895192.9</v>
      </c>
      <c r="I103" s="30">
        <f>SUM($F$5:$F103)-SUM($E$5:$E103)</f>
        <v>895192.90000000014</v>
      </c>
      <c r="J103" s="30">
        <f t="shared" si="1"/>
        <v>0</v>
      </c>
    </row>
    <row r="104" spans="1:10" x14ac:dyDescent="0.75">
      <c r="A104" s="31">
        <v>43742</v>
      </c>
      <c r="B104" s="31">
        <v>43742</v>
      </c>
      <c r="C104" s="1" t="s">
        <v>773</v>
      </c>
      <c r="E104" s="1" t="s">
        <v>754</v>
      </c>
      <c r="F104" s="1">
        <v>62272.49</v>
      </c>
      <c r="G104" s="1">
        <v>957465.39</v>
      </c>
      <c r="I104" s="30">
        <f>SUM($F$5:$F104)-SUM($E$5:$E104)</f>
        <v>957465.39000000036</v>
      </c>
      <c r="J104" s="30">
        <f t="shared" si="1"/>
        <v>0</v>
      </c>
    </row>
    <row r="105" spans="1:10" x14ac:dyDescent="0.75">
      <c r="A105" s="31">
        <v>43773</v>
      </c>
      <c r="B105" s="31">
        <v>43773</v>
      </c>
      <c r="C105" s="1" t="s">
        <v>851</v>
      </c>
      <c r="E105" s="1">
        <v>17895.78</v>
      </c>
      <c r="F105" s="1" t="s">
        <v>754</v>
      </c>
      <c r="G105" s="1">
        <v>939569.61</v>
      </c>
      <c r="I105" s="30">
        <f>SUM($F$5:$F105)-SUM($E$5:$E105)</f>
        <v>939569.61000000034</v>
      </c>
      <c r="J105" s="30">
        <f t="shared" si="1"/>
        <v>0</v>
      </c>
    </row>
    <row r="106" spans="1:10" x14ac:dyDescent="0.75">
      <c r="A106" s="31">
        <v>43773</v>
      </c>
      <c r="B106" s="31">
        <v>43773</v>
      </c>
      <c r="C106" s="1" t="s">
        <v>773</v>
      </c>
      <c r="E106" s="1" t="s">
        <v>754</v>
      </c>
      <c r="F106" s="1">
        <v>8571</v>
      </c>
      <c r="G106" s="1">
        <v>948140.61</v>
      </c>
      <c r="I106" s="30">
        <f>SUM($F$5:$F106)-SUM($E$5:$E106)</f>
        <v>948140.61000000034</v>
      </c>
      <c r="J106" s="30">
        <f t="shared" si="1"/>
        <v>0</v>
      </c>
    </row>
    <row r="107" spans="1:10" x14ac:dyDescent="0.75">
      <c r="A107" s="31">
        <v>43803</v>
      </c>
      <c r="B107" s="31">
        <v>43803</v>
      </c>
      <c r="C107" s="1" t="s">
        <v>773</v>
      </c>
      <c r="E107" s="1" t="s">
        <v>754</v>
      </c>
      <c r="F107" s="1">
        <v>98203.11</v>
      </c>
      <c r="G107" s="1">
        <v>1046343.72</v>
      </c>
      <c r="I107" s="30">
        <f>SUM($F$5:$F107)-SUM($E$5:$E107)</f>
        <v>1046343.7200000002</v>
      </c>
      <c r="J107" s="30">
        <f t="shared" si="1"/>
        <v>0</v>
      </c>
    </row>
    <row r="108" spans="1:10" x14ac:dyDescent="0.75">
      <c r="A108" s="31" t="s">
        <v>852</v>
      </c>
      <c r="B108" s="31" t="s">
        <v>852</v>
      </c>
      <c r="C108" s="1" t="s">
        <v>853</v>
      </c>
      <c r="E108" s="1">
        <v>1455.83</v>
      </c>
      <c r="F108" s="1" t="s">
        <v>754</v>
      </c>
      <c r="G108" s="1">
        <v>1044887.89</v>
      </c>
      <c r="I108" s="30">
        <f>SUM($F$5:$F108)-SUM($E$5:$E108)</f>
        <v>1044887.8900000001</v>
      </c>
      <c r="J108" s="30">
        <f t="shared" si="1"/>
        <v>0</v>
      </c>
    </row>
    <row r="109" spans="1:10" x14ac:dyDescent="0.75">
      <c r="A109" s="31" t="s">
        <v>852</v>
      </c>
      <c r="B109" s="31" t="s">
        <v>852</v>
      </c>
      <c r="C109" s="1" t="s">
        <v>854</v>
      </c>
      <c r="E109" s="1">
        <v>1974</v>
      </c>
      <c r="F109" s="1" t="s">
        <v>754</v>
      </c>
      <c r="G109" s="1">
        <v>1042913.89</v>
      </c>
      <c r="I109" s="30">
        <f>SUM($F$5:$F109)-SUM($E$5:$E109)</f>
        <v>1042913.8900000001</v>
      </c>
      <c r="J109" s="30">
        <f t="shared" si="1"/>
        <v>0</v>
      </c>
    </row>
    <row r="110" spans="1:10" x14ac:dyDescent="0.75">
      <c r="A110" s="31" t="s">
        <v>852</v>
      </c>
      <c r="B110" s="31" t="s">
        <v>852</v>
      </c>
      <c r="C110" s="1" t="s">
        <v>855</v>
      </c>
      <c r="E110" s="1">
        <v>3880</v>
      </c>
      <c r="F110" s="1" t="s">
        <v>754</v>
      </c>
      <c r="G110" s="1">
        <v>1039033.89</v>
      </c>
      <c r="I110" s="30">
        <f>SUM($F$5:$F110)-SUM($E$5:$E110)</f>
        <v>1039033.8900000001</v>
      </c>
      <c r="J110" s="30">
        <f t="shared" si="1"/>
        <v>0</v>
      </c>
    </row>
    <row r="111" spans="1:10" x14ac:dyDescent="0.75">
      <c r="A111" s="31" t="s">
        <v>852</v>
      </c>
      <c r="B111" s="31" t="s">
        <v>852</v>
      </c>
      <c r="C111" s="1" t="s">
        <v>856</v>
      </c>
      <c r="E111" s="1">
        <v>3675.91</v>
      </c>
      <c r="F111" s="1" t="s">
        <v>754</v>
      </c>
      <c r="G111" s="1">
        <v>1035357.98</v>
      </c>
      <c r="I111" s="30">
        <f>SUM($F$5:$F111)-SUM($E$5:$E111)</f>
        <v>1035357.9800000002</v>
      </c>
      <c r="J111" s="30">
        <f t="shared" si="1"/>
        <v>0</v>
      </c>
    </row>
    <row r="112" spans="1:10" x14ac:dyDescent="0.75">
      <c r="A112" s="31" t="s">
        <v>852</v>
      </c>
      <c r="B112" s="31" t="s">
        <v>852</v>
      </c>
      <c r="C112" s="1" t="s">
        <v>773</v>
      </c>
      <c r="E112" s="1" t="s">
        <v>754</v>
      </c>
      <c r="F112" s="1">
        <v>21540.6</v>
      </c>
      <c r="G112" s="1">
        <v>1056898.58</v>
      </c>
      <c r="I112" s="30">
        <f>SUM($F$5:$F112)-SUM($E$5:$E112)</f>
        <v>1056898.5800000003</v>
      </c>
      <c r="J112" s="30">
        <f t="shared" si="1"/>
        <v>0</v>
      </c>
    </row>
    <row r="113" spans="1:10" x14ac:dyDescent="0.75">
      <c r="A113" s="31" t="s">
        <v>857</v>
      </c>
      <c r="B113" s="1" t="s">
        <v>857</v>
      </c>
      <c r="C113" s="1" t="s">
        <v>858</v>
      </c>
      <c r="E113" s="1">
        <v>3733.2</v>
      </c>
      <c r="F113" s="1" t="s">
        <v>754</v>
      </c>
      <c r="G113" s="1">
        <v>1053165.3799999999</v>
      </c>
      <c r="I113" s="30">
        <f>SUM($F$5:$F113)-SUM($E$5:$E113)</f>
        <v>1053165.3800000004</v>
      </c>
      <c r="J113" s="30">
        <f t="shared" si="1"/>
        <v>0</v>
      </c>
    </row>
    <row r="114" spans="1:10" x14ac:dyDescent="0.75">
      <c r="A114" s="31" t="s">
        <v>857</v>
      </c>
      <c r="B114" s="31" t="s">
        <v>857</v>
      </c>
      <c r="C114" s="1" t="s">
        <v>859</v>
      </c>
      <c r="E114" s="1">
        <v>9398.0499999999993</v>
      </c>
      <c r="F114" s="1" t="s">
        <v>754</v>
      </c>
      <c r="G114" s="1">
        <v>1043767.33</v>
      </c>
      <c r="I114" s="30">
        <f>SUM($F$5:$F114)-SUM($E$5:$E114)</f>
        <v>1043767.3300000003</v>
      </c>
      <c r="J114" s="30">
        <f t="shared" si="1"/>
        <v>0</v>
      </c>
    </row>
    <row r="115" spans="1:10" x14ac:dyDescent="0.75">
      <c r="A115" s="31" t="s">
        <v>857</v>
      </c>
      <c r="B115" s="31" t="s">
        <v>857</v>
      </c>
      <c r="C115" s="1" t="s">
        <v>860</v>
      </c>
      <c r="E115" s="1" t="s">
        <v>754</v>
      </c>
      <c r="F115" s="1">
        <v>538.35</v>
      </c>
      <c r="G115" s="1">
        <v>1044305.68</v>
      </c>
      <c r="I115" s="30">
        <f>SUM($F$5:$F115)-SUM($E$5:$E115)</f>
        <v>1044305.6800000004</v>
      </c>
      <c r="J115" s="30">
        <f t="shared" si="1"/>
        <v>0</v>
      </c>
    </row>
    <row r="116" spans="1:10" x14ac:dyDescent="0.75">
      <c r="A116" s="1" t="s">
        <v>861</v>
      </c>
      <c r="B116" s="1" t="s">
        <v>861</v>
      </c>
      <c r="C116" s="1" t="s">
        <v>862</v>
      </c>
      <c r="E116" s="1" t="s">
        <v>754</v>
      </c>
      <c r="F116" s="1">
        <v>11314.6</v>
      </c>
      <c r="G116" s="1">
        <v>1055620.28</v>
      </c>
      <c r="I116" s="30">
        <f>SUM($F$5:$F116)-SUM($E$5:$E116)</f>
        <v>1055620.2800000005</v>
      </c>
      <c r="J116" s="30">
        <f t="shared" si="1"/>
        <v>0</v>
      </c>
    </row>
    <row r="117" spans="1:10" x14ac:dyDescent="0.75">
      <c r="A117" s="1" t="s">
        <v>861</v>
      </c>
      <c r="B117" s="1" t="s">
        <v>861</v>
      </c>
      <c r="C117" s="1" t="s">
        <v>863</v>
      </c>
      <c r="E117" s="1" t="s">
        <v>754</v>
      </c>
      <c r="F117" s="1">
        <v>12908.76</v>
      </c>
      <c r="G117" s="1">
        <v>1068529.04</v>
      </c>
      <c r="I117" s="30">
        <f>SUM($F$5:$F117)-SUM($E$5:$E117)</f>
        <v>1068529.0400000003</v>
      </c>
      <c r="J117" s="30">
        <f t="shared" si="1"/>
        <v>0</v>
      </c>
    </row>
    <row r="118" spans="1:10" x14ac:dyDescent="0.75">
      <c r="A118" s="1" t="s">
        <v>861</v>
      </c>
      <c r="B118" s="1" t="s">
        <v>861</v>
      </c>
      <c r="C118" s="1" t="s">
        <v>773</v>
      </c>
      <c r="E118" s="1" t="s">
        <v>754</v>
      </c>
      <c r="F118" s="1">
        <v>26472.54</v>
      </c>
      <c r="G118" s="1">
        <v>1095001.58</v>
      </c>
      <c r="I118" s="30">
        <f>SUM($F$5:$F118)-SUM($E$5:$E118)</f>
        <v>1095001.5800000003</v>
      </c>
      <c r="J118" s="30">
        <f t="shared" si="1"/>
        <v>0</v>
      </c>
    </row>
    <row r="119" spans="1:10" x14ac:dyDescent="0.75">
      <c r="A119" s="1" t="s">
        <v>861</v>
      </c>
      <c r="B119" s="1" t="s">
        <v>861</v>
      </c>
      <c r="C119" s="1" t="s">
        <v>864</v>
      </c>
      <c r="E119" s="1">
        <v>538.35</v>
      </c>
      <c r="F119" s="1" t="s">
        <v>754</v>
      </c>
      <c r="G119" s="1">
        <v>1094463.23</v>
      </c>
      <c r="I119" s="30">
        <f>SUM($F$5:$F119)-SUM($E$5:$E119)</f>
        <v>1094463.2300000002</v>
      </c>
      <c r="J119" s="30">
        <f t="shared" si="1"/>
        <v>0</v>
      </c>
    </row>
    <row r="120" spans="1:10" x14ac:dyDescent="0.75">
      <c r="A120" s="1" t="s">
        <v>861</v>
      </c>
      <c r="B120" s="1" t="s">
        <v>861</v>
      </c>
      <c r="C120" s="1" t="s">
        <v>865</v>
      </c>
      <c r="E120" s="1">
        <v>11314.6</v>
      </c>
      <c r="F120" s="1" t="s">
        <v>754</v>
      </c>
      <c r="G120" s="1">
        <v>1083148.6299999999</v>
      </c>
      <c r="I120" s="30">
        <f>SUM($F$5:$F120)-SUM($E$5:$E120)</f>
        <v>1083148.6300000001</v>
      </c>
      <c r="J120" s="30">
        <f t="shared" si="1"/>
        <v>0</v>
      </c>
    </row>
    <row r="121" spans="1:10" x14ac:dyDescent="0.75">
      <c r="A121" s="1" t="s">
        <v>861</v>
      </c>
      <c r="B121" s="1" t="s">
        <v>861</v>
      </c>
      <c r="C121" s="1" t="s">
        <v>866</v>
      </c>
      <c r="E121" s="1">
        <v>12908.76</v>
      </c>
      <c r="F121" s="1" t="s">
        <v>754</v>
      </c>
      <c r="G121" s="1">
        <v>1070239.8700000001</v>
      </c>
      <c r="I121" s="30">
        <f>SUM($F$5:$F121)-SUM($E$5:$E121)</f>
        <v>1070239.8700000001</v>
      </c>
      <c r="J121" s="30">
        <f t="shared" si="1"/>
        <v>0</v>
      </c>
    </row>
    <row r="122" spans="1:10" x14ac:dyDescent="0.75">
      <c r="A122" s="1" t="s">
        <v>861</v>
      </c>
      <c r="B122" s="1" t="s">
        <v>861</v>
      </c>
      <c r="C122" s="1" t="s">
        <v>773</v>
      </c>
      <c r="E122" s="1" t="s">
        <v>754</v>
      </c>
      <c r="F122" s="1">
        <v>12135.25</v>
      </c>
      <c r="G122" s="1">
        <v>1082375.1200000001</v>
      </c>
      <c r="I122" s="30">
        <f>SUM($F$5:$F122)-SUM($E$5:$E122)</f>
        <v>1082375.1200000001</v>
      </c>
      <c r="J122" s="30">
        <f t="shared" si="1"/>
        <v>0</v>
      </c>
    </row>
    <row r="123" spans="1:10" x14ac:dyDescent="0.75">
      <c r="A123" s="1" t="s">
        <v>867</v>
      </c>
      <c r="B123" s="1" t="s">
        <v>867</v>
      </c>
      <c r="C123" s="1" t="s">
        <v>868</v>
      </c>
      <c r="E123" s="1">
        <v>163720.91</v>
      </c>
      <c r="F123" s="1" t="s">
        <v>754</v>
      </c>
      <c r="G123" s="1">
        <v>918654.21</v>
      </c>
      <c r="I123" s="30">
        <f>SUM($F$5:$F123)-SUM($E$5:$E123)</f>
        <v>918654.2100000002</v>
      </c>
      <c r="J123" s="30">
        <f t="shared" si="1"/>
        <v>0</v>
      </c>
    </row>
    <row r="124" spans="1:10" x14ac:dyDescent="0.75">
      <c r="A124" s="1" t="s">
        <v>867</v>
      </c>
      <c r="B124" s="1" t="s">
        <v>867</v>
      </c>
      <c r="C124" s="1" t="s">
        <v>773</v>
      </c>
      <c r="E124" s="1" t="s">
        <v>754</v>
      </c>
      <c r="F124" s="1">
        <v>1521.62</v>
      </c>
      <c r="G124" s="1">
        <v>920175.83</v>
      </c>
      <c r="I124" s="30">
        <f>SUM($F$5:$F124)-SUM($E$5:$E124)</f>
        <v>920175.83000000031</v>
      </c>
      <c r="J124" s="30">
        <f t="shared" si="1"/>
        <v>0</v>
      </c>
    </row>
    <row r="125" spans="1:10" x14ac:dyDescent="0.75">
      <c r="A125" s="1" t="s">
        <v>869</v>
      </c>
      <c r="B125" s="1" t="s">
        <v>869</v>
      </c>
      <c r="C125" s="1" t="s">
        <v>870</v>
      </c>
      <c r="E125" s="1">
        <v>363.75</v>
      </c>
      <c r="F125" s="1" t="s">
        <v>754</v>
      </c>
      <c r="G125" s="1">
        <v>919812.08</v>
      </c>
      <c r="I125" s="30">
        <f>SUM($F$5:$F125)-SUM($E$5:$E125)</f>
        <v>919812.08000000031</v>
      </c>
      <c r="J125" s="30">
        <f t="shared" si="1"/>
        <v>0</v>
      </c>
    </row>
    <row r="126" spans="1:10" x14ac:dyDescent="0.75">
      <c r="A126" s="1" t="s">
        <v>869</v>
      </c>
      <c r="B126" s="1" t="s">
        <v>869</v>
      </c>
      <c r="C126" s="1" t="s">
        <v>871</v>
      </c>
      <c r="E126" s="1">
        <v>388</v>
      </c>
      <c r="F126" s="1" t="s">
        <v>754</v>
      </c>
      <c r="G126" s="1">
        <v>919424.08</v>
      </c>
      <c r="I126" s="30">
        <f>SUM($F$5:$F126)-SUM($E$5:$E126)</f>
        <v>919424.08000000031</v>
      </c>
      <c r="J126" s="30">
        <f t="shared" si="1"/>
        <v>0</v>
      </c>
    </row>
    <row r="127" spans="1:10" x14ac:dyDescent="0.75">
      <c r="A127" s="1" t="s">
        <v>869</v>
      </c>
      <c r="B127" s="1" t="s">
        <v>869</v>
      </c>
      <c r="C127" s="1" t="s">
        <v>872</v>
      </c>
      <c r="E127" s="1">
        <v>3411</v>
      </c>
      <c r="F127" s="1" t="s">
        <v>754</v>
      </c>
      <c r="G127" s="1">
        <v>916013.08</v>
      </c>
      <c r="I127" s="30">
        <f>SUM($F$5:$F127)-SUM($E$5:$E127)</f>
        <v>916013.08000000031</v>
      </c>
      <c r="J127" s="30">
        <f t="shared" si="1"/>
        <v>0</v>
      </c>
    </row>
    <row r="128" spans="1:10" x14ac:dyDescent="0.75">
      <c r="A128" s="1" t="s">
        <v>869</v>
      </c>
      <c r="B128" s="1" t="s">
        <v>869</v>
      </c>
      <c r="C128" s="1" t="s">
        <v>873</v>
      </c>
      <c r="E128" s="1">
        <v>8455.82</v>
      </c>
      <c r="F128" s="1" t="s">
        <v>754</v>
      </c>
      <c r="G128" s="1">
        <v>907557.26</v>
      </c>
      <c r="I128" s="30">
        <f>SUM($F$5:$F128)-SUM($E$5:$E128)</f>
        <v>907557.26000000024</v>
      </c>
      <c r="J128" s="30">
        <f t="shared" si="1"/>
        <v>0</v>
      </c>
    </row>
    <row r="129" spans="1:10" x14ac:dyDescent="0.75">
      <c r="A129" s="1" t="s">
        <v>869</v>
      </c>
      <c r="B129" s="1" t="s">
        <v>869</v>
      </c>
      <c r="C129" s="1" t="s">
        <v>874</v>
      </c>
      <c r="E129" s="1" t="s">
        <v>754</v>
      </c>
      <c r="F129" s="1">
        <v>1222.2</v>
      </c>
      <c r="G129" s="1">
        <v>908779.46</v>
      </c>
      <c r="I129" s="30">
        <f>SUM($F$5:$F129)-SUM($E$5:$E129)</f>
        <v>908779.46000000043</v>
      </c>
      <c r="J129" s="30">
        <f t="shared" si="1"/>
        <v>0</v>
      </c>
    </row>
    <row r="130" spans="1:10" x14ac:dyDescent="0.75">
      <c r="A130" s="1" t="s">
        <v>875</v>
      </c>
      <c r="B130" s="1" t="s">
        <v>875</v>
      </c>
      <c r="C130" s="1" t="s">
        <v>876</v>
      </c>
      <c r="E130" s="1" t="s">
        <v>754</v>
      </c>
      <c r="F130" s="1">
        <v>3200</v>
      </c>
      <c r="G130" s="1">
        <v>911979.46</v>
      </c>
      <c r="I130" s="30">
        <f>SUM($F$5:$F130)-SUM($E$5:$E130)</f>
        <v>911979.46000000043</v>
      </c>
      <c r="J130" s="30">
        <f t="shared" si="1"/>
        <v>0</v>
      </c>
    </row>
    <row r="131" spans="1:10" x14ac:dyDescent="0.75">
      <c r="A131" s="1" t="s">
        <v>875</v>
      </c>
      <c r="B131" s="1" t="s">
        <v>875</v>
      </c>
      <c r="C131" s="1" t="s">
        <v>877</v>
      </c>
      <c r="E131" s="1" t="s">
        <v>754</v>
      </c>
      <c r="F131" s="1">
        <v>5890.81</v>
      </c>
      <c r="G131" s="1">
        <v>917870.27</v>
      </c>
      <c r="I131" s="30">
        <f>SUM($F$5:$F131)-SUM($E$5:$E131)</f>
        <v>917870.27000000048</v>
      </c>
      <c r="J131" s="30">
        <f t="shared" si="1"/>
        <v>0</v>
      </c>
    </row>
    <row r="132" spans="1:10" x14ac:dyDescent="0.75">
      <c r="A132" s="1" t="s">
        <v>875</v>
      </c>
      <c r="B132" s="1" t="s">
        <v>875</v>
      </c>
      <c r="C132" s="1" t="s">
        <v>878</v>
      </c>
      <c r="E132" s="1" t="s">
        <v>754</v>
      </c>
      <c r="F132" s="1">
        <v>11314.6</v>
      </c>
      <c r="G132" s="1">
        <v>929184.87</v>
      </c>
      <c r="I132" s="30">
        <f>SUM($F$5:$F132)-SUM($E$5:$E132)</f>
        <v>929184.87000000058</v>
      </c>
      <c r="J132" s="30">
        <f t="shared" si="1"/>
        <v>0</v>
      </c>
    </row>
    <row r="133" spans="1:10" x14ac:dyDescent="0.75">
      <c r="A133" s="1" t="s">
        <v>875</v>
      </c>
      <c r="B133" s="1" t="s">
        <v>875</v>
      </c>
      <c r="C133" s="1" t="s">
        <v>773</v>
      </c>
      <c r="E133" s="1" t="s">
        <v>754</v>
      </c>
      <c r="F133" s="1">
        <v>49332.7</v>
      </c>
      <c r="G133" s="1">
        <v>978517.57</v>
      </c>
      <c r="I133" s="30">
        <f>SUM($F$5:$F133)-SUM($E$5:$E133)</f>
        <v>978517.57000000076</v>
      </c>
      <c r="J133" s="30">
        <f t="shared" si="1"/>
        <v>0</v>
      </c>
    </row>
    <row r="134" spans="1:10" x14ac:dyDescent="0.75">
      <c r="A134" s="1" t="s">
        <v>875</v>
      </c>
      <c r="B134" s="1" t="s">
        <v>875</v>
      </c>
      <c r="C134" s="1" t="s">
        <v>879</v>
      </c>
      <c r="E134" s="1">
        <v>11314.6</v>
      </c>
      <c r="F134" s="1" t="s">
        <v>754</v>
      </c>
      <c r="G134" s="1">
        <v>967202.97</v>
      </c>
      <c r="I134" s="30">
        <f>SUM($F$5:$F134)-SUM($E$5:$E134)</f>
        <v>967202.97000000067</v>
      </c>
      <c r="J134" s="30">
        <f t="shared" ref="J134:J197" si="2">I134-G134</f>
        <v>0</v>
      </c>
    </row>
    <row r="135" spans="1:10" x14ac:dyDescent="0.75">
      <c r="A135" s="1" t="s">
        <v>875</v>
      </c>
      <c r="B135" s="1" t="s">
        <v>875</v>
      </c>
      <c r="C135" s="1" t="s">
        <v>880</v>
      </c>
      <c r="E135" s="1">
        <v>247.35</v>
      </c>
      <c r="F135" s="1" t="s">
        <v>754</v>
      </c>
      <c r="G135" s="1">
        <v>966955.62</v>
      </c>
      <c r="I135" s="30">
        <f>SUM($F$5:$F135)-SUM($E$5:$E135)</f>
        <v>966955.62000000058</v>
      </c>
      <c r="J135" s="30">
        <f t="shared" si="2"/>
        <v>0</v>
      </c>
    </row>
    <row r="136" spans="1:10" x14ac:dyDescent="0.75">
      <c r="A136" s="1" t="s">
        <v>875</v>
      </c>
      <c r="B136" s="1" t="s">
        <v>875</v>
      </c>
      <c r="C136" s="1" t="s">
        <v>881</v>
      </c>
      <c r="E136" s="1">
        <v>613.11</v>
      </c>
      <c r="F136" s="1" t="s">
        <v>754</v>
      </c>
      <c r="G136" s="1">
        <v>966342.51</v>
      </c>
      <c r="I136" s="30">
        <f>SUM($F$5:$F136)-SUM($E$5:$E136)</f>
        <v>966342.51000000047</v>
      </c>
      <c r="J136" s="30">
        <f t="shared" si="2"/>
        <v>0</v>
      </c>
    </row>
    <row r="137" spans="1:10" x14ac:dyDescent="0.75">
      <c r="A137" s="1" t="s">
        <v>875</v>
      </c>
      <c r="B137" s="1" t="s">
        <v>875</v>
      </c>
      <c r="C137" s="1" t="s">
        <v>882</v>
      </c>
      <c r="E137" s="1">
        <v>1222.2</v>
      </c>
      <c r="F137" s="1" t="s">
        <v>754</v>
      </c>
      <c r="G137" s="1">
        <v>965120.31</v>
      </c>
      <c r="I137" s="30">
        <f>SUM($F$5:$F137)-SUM($E$5:$E137)</f>
        <v>965120.31000000052</v>
      </c>
      <c r="J137" s="30">
        <f t="shared" si="2"/>
        <v>0</v>
      </c>
    </row>
    <row r="138" spans="1:10" x14ac:dyDescent="0.75">
      <c r="A138" s="1" t="s">
        <v>875</v>
      </c>
      <c r="B138" s="1" t="s">
        <v>875</v>
      </c>
      <c r="C138" s="1" t="s">
        <v>883</v>
      </c>
      <c r="E138" s="1">
        <v>3200</v>
      </c>
      <c r="F138" s="1" t="s">
        <v>754</v>
      </c>
      <c r="G138" s="1">
        <v>961920.31</v>
      </c>
      <c r="I138" s="30">
        <f>SUM($F$5:$F138)-SUM($E$5:$E138)</f>
        <v>961920.31000000052</v>
      </c>
      <c r="J138" s="30">
        <f t="shared" si="2"/>
        <v>0</v>
      </c>
    </row>
    <row r="139" spans="1:10" x14ac:dyDescent="0.75">
      <c r="A139" s="1" t="s">
        <v>875</v>
      </c>
      <c r="B139" s="1" t="s">
        <v>875</v>
      </c>
      <c r="C139" s="1" t="s">
        <v>884</v>
      </c>
      <c r="E139" s="1">
        <v>5890.81</v>
      </c>
      <c r="F139" s="1" t="s">
        <v>754</v>
      </c>
      <c r="G139" s="1">
        <v>956029.5</v>
      </c>
      <c r="I139" s="30">
        <f>SUM($F$5:$F139)-SUM($E$5:$E139)</f>
        <v>956029.50000000047</v>
      </c>
      <c r="J139" s="30">
        <f t="shared" si="2"/>
        <v>0</v>
      </c>
    </row>
    <row r="140" spans="1:10" x14ac:dyDescent="0.75">
      <c r="A140" s="1" t="s">
        <v>875</v>
      </c>
      <c r="B140" s="1" t="s">
        <v>875</v>
      </c>
      <c r="C140" s="1" t="s">
        <v>885</v>
      </c>
      <c r="E140" s="1">
        <v>12</v>
      </c>
      <c r="F140" s="1" t="s">
        <v>754</v>
      </c>
      <c r="G140" s="1">
        <v>956017.5</v>
      </c>
      <c r="I140" s="30">
        <f>SUM($F$5:$F140)-SUM($E$5:$E140)</f>
        <v>956017.50000000047</v>
      </c>
      <c r="J140" s="30">
        <f t="shared" si="2"/>
        <v>0</v>
      </c>
    </row>
    <row r="141" spans="1:10" x14ac:dyDescent="0.75">
      <c r="A141" s="1" t="s">
        <v>875</v>
      </c>
      <c r="B141" s="1" t="s">
        <v>875</v>
      </c>
      <c r="C141" s="1" t="s">
        <v>886</v>
      </c>
      <c r="E141" s="1">
        <v>12</v>
      </c>
      <c r="F141" s="1" t="s">
        <v>754</v>
      </c>
      <c r="G141" s="1">
        <v>956005.5</v>
      </c>
      <c r="I141" s="30">
        <f>SUM($F$5:$F141)-SUM($E$5:$E141)</f>
        <v>956005.50000000047</v>
      </c>
      <c r="J141" s="30">
        <f t="shared" si="2"/>
        <v>0</v>
      </c>
    </row>
    <row r="142" spans="1:10" x14ac:dyDescent="0.75">
      <c r="A142" s="1" t="s">
        <v>875</v>
      </c>
      <c r="B142" s="1" t="s">
        <v>875</v>
      </c>
      <c r="C142" s="1" t="s">
        <v>887</v>
      </c>
      <c r="E142" s="1">
        <v>12</v>
      </c>
      <c r="F142" s="1" t="s">
        <v>754</v>
      </c>
      <c r="G142" s="1">
        <v>955993.5</v>
      </c>
      <c r="I142" s="30">
        <f>SUM($F$5:$F142)-SUM($E$5:$E142)</f>
        <v>955993.50000000047</v>
      </c>
      <c r="J142" s="30">
        <f t="shared" si="2"/>
        <v>0</v>
      </c>
    </row>
    <row r="143" spans="1:10" x14ac:dyDescent="0.75">
      <c r="A143" s="1" t="s">
        <v>875</v>
      </c>
      <c r="B143" s="1" t="s">
        <v>875</v>
      </c>
      <c r="C143" s="1" t="s">
        <v>888</v>
      </c>
      <c r="E143" s="1">
        <v>12</v>
      </c>
      <c r="F143" s="1" t="s">
        <v>754</v>
      </c>
      <c r="G143" s="1">
        <v>955981.5</v>
      </c>
      <c r="I143" s="30">
        <f>SUM($F$5:$F143)-SUM($E$5:$E143)</f>
        <v>955981.50000000047</v>
      </c>
      <c r="J143" s="30">
        <f t="shared" si="2"/>
        <v>0</v>
      </c>
    </row>
    <row r="144" spans="1:10" x14ac:dyDescent="0.75">
      <c r="A144" s="1" t="s">
        <v>875</v>
      </c>
      <c r="B144" s="1" t="s">
        <v>875</v>
      </c>
      <c r="C144" s="1" t="s">
        <v>889</v>
      </c>
      <c r="E144" s="1" t="s">
        <v>754</v>
      </c>
      <c r="F144" s="1">
        <v>500000</v>
      </c>
      <c r="G144" s="1">
        <v>1455981.5</v>
      </c>
      <c r="I144" s="30">
        <f>SUM($F$5:$F144)-SUM($E$5:$E144)</f>
        <v>1455981.5000000005</v>
      </c>
      <c r="J144" s="30">
        <f t="shared" si="2"/>
        <v>0</v>
      </c>
    </row>
    <row r="145" spans="1:10" x14ac:dyDescent="0.75">
      <c r="A145" s="1" t="s">
        <v>890</v>
      </c>
      <c r="B145" s="1" t="s">
        <v>890</v>
      </c>
      <c r="C145" s="1" t="s">
        <v>773</v>
      </c>
      <c r="E145" s="1" t="s">
        <v>754</v>
      </c>
      <c r="F145" s="1">
        <v>15202.77</v>
      </c>
      <c r="G145" s="1">
        <v>1471184.27</v>
      </c>
      <c r="I145" s="30">
        <f>SUM($F$5:$F145)-SUM($E$5:$E145)</f>
        <v>1471184.2700000005</v>
      </c>
      <c r="J145" s="30">
        <f t="shared" si="2"/>
        <v>0</v>
      </c>
    </row>
    <row r="146" spans="1:10" x14ac:dyDescent="0.75">
      <c r="A146" s="1" t="s">
        <v>890</v>
      </c>
      <c r="B146" s="1" t="s">
        <v>890</v>
      </c>
      <c r="C146" s="1" t="s">
        <v>891</v>
      </c>
      <c r="E146" s="1">
        <v>538.35</v>
      </c>
      <c r="F146" s="1" t="s">
        <v>754</v>
      </c>
      <c r="G146" s="1">
        <v>1470645.92</v>
      </c>
      <c r="I146" s="30">
        <f>SUM($F$5:$F146)-SUM($E$5:$E146)</f>
        <v>1470645.9200000004</v>
      </c>
      <c r="J146" s="30">
        <f t="shared" si="2"/>
        <v>0</v>
      </c>
    </row>
    <row r="147" spans="1:10" x14ac:dyDescent="0.75">
      <c r="A147" s="1" t="s">
        <v>890</v>
      </c>
      <c r="B147" s="1" t="s">
        <v>890</v>
      </c>
      <c r="C147" s="1" t="s">
        <v>892</v>
      </c>
      <c r="E147" s="1">
        <v>5890.81</v>
      </c>
      <c r="F147" s="1" t="s">
        <v>754</v>
      </c>
      <c r="G147" s="1">
        <v>1464755.11</v>
      </c>
      <c r="I147" s="30">
        <f>SUM($F$5:$F147)-SUM($E$5:$E147)</f>
        <v>1464755.1100000003</v>
      </c>
      <c r="J147" s="30">
        <f t="shared" si="2"/>
        <v>0</v>
      </c>
    </row>
    <row r="148" spans="1:10" x14ac:dyDescent="0.75">
      <c r="A148" s="1" t="s">
        <v>890</v>
      </c>
      <c r="B148" s="1" t="s">
        <v>890</v>
      </c>
      <c r="C148" s="1" t="s">
        <v>893</v>
      </c>
      <c r="E148" s="1">
        <v>11314.6</v>
      </c>
      <c r="F148" s="1" t="s">
        <v>754</v>
      </c>
      <c r="G148" s="1">
        <v>1453440.51</v>
      </c>
      <c r="I148" s="30">
        <f>SUM($F$5:$F148)-SUM($E$5:$E148)</f>
        <v>1453440.5100000002</v>
      </c>
      <c r="J148" s="30">
        <f t="shared" si="2"/>
        <v>0</v>
      </c>
    </row>
    <row r="149" spans="1:10" x14ac:dyDescent="0.75">
      <c r="A149" s="1" t="s">
        <v>890</v>
      </c>
      <c r="B149" s="1" t="s">
        <v>890</v>
      </c>
      <c r="C149" s="1" t="s">
        <v>894</v>
      </c>
      <c r="E149" s="1">
        <v>12908.76</v>
      </c>
      <c r="F149" s="1" t="s">
        <v>754</v>
      </c>
      <c r="G149" s="1">
        <v>1440531.75</v>
      </c>
      <c r="I149" s="30">
        <f>SUM($F$5:$F149)-SUM($E$5:$E149)</f>
        <v>1440531.7500000002</v>
      </c>
      <c r="J149" s="30">
        <f t="shared" si="2"/>
        <v>0</v>
      </c>
    </row>
    <row r="150" spans="1:10" x14ac:dyDescent="0.75">
      <c r="A150" s="1" t="s">
        <v>890</v>
      </c>
      <c r="B150" s="1" t="s">
        <v>890</v>
      </c>
      <c r="C150" s="1" t="s">
        <v>895</v>
      </c>
      <c r="E150" s="1">
        <v>815.53</v>
      </c>
      <c r="F150" s="1" t="s">
        <v>754</v>
      </c>
      <c r="G150" s="1">
        <v>1439716.22</v>
      </c>
      <c r="I150" s="30">
        <f>SUM($F$5:$F150)-SUM($E$5:$E150)</f>
        <v>1439716.2200000002</v>
      </c>
      <c r="J150" s="30">
        <f t="shared" si="2"/>
        <v>0</v>
      </c>
    </row>
    <row r="151" spans="1:10" x14ac:dyDescent="0.75">
      <c r="A151" s="1" t="s">
        <v>890</v>
      </c>
      <c r="B151" s="1" t="s">
        <v>890</v>
      </c>
      <c r="C151" s="1" t="s">
        <v>896</v>
      </c>
      <c r="E151" s="1">
        <v>3330</v>
      </c>
      <c r="F151" s="1" t="s">
        <v>754</v>
      </c>
      <c r="G151" s="1">
        <v>1436386.22</v>
      </c>
      <c r="I151" s="30">
        <f>SUM($F$5:$F151)-SUM($E$5:$E151)</f>
        <v>1436386.2200000002</v>
      </c>
      <c r="J151" s="30">
        <f t="shared" si="2"/>
        <v>0</v>
      </c>
    </row>
    <row r="152" spans="1:10" x14ac:dyDescent="0.75">
      <c r="A152" s="1" t="s">
        <v>890</v>
      </c>
      <c r="B152" s="1" t="s">
        <v>890</v>
      </c>
      <c r="C152" s="1" t="s">
        <v>897</v>
      </c>
      <c r="E152" s="1">
        <v>4656</v>
      </c>
      <c r="F152" s="1" t="s">
        <v>754</v>
      </c>
      <c r="G152" s="1">
        <v>1431730.22</v>
      </c>
      <c r="I152" s="30">
        <f>SUM($F$5:$F152)-SUM($E$5:$E152)</f>
        <v>1431730.2200000002</v>
      </c>
      <c r="J152" s="30">
        <f t="shared" si="2"/>
        <v>0</v>
      </c>
    </row>
    <row r="153" spans="1:10" x14ac:dyDescent="0.75">
      <c r="A153" s="1" t="s">
        <v>890</v>
      </c>
      <c r="B153" s="1" t="s">
        <v>890</v>
      </c>
      <c r="C153" s="1" t="s">
        <v>898</v>
      </c>
      <c r="E153" s="1">
        <v>6451.88</v>
      </c>
      <c r="F153" s="1" t="s">
        <v>754</v>
      </c>
      <c r="G153" s="1">
        <v>1425278.34</v>
      </c>
      <c r="I153" s="30">
        <f>SUM($F$5:$F153)-SUM($E$5:$E153)</f>
        <v>1425278.3400000003</v>
      </c>
      <c r="J153" s="30">
        <f t="shared" si="2"/>
        <v>0</v>
      </c>
    </row>
    <row r="154" spans="1:10" x14ac:dyDescent="0.75">
      <c r="A154" s="1" t="s">
        <v>890</v>
      </c>
      <c r="B154" s="1" t="s">
        <v>890</v>
      </c>
      <c r="C154" s="1" t="s">
        <v>899</v>
      </c>
      <c r="E154" s="1">
        <v>12436.38</v>
      </c>
      <c r="F154" s="1" t="s">
        <v>754</v>
      </c>
      <c r="G154" s="1">
        <v>1412841.96</v>
      </c>
      <c r="I154" s="30">
        <f>SUM($F$5:$F154)-SUM($E$5:$E154)</f>
        <v>1412841.9600000004</v>
      </c>
      <c r="J154" s="30">
        <f t="shared" si="2"/>
        <v>0</v>
      </c>
    </row>
    <row r="155" spans="1:10" x14ac:dyDescent="0.75">
      <c r="A155" s="1" t="s">
        <v>890</v>
      </c>
      <c r="B155" s="1" t="s">
        <v>890</v>
      </c>
      <c r="C155" s="1" t="s">
        <v>900</v>
      </c>
      <c r="E155" s="1">
        <v>15208.65</v>
      </c>
      <c r="F155" s="1" t="s">
        <v>754</v>
      </c>
      <c r="G155" s="1">
        <v>1397633.31</v>
      </c>
      <c r="I155" s="30">
        <f>SUM($F$5:$F155)-SUM($E$5:$E155)</f>
        <v>1397633.3100000005</v>
      </c>
      <c r="J155" s="30">
        <f t="shared" si="2"/>
        <v>0</v>
      </c>
    </row>
    <row r="156" spans="1:10" x14ac:dyDescent="0.75">
      <c r="A156" s="1" t="s">
        <v>890</v>
      </c>
      <c r="B156" s="1" t="s">
        <v>890</v>
      </c>
      <c r="C156" s="1" t="s">
        <v>901</v>
      </c>
      <c r="E156" s="1">
        <v>50801.72</v>
      </c>
      <c r="F156" s="1" t="s">
        <v>754</v>
      </c>
      <c r="G156" s="1">
        <v>1346831.59</v>
      </c>
      <c r="I156" s="30">
        <f>SUM($F$5:$F156)-SUM($E$5:$E156)</f>
        <v>1346831.5900000005</v>
      </c>
      <c r="J156" s="30">
        <f t="shared" si="2"/>
        <v>0</v>
      </c>
    </row>
    <row r="157" spans="1:10" x14ac:dyDescent="0.75">
      <c r="A157" s="1" t="s">
        <v>890</v>
      </c>
      <c r="B157" s="1" t="s">
        <v>890</v>
      </c>
      <c r="C157" s="1" t="s">
        <v>902</v>
      </c>
      <c r="E157" s="1">
        <v>143538.81</v>
      </c>
      <c r="F157" s="1" t="s">
        <v>754</v>
      </c>
      <c r="G157" s="1">
        <v>1203292.78</v>
      </c>
      <c r="I157" s="30">
        <f>SUM($F$5:$F157)-SUM($E$5:$E157)</f>
        <v>1203292.7800000005</v>
      </c>
      <c r="J157" s="30">
        <f t="shared" si="2"/>
        <v>0</v>
      </c>
    </row>
    <row r="158" spans="1:10" x14ac:dyDescent="0.75">
      <c r="A158" s="1" t="s">
        <v>890</v>
      </c>
      <c r="B158" s="1" t="s">
        <v>890</v>
      </c>
      <c r="C158" s="1" t="s">
        <v>903</v>
      </c>
      <c r="E158" s="1">
        <v>247822.73</v>
      </c>
      <c r="F158" s="1" t="s">
        <v>754</v>
      </c>
      <c r="G158" s="1">
        <v>955470.05</v>
      </c>
      <c r="I158" s="30">
        <f>SUM($F$5:$F158)-SUM($E$5:$E158)</f>
        <v>955470.05000000051</v>
      </c>
      <c r="J158" s="30">
        <f t="shared" si="2"/>
        <v>0</v>
      </c>
    </row>
    <row r="159" spans="1:10" x14ac:dyDescent="0.75">
      <c r="A159" s="1" t="s">
        <v>890</v>
      </c>
      <c r="B159" s="1" t="s">
        <v>890</v>
      </c>
      <c r="C159" s="1" t="s">
        <v>904</v>
      </c>
      <c r="E159" s="1">
        <v>336089.13</v>
      </c>
      <c r="F159" s="1" t="s">
        <v>754</v>
      </c>
      <c r="G159" s="1">
        <v>619380.92000000004</v>
      </c>
      <c r="I159" s="30">
        <f>SUM($F$5:$F159)-SUM($E$5:$E159)</f>
        <v>619380.92000000039</v>
      </c>
      <c r="J159" s="30">
        <f t="shared" si="2"/>
        <v>0</v>
      </c>
    </row>
    <row r="160" spans="1:10" x14ac:dyDescent="0.75">
      <c r="A160" s="1" t="s">
        <v>890</v>
      </c>
      <c r="B160" s="1" t="s">
        <v>890</v>
      </c>
      <c r="C160" s="1" t="s">
        <v>905</v>
      </c>
      <c r="E160" s="1">
        <v>633.79</v>
      </c>
      <c r="F160" s="1" t="s">
        <v>754</v>
      </c>
      <c r="G160" s="1">
        <v>618747.13</v>
      </c>
      <c r="I160" s="30">
        <f>SUM($F$5:$F160)-SUM($E$5:$E160)</f>
        <v>618747.13000000035</v>
      </c>
      <c r="J160" s="30">
        <f t="shared" si="2"/>
        <v>0</v>
      </c>
    </row>
    <row r="161" spans="1:10" x14ac:dyDescent="0.75">
      <c r="A161" s="1" t="s">
        <v>906</v>
      </c>
      <c r="B161" s="1" t="s">
        <v>906</v>
      </c>
      <c r="C161" s="1" t="s">
        <v>907</v>
      </c>
      <c r="E161" s="1">
        <v>720</v>
      </c>
      <c r="F161" s="1" t="s">
        <v>754</v>
      </c>
      <c r="G161" s="1">
        <v>618027.13</v>
      </c>
      <c r="I161" s="30">
        <f>SUM($F$5:$F161)-SUM($E$5:$E161)</f>
        <v>618027.13000000035</v>
      </c>
      <c r="J161" s="30">
        <f t="shared" si="2"/>
        <v>0</v>
      </c>
    </row>
    <row r="162" spans="1:10" x14ac:dyDescent="0.75">
      <c r="A162" s="1" t="s">
        <v>906</v>
      </c>
      <c r="B162" s="1" t="s">
        <v>906</v>
      </c>
      <c r="C162" s="1" t="s">
        <v>908</v>
      </c>
      <c r="E162" s="1">
        <v>737.2</v>
      </c>
      <c r="F162" s="1" t="s">
        <v>754</v>
      </c>
      <c r="G162" s="1">
        <v>617289.93000000005</v>
      </c>
      <c r="I162" s="30">
        <f>SUM($F$5:$F162)-SUM($E$5:$E162)</f>
        <v>617289.93000000017</v>
      </c>
      <c r="J162" s="30">
        <f t="shared" si="2"/>
        <v>0</v>
      </c>
    </row>
    <row r="163" spans="1:10" x14ac:dyDescent="0.75">
      <c r="A163" s="1" t="s">
        <v>906</v>
      </c>
      <c r="B163" s="1" t="s">
        <v>906</v>
      </c>
      <c r="C163" s="1" t="s">
        <v>909</v>
      </c>
      <c r="E163" s="1">
        <v>785.4</v>
      </c>
      <c r="F163" s="1" t="s">
        <v>754</v>
      </c>
      <c r="G163" s="1">
        <v>616504.53</v>
      </c>
      <c r="I163" s="30">
        <f>SUM($F$5:$F163)-SUM($E$5:$E163)</f>
        <v>616504.53000000026</v>
      </c>
      <c r="J163" s="30">
        <f t="shared" si="2"/>
        <v>0</v>
      </c>
    </row>
    <row r="164" spans="1:10" x14ac:dyDescent="0.75">
      <c r="A164" s="1" t="s">
        <v>906</v>
      </c>
      <c r="B164" s="1" t="s">
        <v>906</v>
      </c>
      <c r="C164" s="1" t="s">
        <v>910</v>
      </c>
      <c r="E164" s="1">
        <v>823.93</v>
      </c>
      <c r="F164" s="1" t="s">
        <v>754</v>
      </c>
      <c r="G164" s="1">
        <v>615680.6</v>
      </c>
      <c r="I164" s="30">
        <f>SUM($F$5:$F164)-SUM($E$5:$E164)</f>
        <v>615680.60000000009</v>
      </c>
      <c r="J164" s="30">
        <f t="shared" si="2"/>
        <v>0</v>
      </c>
    </row>
    <row r="165" spans="1:10" x14ac:dyDescent="0.75">
      <c r="A165" s="1" t="s">
        <v>906</v>
      </c>
      <c r="B165" s="1" t="s">
        <v>906</v>
      </c>
      <c r="F165" s="1" t="s">
        <v>754</v>
      </c>
      <c r="G165" s="30">
        <v>615680.6</v>
      </c>
      <c r="I165" s="30">
        <f>SUM($F$5:$F165)-SUM($E$5:$E165)</f>
        <v>615680.60000000009</v>
      </c>
      <c r="J165" s="30">
        <f t="shared" si="2"/>
        <v>0</v>
      </c>
    </row>
    <row r="166" spans="1:10" x14ac:dyDescent="0.75">
      <c r="A166" s="1" t="s">
        <v>911</v>
      </c>
      <c r="B166" s="1" t="s">
        <v>911</v>
      </c>
      <c r="C166" s="1" t="s">
        <v>1496</v>
      </c>
      <c r="E166" s="30">
        <v>1000</v>
      </c>
      <c r="F166" s="1" t="s">
        <v>754</v>
      </c>
      <c r="G166" s="30">
        <v>614680.6</v>
      </c>
      <c r="I166" s="30">
        <f>SUM($F$5:$F166)-SUM($E$5:$E166)</f>
        <v>614680.60000000009</v>
      </c>
      <c r="J166" s="30">
        <f t="shared" si="2"/>
        <v>0</v>
      </c>
    </row>
    <row r="167" spans="1:10" x14ac:dyDescent="0.75">
      <c r="A167" s="1" t="s">
        <v>911</v>
      </c>
      <c r="B167" s="1" t="s">
        <v>911</v>
      </c>
      <c r="C167" s="1" t="s">
        <v>912</v>
      </c>
      <c r="E167" s="30">
        <v>4293</v>
      </c>
      <c r="F167" s="1" t="s">
        <v>754</v>
      </c>
      <c r="G167" s="30">
        <v>610387.6</v>
      </c>
      <c r="I167" s="30">
        <f>SUM($F$5:$F167)-SUM($E$5:$E167)</f>
        <v>610387.60000000009</v>
      </c>
      <c r="J167" s="30">
        <f t="shared" si="2"/>
        <v>0</v>
      </c>
    </row>
    <row r="168" spans="1:10" x14ac:dyDescent="0.75">
      <c r="A168" s="1" t="s">
        <v>911</v>
      </c>
      <c r="B168" s="1" t="s">
        <v>911</v>
      </c>
      <c r="C168" s="1" t="s">
        <v>913</v>
      </c>
      <c r="E168" s="30">
        <v>6370.19</v>
      </c>
      <c r="F168" s="1" t="s">
        <v>754</v>
      </c>
      <c r="G168" s="30">
        <v>604017.41</v>
      </c>
      <c r="I168" s="30">
        <f>SUM($F$5:$F168)-SUM($E$5:$E168)</f>
        <v>604017.41000000015</v>
      </c>
      <c r="J168" s="30">
        <f t="shared" si="2"/>
        <v>0</v>
      </c>
    </row>
    <row r="169" spans="1:10" x14ac:dyDescent="0.75">
      <c r="A169" s="1" t="s">
        <v>911</v>
      </c>
      <c r="B169" s="1" t="s">
        <v>915</v>
      </c>
      <c r="C169" s="1" t="s">
        <v>914</v>
      </c>
      <c r="E169" s="30">
        <v>4134.6099999999997</v>
      </c>
      <c r="F169" s="1" t="s">
        <v>754</v>
      </c>
      <c r="G169" s="30">
        <v>599882.80000000005</v>
      </c>
      <c r="I169" s="30">
        <f>SUM($F$5:$F169)-SUM($E$5:$E169)</f>
        <v>599882.80000000028</v>
      </c>
      <c r="J169" s="30">
        <f t="shared" si="2"/>
        <v>0</v>
      </c>
    </row>
    <row r="170" spans="1:10" x14ac:dyDescent="0.75">
      <c r="A170" s="1" t="s">
        <v>915</v>
      </c>
      <c r="B170" s="1" t="s">
        <v>915</v>
      </c>
      <c r="C170" s="1" t="s">
        <v>916</v>
      </c>
      <c r="E170" s="30">
        <v>6628.01</v>
      </c>
      <c r="F170" s="1" t="s">
        <v>754</v>
      </c>
      <c r="G170" s="30">
        <v>593254.79</v>
      </c>
      <c r="I170" s="30">
        <f>SUM($F$5:$F170)-SUM($E$5:$E170)</f>
        <v>593254.7900000005</v>
      </c>
      <c r="J170" s="30">
        <f t="shared" si="2"/>
        <v>0</v>
      </c>
    </row>
    <row r="171" spans="1:10" x14ac:dyDescent="0.75">
      <c r="A171" s="1" t="s">
        <v>915</v>
      </c>
      <c r="B171" s="1" t="s">
        <v>915</v>
      </c>
      <c r="C171" s="1" t="s">
        <v>917</v>
      </c>
      <c r="E171" s="1">
        <v>927</v>
      </c>
      <c r="F171" s="1" t="s">
        <v>754</v>
      </c>
      <c r="G171" s="30">
        <v>592327.79</v>
      </c>
      <c r="I171" s="30">
        <f>SUM($F$5:$F171)-SUM($E$5:$E171)</f>
        <v>592327.7900000005</v>
      </c>
      <c r="J171" s="30">
        <f t="shared" si="2"/>
        <v>0</v>
      </c>
    </row>
    <row r="172" spans="1:10" x14ac:dyDescent="0.75">
      <c r="A172" s="1" t="s">
        <v>915</v>
      </c>
      <c r="B172" s="1" t="s">
        <v>918</v>
      </c>
      <c r="C172" s="1" t="s">
        <v>773</v>
      </c>
      <c r="E172" s="1" t="s">
        <v>754</v>
      </c>
      <c r="F172" s="30">
        <v>53494.5</v>
      </c>
      <c r="G172" s="30">
        <v>645822.29</v>
      </c>
      <c r="I172" s="30">
        <f>SUM($F$5:$F172)-SUM($E$5:$E172)</f>
        <v>645822.2900000005</v>
      </c>
      <c r="J172" s="30">
        <f t="shared" si="2"/>
        <v>0</v>
      </c>
    </row>
    <row r="173" spans="1:10" x14ac:dyDescent="0.75">
      <c r="A173" s="1" t="s">
        <v>918</v>
      </c>
      <c r="B173" s="1" t="s">
        <v>918</v>
      </c>
      <c r="C173" s="1" t="s">
        <v>919</v>
      </c>
      <c r="E173" s="1">
        <v>767.55</v>
      </c>
      <c r="F173" s="1" t="s">
        <v>754</v>
      </c>
      <c r="G173" s="30">
        <v>645054.74</v>
      </c>
      <c r="I173" s="30">
        <f>SUM($F$5:$F173)-SUM($E$5:$E173)</f>
        <v>645054.74000000069</v>
      </c>
      <c r="J173" s="30">
        <f t="shared" si="2"/>
        <v>0</v>
      </c>
    </row>
    <row r="174" spans="1:10" x14ac:dyDescent="0.75">
      <c r="A174" s="1" t="s">
        <v>918</v>
      </c>
      <c r="B174" s="1" t="s">
        <v>918</v>
      </c>
      <c r="C174" s="1" t="s">
        <v>920</v>
      </c>
      <c r="E174" s="30">
        <v>5238.87</v>
      </c>
      <c r="F174" s="1" t="s">
        <v>754</v>
      </c>
      <c r="G174" s="30">
        <v>639815.87</v>
      </c>
      <c r="I174" s="30">
        <f>SUM($F$5:$F174)-SUM($E$5:$E174)</f>
        <v>639815.87000000058</v>
      </c>
      <c r="J174" s="30">
        <f t="shared" si="2"/>
        <v>0</v>
      </c>
    </row>
    <row r="175" spans="1:10" x14ac:dyDescent="0.75">
      <c r="A175" s="1" t="s">
        <v>918</v>
      </c>
      <c r="C175" s="1" t="s">
        <v>773</v>
      </c>
      <c r="E175" s="1" t="s">
        <v>754</v>
      </c>
      <c r="F175" s="1">
        <v>29366.639999999999</v>
      </c>
      <c r="G175" s="1">
        <v>669182.51</v>
      </c>
      <c r="I175" s="30">
        <f>SUM($F$5:$F175)-SUM($E$5:$E175)</f>
        <v>669182.51000000071</v>
      </c>
      <c r="J175" s="30">
        <f t="shared" si="2"/>
        <v>0</v>
      </c>
    </row>
    <row r="176" spans="1:10" x14ac:dyDescent="0.75">
      <c r="A176" s="31">
        <v>43501</v>
      </c>
      <c r="B176" s="31">
        <v>43501</v>
      </c>
      <c r="C176" s="1" t="s">
        <v>922</v>
      </c>
      <c r="E176" s="1">
        <v>6782.89</v>
      </c>
      <c r="F176" s="1" t="s">
        <v>754</v>
      </c>
      <c r="G176" s="30">
        <v>662399.62</v>
      </c>
      <c r="I176" s="30">
        <f>SUM($F$5:$F176)-SUM($E$5:$E176)</f>
        <v>662399.62000000058</v>
      </c>
      <c r="J176" s="30">
        <f t="shared" si="2"/>
        <v>0</v>
      </c>
    </row>
    <row r="177" spans="1:10" x14ac:dyDescent="0.75">
      <c r="A177" s="31">
        <v>43501</v>
      </c>
      <c r="B177" s="31">
        <v>43501</v>
      </c>
      <c r="C177" s="1" t="s">
        <v>773</v>
      </c>
      <c r="E177" s="30" t="s">
        <v>754</v>
      </c>
      <c r="F177" s="1">
        <v>3681.5</v>
      </c>
      <c r="G177" s="30">
        <v>666081.12</v>
      </c>
      <c r="I177" s="30">
        <f>SUM($F$5:$F177)-SUM($E$5:$E177)</f>
        <v>666081.12000000058</v>
      </c>
      <c r="J177" s="30">
        <f t="shared" si="2"/>
        <v>0</v>
      </c>
    </row>
    <row r="178" spans="1:10" x14ac:dyDescent="0.75">
      <c r="A178" s="31">
        <v>43529</v>
      </c>
      <c r="B178" s="31">
        <v>43529</v>
      </c>
      <c r="C178" s="1" t="s">
        <v>923</v>
      </c>
      <c r="E178" s="30">
        <v>2815.24</v>
      </c>
      <c r="F178" s="1" t="s">
        <v>754</v>
      </c>
      <c r="G178" s="30">
        <v>663265.88</v>
      </c>
      <c r="I178" s="30">
        <f>SUM($F$5:$F178)-SUM($E$5:$E178)</f>
        <v>663265.88000000035</v>
      </c>
      <c r="J178" s="30">
        <f t="shared" si="2"/>
        <v>0</v>
      </c>
    </row>
    <row r="179" spans="1:10" x14ac:dyDescent="0.75">
      <c r="A179" s="31">
        <v>43529</v>
      </c>
      <c r="B179" s="31">
        <v>43529</v>
      </c>
      <c r="C179" s="1" t="s">
        <v>924</v>
      </c>
      <c r="E179" s="30">
        <v>3000</v>
      </c>
      <c r="F179" s="1" t="s">
        <v>754</v>
      </c>
      <c r="G179" s="30">
        <v>660265.88</v>
      </c>
      <c r="I179" s="30">
        <f>SUM($F$5:$F179)-SUM($E$5:$E179)</f>
        <v>660265.88000000035</v>
      </c>
      <c r="J179" s="30">
        <f t="shared" si="2"/>
        <v>0</v>
      </c>
    </row>
    <row r="180" spans="1:10" x14ac:dyDescent="0.75">
      <c r="A180" s="31">
        <v>43529</v>
      </c>
      <c r="B180" s="31">
        <v>43529</v>
      </c>
      <c r="C180" s="1" t="s">
        <v>773</v>
      </c>
      <c r="E180" s="30" t="s">
        <v>754</v>
      </c>
      <c r="F180" s="1">
        <v>6336.09</v>
      </c>
      <c r="G180" s="30">
        <v>666601.97</v>
      </c>
      <c r="I180" s="30">
        <f>SUM($F$5:$F180)-SUM($E$5:$E180)</f>
        <v>666601.9700000002</v>
      </c>
      <c r="J180" s="30">
        <f t="shared" si="2"/>
        <v>0</v>
      </c>
    </row>
    <row r="181" spans="1:10" x14ac:dyDescent="0.75">
      <c r="A181" s="31">
        <v>43621</v>
      </c>
      <c r="B181" s="31">
        <v>43621</v>
      </c>
      <c r="C181" s="1" t="s">
        <v>925</v>
      </c>
      <c r="E181" s="30">
        <v>1018.5</v>
      </c>
      <c r="F181" s="1" t="s">
        <v>754</v>
      </c>
      <c r="G181" s="30">
        <v>665583.47</v>
      </c>
      <c r="I181" s="30">
        <f>SUM($F$5:$F181)-SUM($E$5:$E181)</f>
        <v>665583.4700000002</v>
      </c>
      <c r="J181" s="30">
        <f t="shared" si="2"/>
        <v>0</v>
      </c>
    </row>
    <row r="182" spans="1:10" x14ac:dyDescent="0.75">
      <c r="A182" s="31">
        <v>43621</v>
      </c>
      <c r="B182" s="31">
        <v>43621</v>
      </c>
      <c r="C182" s="1" t="s">
        <v>926</v>
      </c>
      <c r="E182" s="1">
        <v>5633.76</v>
      </c>
      <c r="F182" s="1" t="s">
        <v>754</v>
      </c>
      <c r="G182" s="30">
        <v>659949.71</v>
      </c>
      <c r="I182" s="30">
        <f>SUM($F$5:$F182)-SUM($E$5:$E182)</f>
        <v>659949.71000000043</v>
      </c>
      <c r="J182" s="30">
        <f t="shared" si="2"/>
        <v>0</v>
      </c>
    </row>
    <row r="183" spans="1:10" x14ac:dyDescent="0.75">
      <c r="A183" s="31">
        <v>43621</v>
      </c>
      <c r="B183" s="31">
        <v>43621</v>
      </c>
      <c r="C183" s="1" t="s">
        <v>927</v>
      </c>
      <c r="E183" s="1">
        <v>11885.41</v>
      </c>
      <c r="F183" s="30" t="s">
        <v>754</v>
      </c>
      <c r="G183" s="30">
        <v>648064.30000000005</v>
      </c>
      <c r="I183" s="30">
        <f>SUM($F$5:$F183)-SUM($E$5:$E183)</f>
        <v>648064.30000000028</v>
      </c>
      <c r="J183" s="30">
        <f t="shared" si="2"/>
        <v>0</v>
      </c>
    </row>
    <row r="184" spans="1:10" x14ac:dyDescent="0.75">
      <c r="A184" s="31">
        <v>43621</v>
      </c>
      <c r="B184" s="31">
        <v>43621</v>
      </c>
      <c r="C184" s="1" t="s">
        <v>928</v>
      </c>
      <c r="E184" s="1">
        <v>12578.31</v>
      </c>
      <c r="F184" s="1" t="s">
        <v>754</v>
      </c>
      <c r="G184" s="30">
        <v>635485.99</v>
      </c>
      <c r="I184" s="30">
        <f>SUM($F$5:$F184)-SUM($E$5:$E184)</f>
        <v>635485.99000000022</v>
      </c>
      <c r="J184" s="30">
        <f t="shared" si="2"/>
        <v>0</v>
      </c>
    </row>
    <row r="185" spans="1:10" x14ac:dyDescent="0.75">
      <c r="A185" s="31">
        <v>43621</v>
      </c>
      <c r="B185" s="31">
        <v>43621</v>
      </c>
      <c r="C185" s="1" t="s">
        <v>929</v>
      </c>
      <c r="E185" s="30">
        <v>169047.96</v>
      </c>
      <c r="F185" s="1" t="s">
        <v>754</v>
      </c>
      <c r="G185" s="30">
        <v>466438.03</v>
      </c>
      <c r="I185" s="30">
        <f>SUM($F$5:$F185)-SUM($E$5:$E185)</f>
        <v>466438.03000000026</v>
      </c>
      <c r="J185" s="30">
        <f t="shared" si="2"/>
        <v>0</v>
      </c>
    </row>
    <row r="186" spans="1:10" x14ac:dyDescent="0.75">
      <c r="A186" s="31">
        <v>43651</v>
      </c>
      <c r="B186" s="31">
        <v>43651</v>
      </c>
      <c r="C186" s="1" t="s">
        <v>930</v>
      </c>
      <c r="E186" s="1">
        <v>50632.56</v>
      </c>
      <c r="F186" s="1" t="s">
        <v>754</v>
      </c>
      <c r="G186" s="1">
        <v>415805.47</v>
      </c>
      <c r="I186" s="30">
        <f>SUM($F$5:$F186)-SUM($E$5:$E186)</f>
        <v>415805.4700000002</v>
      </c>
      <c r="J186" s="30">
        <f t="shared" si="2"/>
        <v>0</v>
      </c>
    </row>
    <row r="187" spans="1:10" x14ac:dyDescent="0.75">
      <c r="A187" s="31">
        <v>43651</v>
      </c>
      <c r="B187" s="31">
        <v>43651</v>
      </c>
      <c r="C187" s="1" t="s">
        <v>931</v>
      </c>
      <c r="E187" s="1">
        <v>398531.01</v>
      </c>
      <c r="F187" s="1" t="s">
        <v>754</v>
      </c>
      <c r="G187" s="1">
        <v>17274.46</v>
      </c>
      <c r="I187" s="30">
        <f>SUM($F$5:$F187)-SUM($E$5:$E187)</f>
        <v>17274.459999999963</v>
      </c>
      <c r="J187" s="30">
        <f t="shared" si="2"/>
        <v>-3.637978807091713E-11</v>
      </c>
    </row>
    <row r="188" spans="1:10" x14ac:dyDescent="0.75">
      <c r="A188" s="31">
        <v>43651</v>
      </c>
      <c r="B188" s="31">
        <v>43651</v>
      </c>
      <c r="C188" s="1" t="s">
        <v>773</v>
      </c>
      <c r="E188" s="1" t="s">
        <v>754</v>
      </c>
      <c r="F188" s="1">
        <v>29774.6</v>
      </c>
      <c r="G188" s="1">
        <v>47049.06</v>
      </c>
      <c r="I188" s="30">
        <f>SUM($F$5:$F188)-SUM($E$5:$E188)</f>
        <v>47049.060000000056</v>
      </c>
      <c r="J188" s="30">
        <f t="shared" si="2"/>
        <v>5.8207660913467407E-11</v>
      </c>
    </row>
    <row r="189" spans="1:10" x14ac:dyDescent="0.75">
      <c r="A189" s="31">
        <v>43682</v>
      </c>
      <c r="B189" s="31">
        <v>43682</v>
      </c>
      <c r="C189" s="1" t="s">
        <v>932</v>
      </c>
      <c r="E189" s="1">
        <v>1048.07</v>
      </c>
      <c r="F189" s="1" t="s">
        <v>754</v>
      </c>
      <c r="G189" s="1">
        <v>46000.99</v>
      </c>
      <c r="I189" s="30">
        <f>SUM($F$5:$F189)-SUM($E$5:$E189)</f>
        <v>46000.990000000224</v>
      </c>
      <c r="J189" s="30">
        <f t="shared" si="2"/>
        <v>2.255546860396862E-10</v>
      </c>
    </row>
    <row r="190" spans="1:10" x14ac:dyDescent="0.75">
      <c r="A190" s="31">
        <v>43682</v>
      </c>
      <c r="B190" s="31">
        <v>43682</v>
      </c>
      <c r="C190" s="1" t="s">
        <v>933</v>
      </c>
      <c r="E190" s="1">
        <v>1999.92</v>
      </c>
      <c r="F190" s="1" t="s">
        <v>754</v>
      </c>
      <c r="G190" s="1">
        <v>44001.07</v>
      </c>
      <c r="I190" s="30">
        <f>SUM($F$5:$F190)-SUM($E$5:$E190)</f>
        <v>44001.070000000298</v>
      </c>
      <c r="J190" s="30">
        <f t="shared" si="2"/>
        <v>2.9831426218152046E-10</v>
      </c>
    </row>
    <row r="191" spans="1:10" x14ac:dyDescent="0.75">
      <c r="A191" s="31">
        <v>43682</v>
      </c>
      <c r="B191" s="31">
        <v>43682</v>
      </c>
      <c r="C191" s="1" t="s">
        <v>934</v>
      </c>
      <c r="E191" s="1">
        <v>3538.4</v>
      </c>
      <c r="F191" s="1" t="s">
        <v>754</v>
      </c>
      <c r="G191" s="1">
        <v>40462.67</v>
      </c>
      <c r="I191" s="30">
        <f>SUM($F$5:$F191)-SUM($E$5:$E191)</f>
        <v>40462.670000000391</v>
      </c>
      <c r="J191" s="30">
        <f t="shared" si="2"/>
        <v>3.92901711165905E-10</v>
      </c>
    </row>
    <row r="192" spans="1:10" x14ac:dyDescent="0.75">
      <c r="A192" s="31">
        <v>43682</v>
      </c>
      <c r="B192" s="31">
        <v>43682</v>
      </c>
      <c r="C192" s="1" t="s">
        <v>935</v>
      </c>
      <c r="E192" s="1">
        <v>6736.54</v>
      </c>
      <c r="F192" s="1" t="s">
        <v>754</v>
      </c>
      <c r="G192" s="1">
        <v>33726.129999999997</v>
      </c>
      <c r="I192" s="30">
        <f>SUM($F$5:$F192)-SUM($E$5:$E192)</f>
        <v>33726.130000000354</v>
      </c>
      <c r="J192" s="30">
        <f t="shared" si="2"/>
        <v>3.5652192309498787E-10</v>
      </c>
    </row>
    <row r="193" spans="1:10" x14ac:dyDescent="0.75">
      <c r="A193" s="31">
        <v>43682</v>
      </c>
      <c r="B193" s="31">
        <v>43682</v>
      </c>
      <c r="C193" s="1" t="s">
        <v>936</v>
      </c>
      <c r="E193" s="1">
        <v>10563.31</v>
      </c>
      <c r="F193" s="1" t="s">
        <v>754</v>
      </c>
      <c r="G193" s="1">
        <v>23162.82</v>
      </c>
      <c r="I193" s="30">
        <f>SUM($F$5:$F193)-SUM($E$5:$E193)</f>
        <v>23162.820000000298</v>
      </c>
      <c r="J193" s="30">
        <f t="shared" si="2"/>
        <v>2.9831426218152046E-10</v>
      </c>
    </row>
    <row r="194" spans="1:10" x14ac:dyDescent="0.75">
      <c r="A194" s="31">
        <v>43682</v>
      </c>
      <c r="B194" s="31">
        <v>43682</v>
      </c>
      <c r="C194" s="1" t="s">
        <v>937</v>
      </c>
      <c r="E194" s="1">
        <v>11321.55</v>
      </c>
      <c r="F194" s="1" t="s">
        <v>754</v>
      </c>
      <c r="G194" s="1">
        <v>11841.27</v>
      </c>
      <c r="I194" s="30">
        <f>SUM($F$5:$F194)-SUM($E$5:$E194)</f>
        <v>11841.270000000484</v>
      </c>
      <c r="J194" s="30">
        <f t="shared" si="2"/>
        <v>4.8385118134319782E-10</v>
      </c>
    </row>
    <row r="195" spans="1:10" x14ac:dyDescent="0.75">
      <c r="A195" s="31">
        <v>43682</v>
      </c>
      <c r="B195" s="31">
        <v>43682</v>
      </c>
      <c r="C195" s="1" t="s">
        <v>773</v>
      </c>
      <c r="E195" s="1" t="s">
        <v>754</v>
      </c>
      <c r="F195" s="1">
        <v>240933.53</v>
      </c>
      <c r="G195" s="1">
        <v>252774.8</v>
      </c>
      <c r="I195" s="30">
        <f>SUM($F$5:$F195)-SUM($E$5:$E195)</f>
        <v>252774.80000000028</v>
      </c>
      <c r="J195" s="30">
        <f t="shared" si="2"/>
        <v>2.9103830456733704E-10</v>
      </c>
    </row>
    <row r="196" spans="1:10" x14ac:dyDescent="0.75">
      <c r="A196" s="31">
        <v>43713</v>
      </c>
      <c r="B196" s="31">
        <v>43713</v>
      </c>
      <c r="C196" s="1" t="s">
        <v>938</v>
      </c>
      <c r="E196" s="1">
        <v>2328</v>
      </c>
      <c r="F196" s="1" t="s">
        <v>754</v>
      </c>
      <c r="G196" s="1">
        <v>250446.8</v>
      </c>
      <c r="I196" s="30">
        <f>SUM($F$5:$F196)-SUM($E$5:$E196)</f>
        <v>250446.80000000028</v>
      </c>
      <c r="J196" s="30">
        <f t="shared" si="2"/>
        <v>2.9103830456733704E-10</v>
      </c>
    </row>
    <row r="197" spans="1:10" x14ac:dyDescent="0.75">
      <c r="A197" s="31">
        <v>43713</v>
      </c>
      <c r="B197" s="31">
        <v>43713</v>
      </c>
      <c r="C197" s="1" t="s">
        <v>939</v>
      </c>
      <c r="E197" s="1">
        <v>2339.81</v>
      </c>
      <c r="F197" s="1" t="s">
        <v>754</v>
      </c>
      <c r="G197" s="1">
        <v>248106.99</v>
      </c>
      <c r="I197" s="30">
        <f>SUM($F$5:$F197)-SUM($E$5:$E197)</f>
        <v>248106.99000000022</v>
      </c>
      <c r="J197" s="30">
        <f t="shared" si="2"/>
        <v>2.3283064365386963E-10</v>
      </c>
    </row>
    <row r="198" spans="1:10" x14ac:dyDescent="0.75">
      <c r="A198" s="31">
        <v>43713</v>
      </c>
      <c r="B198" s="31">
        <v>43713</v>
      </c>
      <c r="C198" s="1" t="s">
        <v>940</v>
      </c>
      <c r="E198" s="1">
        <v>9740.85</v>
      </c>
      <c r="F198" s="1" t="s">
        <v>754</v>
      </c>
      <c r="G198" s="1">
        <v>238366.14</v>
      </c>
      <c r="I198" s="30">
        <f>SUM($F$5:$F198)-SUM($E$5:$E198)</f>
        <v>238366.14000000013</v>
      </c>
      <c r="J198" s="30">
        <f t="shared" ref="J198:J261" si="3">I198-G198</f>
        <v>0</v>
      </c>
    </row>
    <row r="199" spans="1:10" x14ac:dyDescent="0.75">
      <c r="A199" s="31">
        <v>43713</v>
      </c>
      <c r="B199" s="31">
        <v>43713</v>
      </c>
      <c r="C199" s="1" t="s">
        <v>773</v>
      </c>
      <c r="E199" s="1" t="s">
        <v>754</v>
      </c>
      <c r="F199" s="1">
        <v>19466.009999999998</v>
      </c>
      <c r="G199" s="1">
        <v>257832.15</v>
      </c>
      <c r="I199" s="30">
        <f>SUM($F$5:$F199)-SUM($E$5:$E199)</f>
        <v>257832.14999999991</v>
      </c>
      <c r="J199" s="30">
        <f t="shared" si="3"/>
        <v>0</v>
      </c>
    </row>
    <row r="200" spans="1:10" x14ac:dyDescent="0.75">
      <c r="A200" s="31">
        <v>43743</v>
      </c>
      <c r="B200" s="31">
        <v>43743</v>
      </c>
      <c r="C200" s="1" t="s">
        <v>941</v>
      </c>
      <c r="E200" s="1">
        <v>470</v>
      </c>
      <c r="F200" s="1" t="s">
        <v>754</v>
      </c>
      <c r="G200" s="1">
        <v>257362.15</v>
      </c>
      <c r="I200" s="30">
        <f>SUM($F$5:$F200)-SUM($E$5:$E200)</f>
        <v>257362.14999999991</v>
      </c>
      <c r="J200" s="30">
        <f t="shared" si="3"/>
        <v>0</v>
      </c>
    </row>
    <row r="201" spans="1:10" x14ac:dyDescent="0.75">
      <c r="A201" s="31">
        <v>43743</v>
      </c>
      <c r="B201" s="31">
        <v>43743</v>
      </c>
      <c r="C201" s="1" t="s">
        <v>942</v>
      </c>
      <c r="E201" s="1">
        <v>1130</v>
      </c>
      <c r="F201" s="1" t="s">
        <v>754</v>
      </c>
      <c r="G201" s="1">
        <v>256232.15</v>
      </c>
      <c r="I201" s="30">
        <f>SUM($F$5:$F201)-SUM($E$5:$E201)</f>
        <v>256232.14999999991</v>
      </c>
      <c r="J201" s="30">
        <f t="shared" si="3"/>
        <v>0</v>
      </c>
    </row>
    <row r="202" spans="1:10" x14ac:dyDescent="0.75">
      <c r="A202" s="31">
        <v>43743</v>
      </c>
      <c r="B202" s="31">
        <v>43743</v>
      </c>
      <c r="C202" s="1" t="s">
        <v>943</v>
      </c>
      <c r="E202" s="1">
        <v>1200</v>
      </c>
      <c r="F202" s="1" t="s">
        <v>754</v>
      </c>
      <c r="G202" s="1">
        <v>255032.15</v>
      </c>
      <c r="I202" s="30">
        <f>SUM($F$5:$F202)-SUM($E$5:$E202)</f>
        <v>255032.14999999991</v>
      </c>
      <c r="J202" s="30">
        <f t="shared" si="3"/>
        <v>0</v>
      </c>
    </row>
    <row r="203" spans="1:10" x14ac:dyDescent="0.75">
      <c r="A203" s="31">
        <v>43743</v>
      </c>
      <c r="B203" s="31">
        <v>43743</v>
      </c>
      <c r="C203" s="1" t="s">
        <v>944</v>
      </c>
      <c r="E203" s="1">
        <v>1500</v>
      </c>
      <c r="F203" s="1" t="s">
        <v>754</v>
      </c>
      <c r="G203" s="1">
        <v>253532.15</v>
      </c>
      <c r="I203" s="30">
        <f>SUM($F$5:$F203)-SUM($E$5:$E203)</f>
        <v>253532.14999999991</v>
      </c>
      <c r="J203" s="30">
        <f t="shared" si="3"/>
        <v>0</v>
      </c>
    </row>
    <row r="204" spans="1:10" x14ac:dyDescent="0.75">
      <c r="A204" s="31">
        <v>43743</v>
      </c>
      <c r="B204" s="31">
        <v>43743</v>
      </c>
      <c r="C204" s="1" t="s">
        <v>945</v>
      </c>
      <c r="E204" s="1">
        <v>1670</v>
      </c>
      <c r="F204" s="1" t="s">
        <v>754</v>
      </c>
      <c r="G204" s="1">
        <v>251862.15</v>
      </c>
      <c r="I204" s="30">
        <f>SUM($F$5:$F204)-SUM($E$5:$E204)</f>
        <v>251862.14999999991</v>
      </c>
      <c r="J204" s="30">
        <f t="shared" si="3"/>
        <v>0</v>
      </c>
    </row>
    <row r="205" spans="1:10" x14ac:dyDescent="0.75">
      <c r="A205" s="31">
        <v>43743</v>
      </c>
      <c r="B205" s="31">
        <v>43743</v>
      </c>
      <c r="C205" s="1" t="s">
        <v>946</v>
      </c>
      <c r="E205" s="1">
        <v>1800</v>
      </c>
      <c r="F205" s="1" t="s">
        <v>754</v>
      </c>
      <c r="G205" s="1">
        <v>250062.15</v>
      </c>
      <c r="I205" s="30">
        <f>SUM($F$5:$F205)-SUM($E$5:$E205)</f>
        <v>250062.14999999991</v>
      </c>
      <c r="J205" s="30">
        <f t="shared" si="3"/>
        <v>0</v>
      </c>
    </row>
    <row r="206" spans="1:10" x14ac:dyDescent="0.75">
      <c r="A206" s="31">
        <v>43743</v>
      </c>
      <c r="B206" s="31">
        <v>43743</v>
      </c>
      <c r="C206" s="1" t="s">
        <v>947</v>
      </c>
      <c r="E206" s="1">
        <v>2210.21</v>
      </c>
      <c r="F206" s="1" t="s">
        <v>754</v>
      </c>
      <c r="G206" s="1">
        <v>247851.94</v>
      </c>
      <c r="I206" s="30">
        <f>SUM($F$5:$F206)-SUM($E$5:$E206)</f>
        <v>247851.93999999994</v>
      </c>
      <c r="J206" s="30">
        <f t="shared" si="3"/>
        <v>0</v>
      </c>
    </row>
    <row r="207" spans="1:10" x14ac:dyDescent="0.75">
      <c r="A207" s="31">
        <v>43743</v>
      </c>
      <c r="B207" s="31">
        <v>43743</v>
      </c>
      <c r="C207" s="1" t="s">
        <v>948</v>
      </c>
      <c r="E207" s="1">
        <v>2990.55</v>
      </c>
      <c r="F207" s="1" t="s">
        <v>754</v>
      </c>
      <c r="G207" s="1">
        <v>244861.39</v>
      </c>
      <c r="I207" s="30">
        <f>SUM($F$5:$F207)-SUM($E$5:$E207)</f>
        <v>244861.39000000013</v>
      </c>
      <c r="J207" s="30">
        <f t="shared" si="3"/>
        <v>0</v>
      </c>
    </row>
    <row r="208" spans="1:10" x14ac:dyDescent="0.75">
      <c r="A208" s="31">
        <v>43743</v>
      </c>
      <c r="B208" s="31">
        <v>43743</v>
      </c>
      <c r="C208" s="1" t="s">
        <v>949</v>
      </c>
      <c r="E208" s="1">
        <v>3000</v>
      </c>
      <c r="F208" s="1" t="s">
        <v>754</v>
      </c>
      <c r="G208" s="1">
        <v>241861.39</v>
      </c>
      <c r="I208" s="30">
        <f>SUM($F$5:$F208)-SUM($E$5:$E208)</f>
        <v>241861.39000000013</v>
      </c>
      <c r="J208" s="30">
        <f t="shared" si="3"/>
        <v>0</v>
      </c>
    </row>
    <row r="209" spans="1:10" x14ac:dyDescent="0.75">
      <c r="A209" s="31">
        <v>43743</v>
      </c>
      <c r="B209" s="31">
        <v>43743</v>
      </c>
      <c r="C209" s="1" t="s">
        <v>950</v>
      </c>
      <c r="E209" s="1">
        <v>552.9</v>
      </c>
      <c r="F209" s="1" t="s">
        <v>754</v>
      </c>
      <c r="G209" s="1">
        <v>241308.49</v>
      </c>
      <c r="I209" s="30">
        <f>SUM($F$5:$F209)-SUM($E$5:$E209)</f>
        <v>241308.49000000022</v>
      </c>
      <c r="J209" s="30">
        <f t="shared" si="3"/>
        <v>2.3283064365386963E-10</v>
      </c>
    </row>
    <row r="210" spans="1:10" x14ac:dyDescent="0.75">
      <c r="A210" s="31">
        <v>43743</v>
      </c>
      <c r="B210" s="31">
        <v>43743</v>
      </c>
      <c r="C210" s="1" t="s">
        <v>951</v>
      </c>
      <c r="E210" s="1">
        <v>3395</v>
      </c>
      <c r="F210" s="1" t="s">
        <v>754</v>
      </c>
      <c r="G210" s="1">
        <v>237913.49</v>
      </c>
      <c r="I210" s="30">
        <f>SUM($F$5:$F210)-SUM($E$5:$E210)</f>
        <v>237913.49000000022</v>
      </c>
      <c r="J210" s="30">
        <f t="shared" si="3"/>
        <v>2.3283064365386963E-10</v>
      </c>
    </row>
    <row r="211" spans="1:10" x14ac:dyDescent="0.75">
      <c r="A211" s="31">
        <v>43743</v>
      </c>
      <c r="B211" s="31">
        <v>43743</v>
      </c>
      <c r="C211" s="1" t="s">
        <v>952</v>
      </c>
      <c r="E211" s="1">
        <v>4321.5600000000004</v>
      </c>
      <c r="F211" s="1" t="s">
        <v>754</v>
      </c>
      <c r="G211" s="1">
        <v>233591.93</v>
      </c>
      <c r="I211" s="30">
        <f>SUM($F$5:$F211)-SUM($E$5:$E211)</f>
        <v>233591.93000000017</v>
      </c>
      <c r="J211" s="30">
        <f t="shared" si="3"/>
        <v>0</v>
      </c>
    </row>
    <row r="212" spans="1:10" x14ac:dyDescent="0.75">
      <c r="A212" s="31">
        <v>43743</v>
      </c>
      <c r="B212" s="31">
        <v>43743</v>
      </c>
      <c r="C212" s="1" t="s">
        <v>953</v>
      </c>
      <c r="E212" s="1">
        <v>11559.74</v>
      </c>
      <c r="F212" s="1" t="s">
        <v>754</v>
      </c>
      <c r="G212" s="1">
        <v>222032.19</v>
      </c>
      <c r="I212" s="30">
        <f>SUM($F$5:$F212)-SUM($E$5:$E212)</f>
        <v>222032.18999999994</v>
      </c>
      <c r="J212" s="30">
        <f t="shared" si="3"/>
        <v>0</v>
      </c>
    </row>
    <row r="213" spans="1:10" x14ac:dyDescent="0.75">
      <c r="A213" s="31">
        <v>43743</v>
      </c>
      <c r="B213" s="31">
        <v>43743</v>
      </c>
      <c r="C213" s="1" t="s">
        <v>954</v>
      </c>
      <c r="E213" s="1">
        <v>31355.54</v>
      </c>
      <c r="F213" s="1" t="s">
        <v>754</v>
      </c>
      <c r="G213" s="1">
        <v>190676.65</v>
      </c>
      <c r="I213" s="30">
        <f>SUM($F$5:$F213)-SUM($E$5:$E213)</f>
        <v>190676.64999999991</v>
      </c>
      <c r="J213" s="30">
        <f t="shared" si="3"/>
        <v>0</v>
      </c>
    </row>
    <row r="214" spans="1:10" x14ac:dyDescent="0.75">
      <c r="A214" s="31">
        <v>43743</v>
      </c>
      <c r="B214" s="31">
        <v>43743</v>
      </c>
      <c r="C214" s="1" t="s">
        <v>955</v>
      </c>
      <c r="E214" s="1">
        <v>180493.37</v>
      </c>
      <c r="F214" s="1" t="s">
        <v>754</v>
      </c>
      <c r="G214" s="1">
        <v>10183.280000000001</v>
      </c>
      <c r="I214" s="30">
        <f>SUM($F$5:$F214)-SUM($E$5:$E214)</f>
        <v>10183.279999999795</v>
      </c>
      <c r="J214" s="30">
        <f t="shared" si="3"/>
        <v>-2.0554580260068178E-10</v>
      </c>
    </row>
    <row r="215" spans="1:10" x14ac:dyDescent="0.75">
      <c r="A215" s="31">
        <v>43743</v>
      </c>
      <c r="B215" s="31">
        <v>43743</v>
      </c>
      <c r="C215" s="1" t="s">
        <v>773</v>
      </c>
      <c r="E215" s="1" t="s">
        <v>754</v>
      </c>
      <c r="F215" s="1">
        <v>89832.55</v>
      </c>
      <c r="G215" s="1">
        <v>100015.83</v>
      </c>
      <c r="I215" s="30">
        <f>SUM($F$5:$F215)-SUM($E$5:$E215)</f>
        <v>100015.82999999961</v>
      </c>
      <c r="J215" s="30">
        <f t="shared" si="3"/>
        <v>-3.92901711165905E-10</v>
      </c>
    </row>
    <row r="216" spans="1:10" x14ac:dyDescent="0.75">
      <c r="A216" s="31" t="s">
        <v>956</v>
      </c>
      <c r="B216" s="31" t="s">
        <v>956</v>
      </c>
      <c r="C216" s="1" t="s">
        <v>957</v>
      </c>
      <c r="E216" s="1">
        <v>416.25</v>
      </c>
      <c r="F216" s="1" t="s">
        <v>754</v>
      </c>
      <c r="G216" s="1">
        <v>99599.58</v>
      </c>
      <c r="I216" s="30">
        <f>SUM($F$5:$F216)-SUM($E$5:$E216)</f>
        <v>99599.579999999609</v>
      </c>
      <c r="J216" s="30">
        <f t="shared" si="3"/>
        <v>-3.92901711165905E-10</v>
      </c>
    </row>
    <row r="217" spans="1:10" x14ac:dyDescent="0.75">
      <c r="A217" s="31" t="s">
        <v>956</v>
      </c>
      <c r="B217" s="31" t="s">
        <v>956</v>
      </c>
      <c r="C217" s="1" t="s">
        <v>958</v>
      </c>
      <c r="E217" s="1">
        <v>605.28</v>
      </c>
      <c r="F217" s="1" t="s">
        <v>754</v>
      </c>
      <c r="G217" s="1">
        <v>98994.3</v>
      </c>
      <c r="I217" s="30">
        <f>SUM($F$5:$F217)-SUM($E$5:$E217)</f>
        <v>98994.299999999814</v>
      </c>
      <c r="J217" s="30">
        <f t="shared" si="3"/>
        <v>-1.8917489796876907E-10</v>
      </c>
    </row>
    <row r="218" spans="1:10" x14ac:dyDescent="0.75">
      <c r="A218" s="31" t="s">
        <v>956</v>
      </c>
      <c r="B218" s="31" t="s">
        <v>956</v>
      </c>
      <c r="C218" s="1" t="s">
        <v>959</v>
      </c>
      <c r="E218" s="1">
        <v>1875.01</v>
      </c>
      <c r="F218" s="1" t="s">
        <v>754</v>
      </c>
      <c r="G218" s="1">
        <v>97119.29</v>
      </c>
      <c r="I218" s="30">
        <f>SUM($F$5:$F218)-SUM($E$5:$E218)</f>
        <v>97119.290000000037</v>
      </c>
      <c r="J218" s="30">
        <f t="shared" si="3"/>
        <v>0</v>
      </c>
    </row>
    <row r="219" spans="1:10" x14ac:dyDescent="0.75">
      <c r="A219" s="31" t="s">
        <v>956</v>
      </c>
      <c r="B219" s="31" t="s">
        <v>956</v>
      </c>
      <c r="C219" s="1" t="s">
        <v>960</v>
      </c>
      <c r="E219" s="1">
        <v>4206.5</v>
      </c>
      <c r="F219" s="1" t="s">
        <v>754</v>
      </c>
      <c r="G219" s="1">
        <v>92912.79</v>
      </c>
      <c r="I219" s="30">
        <f>SUM($F$5:$F219)-SUM($E$5:$E219)</f>
        <v>92912.790000000037</v>
      </c>
      <c r="J219" s="30">
        <f t="shared" si="3"/>
        <v>0</v>
      </c>
    </row>
    <row r="220" spans="1:10" x14ac:dyDescent="0.75">
      <c r="A220" s="31" t="s">
        <v>956</v>
      </c>
      <c r="B220" s="31" t="s">
        <v>956</v>
      </c>
      <c r="C220" s="1" t="s">
        <v>961</v>
      </c>
      <c r="E220" s="1">
        <v>5674.5</v>
      </c>
      <c r="F220" s="1" t="s">
        <v>754</v>
      </c>
      <c r="G220" s="1">
        <v>87238.29</v>
      </c>
      <c r="I220" s="30">
        <f>SUM($F$5:$F220)-SUM($E$5:$E220)</f>
        <v>87238.290000000037</v>
      </c>
      <c r="J220" s="30">
        <f t="shared" si="3"/>
        <v>0</v>
      </c>
    </row>
    <row r="221" spans="1:10" x14ac:dyDescent="0.75">
      <c r="A221" s="31" t="s">
        <v>956</v>
      </c>
      <c r="B221" s="31" t="s">
        <v>956</v>
      </c>
      <c r="C221" s="1" t="s">
        <v>962</v>
      </c>
      <c r="E221" s="1">
        <v>6227.4</v>
      </c>
      <c r="F221" s="1" t="s">
        <v>754</v>
      </c>
      <c r="G221" s="1">
        <v>81010.89</v>
      </c>
      <c r="I221" s="30">
        <f>SUM($F$5:$F221)-SUM($E$5:$E221)</f>
        <v>81010.89000000013</v>
      </c>
      <c r="J221" s="30">
        <f t="shared" si="3"/>
        <v>1.3096723705530167E-10</v>
      </c>
    </row>
    <row r="222" spans="1:10" x14ac:dyDescent="0.75">
      <c r="A222" s="31" t="s">
        <v>956</v>
      </c>
      <c r="B222" s="31" t="s">
        <v>956</v>
      </c>
      <c r="C222" s="1" t="s">
        <v>963</v>
      </c>
      <c r="E222" s="1">
        <v>1599.33</v>
      </c>
      <c r="F222" s="1" t="s">
        <v>754</v>
      </c>
      <c r="G222" s="1">
        <v>79411.56</v>
      </c>
      <c r="I222" s="30">
        <f>SUM($F$5:$F222)-SUM($E$5:$E222)</f>
        <v>79411.560000000056</v>
      </c>
      <c r="J222" s="30">
        <f t="shared" si="3"/>
        <v>0</v>
      </c>
    </row>
    <row r="223" spans="1:10" x14ac:dyDescent="0.75">
      <c r="A223" s="31" t="s">
        <v>956</v>
      </c>
      <c r="B223" s="31" t="s">
        <v>956</v>
      </c>
      <c r="C223" s="1" t="s">
        <v>964</v>
      </c>
      <c r="E223" s="1">
        <v>1776</v>
      </c>
      <c r="F223" s="1" t="s">
        <v>754</v>
      </c>
      <c r="G223" s="1">
        <v>77635.56</v>
      </c>
      <c r="I223" s="30">
        <f>SUM($F$5:$F223)-SUM($E$5:$E223)</f>
        <v>77635.560000000056</v>
      </c>
      <c r="J223" s="30">
        <f t="shared" si="3"/>
        <v>0</v>
      </c>
    </row>
    <row r="224" spans="1:10" x14ac:dyDescent="0.75">
      <c r="A224" s="31" t="s">
        <v>956</v>
      </c>
      <c r="B224" s="31" t="s">
        <v>956</v>
      </c>
      <c r="C224" s="1" t="s">
        <v>965</v>
      </c>
      <c r="E224" s="1">
        <v>5061</v>
      </c>
      <c r="F224" s="1" t="s">
        <v>754</v>
      </c>
      <c r="G224" s="1">
        <v>72574.559999999998</v>
      </c>
      <c r="I224" s="30">
        <f>SUM($F$5:$F224)-SUM($E$5:$E224)</f>
        <v>72574.560000000056</v>
      </c>
      <c r="J224" s="30">
        <f t="shared" si="3"/>
        <v>0</v>
      </c>
    </row>
    <row r="225" spans="1:10" x14ac:dyDescent="0.75">
      <c r="A225" s="31" t="s">
        <v>956</v>
      </c>
      <c r="B225" s="31" t="s">
        <v>956</v>
      </c>
      <c r="C225" s="1" t="s">
        <v>966</v>
      </c>
      <c r="E225" s="1">
        <v>6547.02</v>
      </c>
      <c r="F225" s="1" t="s">
        <v>754</v>
      </c>
      <c r="G225" s="1">
        <v>66027.539999999994</v>
      </c>
      <c r="I225" s="30">
        <f>SUM($F$5:$F225)-SUM($E$5:$E225)</f>
        <v>66027.540000000037</v>
      </c>
      <c r="J225" s="30">
        <f t="shared" si="3"/>
        <v>0</v>
      </c>
    </row>
    <row r="226" spans="1:10" x14ac:dyDescent="0.75">
      <c r="A226" s="31" t="s">
        <v>956</v>
      </c>
      <c r="B226" s="31" t="s">
        <v>956</v>
      </c>
      <c r="C226" s="1" t="s">
        <v>967</v>
      </c>
      <c r="E226" s="1">
        <v>9846.67</v>
      </c>
      <c r="F226" s="1" t="s">
        <v>754</v>
      </c>
      <c r="G226" s="1">
        <v>56180.87</v>
      </c>
      <c r="I226" s="30">
        <f>SUM($F$5:$F226)-SUM($E$5:$E226)</f>
        <v>56180.870000000112</v>
      </c>
      <c r="J226" s="30">
        <f t="shared" si="3"/>
        <v>1.0913936421275139E-10</v>
      </c>
    </row>
    <row r="227" spans="1:10" x14ac:dyDescent="0.75">
      <c r="A227" s="31" t="s">
        <v>956</v>
      </c>
      <c r="B227" s="1" t="s">
        <v>956</v>
      </c>
      <c r="C227" s="1" t="s">
        <v>773</v>
      </c>
      <c r="E227" s="1" t="s">
        <v>754</v>
      </c>
      <c r="F227" s="1">
        <v>98883.09</v>
      </c>
      <c r="G227" s="1">
        <v>155063.96</v>
      </c>
      <c r="I227" s="30">
        <f>SUM($F$5:$F227)-SUM($E$5:$E227)</f>
        <v>155063.95999999996</v>
      </c>
      <c r="J227" s="30">
        <f t="shared" si="3"/>
        <v>0</v>
      </c>
    </row>
    <row r="228" spans="1:10" x14ac:dyDescent="0.75">
      <c r="A228" s="31" t="s">
        <v>968</v>
      </c>
      <c r="B228" s="31" t="s">
        <v>968</v>
      </c>
      <c r="C228" s="1" t="s">
        <v>969</v>
      </c>
      <c r="E228" s="1">
        <v>239.44</v>
      </c>
      <c r="F228" s="1" t="s">
        <v>754</v>
      </c>
      <c r="G228" s="1">
        <v>154824.51999999999</v>
      </c>
      <c r="I228" s="30">
        <f>SUM($F$5:$F228)-SUM($E$5:$E228)</f>
        <v>154824.52000000002</v>
      </c>
      <c r="J228" s="30">
        <f t="shared" si="3"/>
        <v>0</v>
      </c>
    </row>
    <row r="229" spans="1:10" x14ac:dyDescent="0.75">
      <c r="A229" s="31" t="s">
        <v>968</v>
      </c>
      <c r="B229" s="31" t="s">
        <v>968</v>
      </c>
      <c r="C229" s="1" t="s">
        <v>970</v>
      </c>
      <c r="E229" s="1">
        <v>416.25</v>
      </c>
      <c r="F229" s="1" t="s">
        <v>754</v>
      </c>
      <c r="G229" s="1">
        <v>154408.26999999999</v>
      </c>
      <c r="I229" s="30">
        <f>SUM($F$5:$F229)-SUM($E$5:$E229)</f>
        <v>154408.27000000002</v>
      </c>
      <c r="J229" s="30">
        <f t="shared" si="3"/>
        <v>0</v>
      </c>
    </row>
    <row r="230" spans="1:10" x14ac:dyDescent="0.75">
      <c r="A230" s="31" t="s">
        <v>968</v>
      </c>
      <c r="B230" s="31" t="s">
        <v>968</v>
      </c>
      <c r="C230" s="1" t="s">
        <v>971</v>
      </c>
      <c r="E230" s="1">
        <v>525.47</v>
      </c>
      <c r="F230" s="1" t="s">
        <v>754</v>
      </c>
      <c r="G230" s="1">
        <v>153882.79999999999</v>
      </c>
      <c r="I230" s="30">
        <f>SUM($F$5:$F230)-SUM($E$5:$E230)</f>
        <v>153882.79999999981</v>
      </c>
      <c r="J230" s="30">
        <f t="shared" si="3"/>
        <v>0</v>
      </c>
    </row>
    <row r="231" spans="1:10" x14ac:dyDescent="0.75">
      <c r="A231" s="31" t="s">
        <v>968</v>
      </c>
      <c r="B231" s="31" t="s">
        <v>968</v>
      </c>
      <c r="C231" s="1" t="s">
        <v>972</v>
      </c>
      <c r="E231" s="1">
        <v>1200</v>
      </c>
      <c r="F231" s="1" t="s">
        <v>754</v>
      </c>
      <c r="G231" s="1">
        <v>152682.79999999999</v>
      </c>
      <c r="I231" s="30">
        <f>SUM($F$5:$F231)-SUM($E$5:$E231)</f>
        <v>152682.79999999981</v>
      </c>
      <c r="J231" s="30">
        <f t="shared" si="3"/>
        <v>0</v>
      </c>
    </row>
    <row r="232" spans="1:10" x14ac:dyDescent="0.75">
      <c r="A232" s="1" t="s">
        <v>968</v>
      </c>
      <c r="B232" s="1" t="s">
        <v>968</v>
      </c>
      <c r="C232" s="1" t="s">
        <v>973</v>
      </c>
      <c r="E232" s="1">
        <v>6111.1</v>
      </c>
      <c r="F232" s="1" t="s">
        <v>754</v>
      </c>
      <c r="G232" s="1">
        <v>146571.70000000001</v>
      </c>
      <c r="I232" s="30">
        <f>SUM($F$5:$F232)-SUM($E$5:$E232)</f>
        <v>146571.69999999972</v>
      </c>
      <c r="J232" s="30">
        <f t="shared" si="3"/>
        <v>-2.9103830456733704E-10</v>
      </c>
    </row>
    <row r="233" spans="1:10" x14ac:dyDescent="0.75">
      <c r="A233" s="1" t="s">
        <v>968</v>
      </c>
      <c r="B233" s="1" t="s">
        <v>968</v>
      </c>
      <c r="C233" s="1" t="s">
        <v>974</v>
      </c>
      <c r="E233" s="1">
        <v>17203.419999999998</v>
      </c>
      <c r="F233" s="1" t="s">
        <v>754</v>
      </c>
      <c r="G233" s="1">
        <v>129368.28</v>
      </c>
      <c r="I233" s="30">
        <f>SUM($F$5:$F233)-SUM($E$5:$E233)</f>
        <v>129368.2799999998</v>
      </c>
      <c r="J233" s="30">
        <f t="shared" si="3"/>
        <v>-2.0372681319713593E-10</v>
      </c>
    </row>
    <row r="234" spans="1:10" x14ac:dyDescent="0.75">
      <c r="A234" s="1" t="s">
        <v>968</v>
      </c>
      <c r="B234" s="1" t="s">
        <v>968</v>
      </c>
      <c r="C234" s="1" t="s">
        <v>773</v>
      </c>
      <c r="E234" s="1" t="s">
        <v>754</v>
      </c>
      <c r="F234" s="1">
        <v>55541.75</v>
      </c>
      <c r="G234" s="1">
        <v>184910.03</v>
      </c>
      <c r="I234" s="30">
        <f>SUM($F$5:$F234)-SUM($E$5:$E234)</f>
        <v>184910.0299999998</v>
      </c>
      <c r="J234" s="30">
        <f t="shared" si="3"/>
        <v>0</v>
      </c>
    </row>
    <row r="235" spans="1:10" x14ac:dyDescent="0.75">
      <c r="A235" s="1" t="s">
        <v>975</v>
      </c>
      <c r="B235" s="1" t="s">
        <v>975</v>
      </c>
      <c r="C235" s="1" t="s">
        <v>976</v>
      </c>
      <c r="E235" s="1">
        <v>485</v>
      </c>
      <c r="F235" s="1" t="s">
        <v>754</v>
      </c>
      <c r="G235" s="1">
        <v>184425.03</v>
      </c>
      <c r="I235" s="30">
        <f>SUM($F$5:$F235)-SUM($E$5:$E235)</f>
        <v>184425.0299999998</v>
      </c>
      <c r="J235" s="30">
        <f t="shared" si="3"/>
        <v>0</v>
      </c>
    </row>
    <row r="236" spans="1:10" x14ac:dyDescent="0.75">
      <c r="A236" s="1" t="s">
        <v>975</v>
      </c>
      <c r="B236" s="1" t="s">
        <v>975</v>
      </c>
      <c r="C236" s="1" t="s">
        <v>977</v>
      </c>
      <c r="E236" s="1">
        <v>2156</v>
      </c>
      <c r="F236" s="1" t="s">
        <v>754</v>
      </c>
      <c r="G236" s="1">
        <v>182269.03</v>
      </c>
      <c r="I236" s="30">
        <f>SUM($F$5:$F236)-SUM($E$5:$E236)</f>
        <v>182269.0299999998</v>
      </c>
      <c r="J236" s="30">
        <f t="shared" si="3"/>
        <v>0</v>
      </c>
    </row>
    <row r="237" spans="1:10" x14ac:dyDescent="0.75">
      <c r="A237" s="1" t="s">
        <v>975</v>
      </c>
      <c r="B237" s="1" t="s">
        <v>975</v>
      </c>
      <c r="C237" s="1" t="s">
        <v>978</v>
      </c>
      <c r="E237" s="1">
        <v>3330</v>
      </c>
      <c r="F237" s="1" t="s">
        <v>754</v>
      </c>
      <c r="G237" s="1">
        <v>178939.03</v>
      </c>
      <c r="I237" s="30">
        <f>SUM($F$5:$F237)-SUM($E$5:$E237)</f>
        <v>178939.0299999998</v>
      </c>
      <c r="J237" s="30">
        <f t="shared" si="3"/>
        <v>0</v>
      </c>
    </row>
    <row r="238" spans="1:10" x14ac:dyDescent="0.75">
      <c r="A238" s="1" t="s">
        <v>975</v>
      </c>
      <c r="B238" s="1" t="s">
        <v>975</v>
      </c>
      <c r="C238" s="1" t="s">
        <v>979</v>
      </c>
      <c r="E238" s="1">
        <v>1000</v>
      </c>
      <c r="F238" s="1" t="s">
        <v>754</v>
      </c>
      <c r="G238" s="1">
        <v>177939.03</v>
      </c>
      <c r="I238" s="30">
        <f>SUM($F$5:$F238)-SUM($E$5:$E238)</f>
        <v>177939.0299999998</v>
      </c>
      <c r="J238" s="30">
        <f t="shared" si="3"/>
        <v>0</v>
      </c>
    </row>
    <row r="239" spans="1:10" x14ac:dyDescent="0.75">
      <c r="A239" s="1" t="s">
        <v>975</v>
      </c>
      <c r="B239" s="1" t="s">
        <v>975</v>
      </c>
      <c r="C239" s="1" t="s">
        <v>980</v>
      </c>
      <c r="E239" s="1">
        <v>1200</v>
      </c>
      <c r="F239" s="1" t="s">
        <v>754</v>
      </c>
      <c r="G239" s="1">
        <v>176739.03</v>
      </c>
      <c r="I239" s="30">
        <f>SUM($F$5:$F239)-SUM($E$5:$E239)</f>
        <v>176739.0299999998</v>
      </c>
      <c r="J239" s="30">
        <f t="shared" si="3"/>
        <v>0</v>
      </c>
    </row>
    <row r="240" spans="1:10" x14ac:dyDescent="0.75">
      <c r="A240" s="1" t="s">
        <v>975</v>
      </c>
      <c r="B240" s="1" t="s">
        <v>975</v>
      </c>
      <c r="C240" s="1" t="s">
        <v>981</v>
      </c>
      <c r="E240" s="1">
        <v>1305</v>
      </c>
      <c r="F240" s="1" t="s">
        <v>754</v>
      </c>
      <c r="G240" s="1">
        <v>175434.03</v>
      </c>
      <c r="I240" s="30">
        <f>SUM($F$5:$F240)-SUM($E$5:$E240)</f>
        <v>175434.0299999998</v>
      </c>
      <c r="J240" s="30">
        <f t="shared" si="3"/>
        <v>0</v>
      </c>
    </row>
    <row r="241" spans="1:10" x14ac:dyDescent="0.75">
      <c r="A241" s="1" t="s">
        <v>975</v>
      </c>
      <c r="B241" s="1" t="s">
        <v>975</v>
      </c>
      <c r="C241" s="1" t="s">
        <v>982</v>
      </c>
      <c r="E241" s="1">
        <v>2712.75</v>
      </c>
      <c r="F241" s="1" t="s">
        <v>754</v>
      </c>
      <c r="G241" s="1">
        <v>172721.28</v>
      </c>
      <c r="I241" s="30">
        <f>SUM($F$5:$F241)-SUM($E$5:$E241)</f>
        <v>172721.2799999998</v>
      </c>
      <c r="J241" s="30">
        <f t="shared" si="3"/>
        <v>0</v>
      </c>
    </row>
    <row r="242" spans="1:10" x14ac:dyDescent="0.75">
      <c r="A242" s="1" t="s">
        <v>975</v>
      </c>
      <c r="B242" s="1" t="s">
        <v>975</v>
      </c>
      <c r="C242" s="1" t="s">
        <v>983</v>
      </c>
      <c r="E242" s="1">
        <v>2789.2</v>
      </c>
      <c r="F242" s="1" t="s">
        <v>754</v>
      </c>
      <c r="G242" s="1">
        <v>169932.08</v>
      </c>
      <c r="I242" s="30">
        <f>SUM($F$5:$F242)-SUM($E$5:$E242)</f>
        <v>169932.07999999961</v>
      </c>
      <c r="J242" s="30">
        <f t="shared" si="3"/>
        <v>-3.7834979593753815E-10</v>
      </c>
    </row>
    <row r="243" spans="1:10" x14ac:dyDescent="0.75">
      <c r="A243" s="1" t="s">
        <v>975</v>
      </c>
      <c r="B243" s="1" t="s">
        <v>975</v>
      </c>
      <c r="C243" s="1" t="s">
        <v>984</v>
      </c>
      <c r="E243" s="1">
        <v>2805.95</v>
      </c>
      <c r="F243" s="1" t="s">
        <v>754</v>
      </c>
      <c r="G243" s="1">
        <v>167126.13</v>
      </c>
      <c r="I243" s="30">
        <f>SUM($F$5:$F243)-SUM($E$5:$E243)</f>
        <v>167126.12999999942</v>
      </c>
      <c r="J243" s="30">
        <f t="shared" si="3"/>
        <v>-5.8207660913467407E-10</v>
      </c>
    </row>
    <row r="244" spans="1:10" x14ac:dyDescent="0.75">
      <c r="A244" s="1" t="s">
        <v>975</v>
      </c>
      <c r="B244" s="1" t="s">
        <v>975</v>
      </c>
      <c r="C244" s="1" t="s">
        <v>985</v>
      </c>
      <c r="E244" s="1">
        <v>2811.28</v>
      </c>
      <c r="F244" s="1" t="s">
        <v>754</v>
      </c>
      <c r="G244" s="1">
        <v>164314.85</v>
      </c>
      <c r="I244" s="30">
        <f>SUM($F$5:$F244)-SUM($E$5:$E244)</f>
        <v>164314.84999999963</v>
      </c>
      <c r="J244" s="30">
        <f t="shared" si="3"/>
        <v>-3.7834979593753815E-10</v>
      </c>
    </row>
    <row r="245" spans="1:10" x14ac:dyDescent="0.75">
      <c r="A245" s="1" t="s">
        <v>975</v>
      </c>
      <c r="B245" s="1" t="s">
        <v>975</v>
      </c>
      <c r="C245" s="1" t="s">
        <v>986</v>
      </c>
      <c r="E245" s="1">
        <v>2869.85</v>
      </c>
      <c r="F245" s="1" t="s">
        <v>754</v>
      </c>
      <c r="G245" s="1">
        <v>161445</v>
      </c>
      <c r="I245" s="30">
        <f>SUM($F$5:$F245)-SUM($E$5:$E245)</f>
        <v>161444.99999999953</v>
      </c>
      <c r="J245" s="30">
        <f t="shared" si="3"/>
        <v>-4.6566128730773926E-10</v>
      </c>
    </row>
    <row r="246" spans="1:10" x14ac:dyDescent="0.75">
      <c r="A246" s="1" t="s">
        <v>975</v>
      </c>
      <c r="B246" s="1" t="s">
        <v>975</v>
      </c>
      <c r="C246" s="1" t="s">
        <v>987</v>
      </c>
      <c r="E246" s="1">
        <v>2883</v>
      </c>
      <c r="F246" s="1" t="s">
        <v>754</v>
      </c>
      <c r="G246" s="1">
        <v>158562</v>
      </c>
      <c r="I246" s="30">
        <f>SUM($F$5:$F246)-SUM($E$5:$E246)</f>
        <v>158561.99999999953</v>
      </c>
      <c r="J246" s="30">
        <f t="shared" si="3"/>
        <v>-4.6566128730773926E-10</v>
      </c>
    </row>
    <row r="247" spans="1:10" x14ac:dyDescent="0.75">
      <c r="A247" s="1" t="s">
        <v>975</v>
      </c>
      <c r="B247" s="1" t="s">
        <v>975</v>
      </c>
      <c r="C247" s="1" t="s">
        <v>988</v>
      </c>
      <c r="E247" s="1">
        <v>2893.9</v>
      </c>
      <c r="F247" s="1" t="s">
        <v>754</v>
      </c>
      <c r="G247" s="1">
        <v>155668.1</v>
      </c>
      <c r="I247" s="30">
        <f>SUM($F$5:$F247)-SUM($E$5:$E247)</f>
        <v>155668.09999999963</v>
      </c>
      <c r="J247" s="30">
        <f t="shared" si="3"/>
        <v>-3.7834979593753815E-10</v>
      </c>
    </row>
    <row r="248" spans="1:10" x14ac:dyDescent="0.75">
      <c r="A248" s="1" t="s">
        <v>975</v>
      </c>
      <c r="B248" s="1" t="s">
        <v>975</v>
      </c>
      <c r="C248" s="1" t="s">
        <v>989</v>
      </c>
      <c r="E248" s="1">
        <v>2910.32</v>
      </c>
      <c r="F248" s="1" t="s">
        <v>754</v>
      </c>
      <c r="G248" s="1">
        <v>152757.78</v>
      </c>
      <c r="I248" s="30">
        <f>SUM($F$5:$F248)-SUM($E$5:$E248)</f>
        <v>152757.7799999998</v>
      </c>
      <c r="J248" s="30">
        <f t="shared" si="3"/>
        <v>0</v>
      </c>
    </row>
    <row r="249" spans="1:10" x14ac:dyDescent="0.75">
      <c r="A249" s="1" t="s">
        <v>975</v>
      </c>
      <c r="B249" s="1" t="s">
        <v>975</v>
      </c>
      <c r="C249" s="1" t="s">
        <v>990</v>
      </c>
      <c r="E249" s="1">
        <v>2964.4</v>
      </c>
      <c r="F249" s="1" t="s">
        <v>754</v>
      </c>
      <c r="G249" s="1">
        <v>149793.38</v>
      </c>
      <c r="I249" s="30">
        <f>SUM($F$5:$F249)-SUM($E$5:$E249)</f>
        <v>149793.37999999989</v>
      </c>
      <c r="J249" s="30">
        <f t="shared" si="3"/>
        <v>0</v>
      </c>
    </row>
    <row r="250" spans="1:10" x14ac:dyDescent="0.75">
      <c r="A250" s="1" t="s">
        <v>975</v>
      </c>
      <c r="B250" s="1" t="s">
        <v>975</v>
      </c>
      <c r="C250" s="1" t="s">
        <v>991</v>
      </c>
      <c r="E250" s="1">
        <v>2971.5</v>
      </c>
      <c r="F250" s="1" t="s">
        <v>754</v>
      </c>
      <c r="G250" s="1">
        <v>146821.88</v>
      </c>
      <c r="I250" s="30">
        <f>SUM($F$5:$F250)-SUM($E$5:$E250)</f>
        <v>146821.87999999989</v>
      </c>
      <c r="J250" s="30">
        <f t="shared" si="3"/>
        <v>0</v>
      </c>
    </row>
    <row r="251" spans="1:10" x14ac:dyDescent="0.75">
      <c r="A251" s="1" t="s">
        <v>975</v>
      </c>
      <c r="B251" s="1" t="s">
        <v>975</v>
      </c>
      <c r="C251" s="1" t="s">
        <v>992</v>
      </c>
      <c r="E251" s="1">
        <v>2988.45</v>
      </c>
      <c r="F251" s="1" t="s">
        <v>754</v>
      </c>
      <c r="G251" s="1">
        <v>143833.43</v>
      </c>
      <c r="I251" s="30">
        <f>SUM($F$5:$F251)-SUM($E$5:$E251)</f>
        <v>143833.4299999997</v>
      </c>
      <c r="J251" s="30">
        <f t="shared" si="3"/>
        <v>-2.9103830456733704E-10</v>
      </c>
    </row>
    <row r="252" spans="1:10" x14ac:dyDescent="0.75">
      <c r="A252" s="1" t="s">
        <v>975</v>
      </c>
      <c r="B252" s="1" t="s">
        <v>975</v>
      </c>
      <c r="C252" s="1" t="s">
        <v>773</v>
      </c>
      <c r="E252" s="1" t="s">
        <v>754</v>
      </c>
      <c r="F252" s="1">
        <v>43769.8</v>
      </c>
      <c r="G252" s="1">
        <v>187603.23</v>
      </c>
      <c r="I252" s="30">
        <f>SUM($F$5:$F252)-SUM($E$5:$E252)</f>
        <v>187603.22999999952</v>
      </c>
      <c r="J252" s="30">
        <f t="shared" si="3"/>
        <v>-4.9476511776447296E-10</v>
      </c>
    </row>
    <row r="253" spans="1:10" x14ac:dyDescent="0.75">
      <c r="A253" s="1" t="s">
        <v>993</v>
      </c>
      <c r="B253" s="1" t="s">
        <v>993</v>
      </c>
      <c r="C253" s="1" t="s">
        <v>994</v>
      </c>
      <c r="E253" s="1">
        <v>552.9</v>
      </c>
      <c r="F253" s="1" t="s">
        <v>754</v>
      </c>
      <c r="G253" s="1">
        <v>187050.33</v>
      </c>
      <c r="I253" s="30">
        <f>SUM($F$5:$F253)-SUM($E$5:$E253)</f>
        <v>187050.32999999961</v>
      </c>
      <c r="J253" s="30">
        <f t="shared" si="3"/>
        <v>-3.7834979593753815E-10</v>
      </c>
    </row>
    <row r="254" spans="1:10" x14ac:dyDescent="0.75">
      <c r="A254" s="1" t="s">
        <v>993</v>
      </c>
      <c r="B254" s="1" t="s">
        <v>993</v>
      </c>
      <c r="C254" s="1" t="s">
        <v>995</v>
      </c>
      <c r="E254" s="1">
        <v>1901.2</v>
      </c>
      <c r="F254" s="1" t="s">
        <v>754</v>
      </c>
      <c r="G254" s="1">
        <v>185149.13</v>
      </c>
      <c r="I254" s="30">
        <f>SUM($F$5:$F254)-SUM($E$5:$E254)</f>
        <v>185149.12999999942</v>
      </c>
      <c r="J254" s="30">
        <f t="shared" si="3"/>
        <v>-5.8207660913467407E-10</v>
      </c>
    </row>
    <row r="255" spans="1:10" x14ac:dyDescent="0.75">
      <c r="A255" s="1" t="s">
        <v>993</v>
      </c>
      <c r="B255" s="1" t="s">
        <v>993</v>
      </c>
      <c r="C255" s="1" t="s">
        <v>996</v>
      </c>
      <c r="E255" s="1">
        <v>3477.45</v>
      </c>
      <c r="F255" s="1" t="s">
        <v>754</v>
      </c>
      <c r="G255" s="1">
        <v>181671.67999999999</v>
      </c>
      <c r="I255" s="30">
        <f>SUM($F$5:$F255)-SUM($E$5:$E255)</f>
        <v>181671.67999999924</v>
      </c>
      <c r="J255" s="30">
        <f t="shared" si="3"/>
        <v>-7.5669959187507629E-10</v>
      </c>
    </row>
    <row r="256" spans="1:10" x14ac:dyDescent="0.75">
      <c r="A256" s="1" t="s">
        <v>993</v>
      </c>
      <c r="B256" s="1" t="s">
        <v>993</v>
      </c>
      <c r="C256" s="1" t="s">
        <v>997</v>
      </c>
      <c r="E256" s="1">
        <v>17205</v>
      </c>
      <c r="F256" s="1" t="s">
        <v>754</v>
      </c>
      <c r="G256" s="1">
        <v>164466.68</v>
      </c>
      <c r="I256" s="30">
        <f>SUM($F$5:$F256)-SUM($E$5:$E256)</f>
        <v>164466.67999999924</v>
      </c>
      <c r="J256" s="30">
        <f t="shared" si="3"/>
        <v>-7.5669959187507629E-10</v>
      </c>
    </row>
    <row r="257" spans="1:10" x14ac:dyDescent="0.75">
      <c r="A257" s="1" t="s">
        <v>993</v>
      </c>
      <c r="B257" s="1" t="s">
        <v>993</v>
      </c>
      <c r="C257" s="1" t="s">
        <v>773</v>
      </c>
      <c r="E257" s="1" t="s">
        <v>754</v>
      </c>
      <c r="F257" s="1">
        <v>77663.42</v>
      </c>
      <c r="G257" s="1">
        <v>242130.1</v>
      </c>
      <c r="I257" s="30">
        <f>SUM($F$5:$F257)-SUM($E$5:$E257)</f>
        <v>242130.09999999916</v>
      </c>
      <c r="J257" s="30">
        <f t="shared" si="3"/>
        <v>-8.440110832452774E-10</v>
      </c>
    </row>
    <row r="258" spans="1:10" x14ac:dyDescent="0.75">
      <c r="A258" s="1" t="s">
        <v>998</v>
      </c>
      <c r="B258" s="1" t="s">
        <v>998</v>
      </c>
      <c r="C258" s="1" t="s">
        <v>999</v>
      </c>
      <c r="E258" s="1">
        <v>885</v>
      </c>
      <c r="F258" s="1" t="s">
        <v>754</v>
      </c>
      <c r="G258" s="1">
        <v>241245.1</v>
      </c>
      <c r="I258" s="30">
        <f>SUM($F$5:$F258)-SUM($E$5:$E258)</f>
        <v>241245.09999999916</v>
      </c>
      <c r="J258" s="30">
        <f t="shared" si="3"/>
        <v>-8.440110832452774E-10</v>
      </c>
    </row>
    <row r="259" spans="1:10" x14ac:dyDescent="0.75">
      <c r="A259" s="1" t="s">
        <v>998</v>
      </c>
      <c r="B259" s="1" t="s">
        <v>998</v>
      </c>
      <c r="C259" s="1" t="s">
        <v>1000</v>
      </c>
      <c r="E259" s="1">
        <v>1857.55</v>
      </c>
      <c r="F259" s="1" t="s">
        <v>754</v>
      </c>
      <c r="G259" s="1">
        <v>239387.55</v>
      </c>
      <c r="I259" s="30">
        <f>SUM($F$5:$F259)-SUM($E$5:$E259)</f>
        <v>239387.54999999935</v>
      </c>
      <c r="J259" s="30">
        <f t="shared" si="3"/>
        <v>-6.4028427004814148E-10</v>
      </c>
    </row>
    <row r="260" spans="1:10" x14ac:dyDescent="0.75">
      <c r="A260" s="1" t="s">
        <v>998</v>
      </c>
      <c r="B260" s="1" t="s">
        <v>998</v>
      </c>
      <c r="C260" s="1" t="s">
        <v>1001</v>
      </c>
      <c r="E260" s="1">
        <v>1998.54</v>
      </c>
      <c r="F260" s="1" t="s">
        <v>754</v>
      </c>
      <c r="G260" s="1">
        <v>237389.01</v>
      </c>
      <c r="I260" s="30">
        <f>SUM($F$5:$F260)-SUM($E$5:$E260)</f>
        <v>237389.00999999931</v>
      </c>
      <c r="J260" s="30">
        <f t="shared" si="3"/>
        <v>-6.9849193096160889E-10</v>
      </c>
    </row>
    <row r="261" spans="1:10" x14ac:dyDescent="0.75">
      <c r="A261" s="1" t="s">
        <v>998</v>
      </c>
      <c r="B261" s="1" t="s">
        <v>998</v>
      </c>
      <c r="C261" s="1" t="s">
        <v>1002</v>
      </c>
      <c r="E261" s="1">
        <v>4054.6</v>
      </c>
      <c r="F261" s="1" t="s">
        <v>754</v>
      </c>
      <c r="G261" s="1">
        <v>233334.41</v>
      </c>
      <c r="I261" s="30">
        <f>SUM($F$5:$F261)-SUM($E$5:$E261)</f>
        <v>233334.40999999922</v>
      </c>
      <c r="J261" s="30">
        <f t="shared" si="3"/>
        <v>-7.8580342233181E-10</v>
      </c>
    </row>
    <row r="262" spans="1:10" x14ac:dyDescent="0.75">
      <c r="A262" s="1" t="s">
        <v>998</v>
      </c>
      <c r="B262" s="1" t="s">
        <v>998</v>
      </c>
      <c r="C262" s="1" t="s">
        <v>1003</v>
      </c>
      <c r="E262" s="1">
        <v>7574.73</v>
      </c>
      <c r="F262" s="1" t="s">
        <v>754</v>
      </c>
      <c r="G262" s="1">
        <v>225759.68</v>
      </c>
      <c r="I262" s="30">
        <f>SUM($F$5:$F262)-SUM($E$5:$E262)</f>
        <v>225759.67999999924</v>
      </c>
      <c r="J262" s="30">
        <f t="shared" ref="J262:J325" si="4">I262-G262</f>
        <v>-7.5669959187507629E-10</v>
      </c>
    </row>
    <row r="263" spans="1:10" x14ac:dyDescent="0.75">
      <c r="A263" s="1" t="s">
        <v>998</v>
      </c>
      <c r="B263" s="1" t="s">
        <v>998</v>
      </c>
      <c r="C263" s="1" t="s">
        <v>773</v>
      </c>
      <c r="E263" s="1" t="s">
        <v>754</v>
      </c>
      <c r="F263" s="1">
        <v>92155.07</v>
      </c>
      <c r="G263" s="1">
        <v>317914.75</v>
      </c>
      <c r="I263" s="30">
        <f>SUM($F$5:$F263)-SUM($E$5:$E263)</f>
        <v>317914.74999999907</v>
      </c>
      <c r="J263" s="30">
        <f t="shared" si="4"/>
        <v>-9.3132257461547852E-10</v>
      </c>
    </row>
    <row r="264" spans="1:10" x14ac:dyDescent="0.75">
      <c r="A264" s="1" t="s">
        <v>1004</v>
      </c>
      <c r="B264" s="1" t="s">
        <v>1004</v>
      </c>
      <c r="C264" s="1" t="s">
        <v>1005</v>
      </c>
      <c r="E264" s="1">
        <v>1168.95</v>
      </c>
      <c r="F264" s="1" t="s">
        <v>754</v>
      </c>
      <c r="G264" s="1">
        <v>316745.8</v>
      </c>
      <c r="I264" s="30">
        <f>SUM($F$5:$F264)-SUM($E$5:$E264)</f>
        <v>316745.79999999888</v>
      </c>
      <c r="J264" s="30">
        <f t="shared" si="4"/>
        <v>-1.1059455573558807E-9</v>
      </c>
    </row>
    <row r="265" spans="1:10" x14ac:dyDescent="0.75">
      <c r="A265" s="1" t="s">
        <v>1004</v>
      </c>
      <c r="B265" s="1" t="s">
        <v>1004</v>
      </c>
      <c r="C265" s="1" t="s">
        <v>1006</v>
      </c>
      <c r="E265" s="1">
        <v>5758</v>
      </c>
      <c r="F265" s="1" t="s">
        <v>754</v>
      </c>
      <c r="G265" s="1">
        <v>310987.8</v>
      </c>
      <c r="I265" s="30">
        <f>SUM($F$5:$F265)-SUM($E$5:$E265)</f>
        <v>310987.79999999888</v>
      </c>
      <c r="J265" s="30">
        <f t="shared" si="4"/>
        <v>-1.1059455573558807E-9</v>
      </c>
    </row>
    <row r="266" spans="1:10" x14ac:dyDescent="0.75">
      <c r="A266" s="1" t="s">
        <v>1004</v>
      </c>
      <c r="B266" s="1" t="s">
        <v>1004</v>
      </c>
      <c r="C266" s="1" t="s">
        <v>1007</v>
      </c>
      <c r="E266" s="1">
        <v>7995.71</v>
      </c>
      <c r="F266" s="1" t="s">
        <v>754</v>
      </c>
      <c r="G266" s="1">
        <v>302992.09000000003</v>
      </c>
      <c r="I266" s="30">
        <f>SUM($F$5:$F266)-SUM($E$5:$E266)</f>
        <v>302992.08999999892</v>
      </c>
      <c r="J266" s="30">
        <f t="shared" si="4"/>
        <v>-1.1059455573558807E-9</v>
      </c>
    </row>
    <row r="267" spans="1:10" x14ac:dyDescent="0.75">
      <c r="A267" s="1" t="s">
        <v>1004</v>
      </c>
      <c r="B267" s="1" t="s">
        <v>1004</v>
      </c>
      <c r="C267" s="1" t="s">
        <v>1008</v>
      </c>
      <c r="E267" s="1">
        <v>12175.39</v>
      </c>
      <c r="F267" s="1" t="s">
        <v>754</v>
      </c>
      <c r="G267" s="1">
        <v>290816.7</v>
      </c>
      <c r="I267" s="30">
        <f>SUM($F$5:$F267)-SUM($E$5:$E267)</f>
        <v>290816.69999999879</v>
      </c>
      <c r="J267" s="30">
        <f t="shared" si="4"/>
        <v>-1.2223608791828156E-9</v>
      </c>
    </row>
    <row r="268" spans="1:10" x14ac:dyDescent="0.75">
      <c r="A268" s="1" t="s">
        <v>1004</v>
      </c>
      <c r="B268" s="1" t="s">
        <v>1004</v>
      </c>
      <c r="C268" s="1" t="s">
        <v>1009</v>
      </c>
      <c r="E268" s="1">
        <v>14553.01</v>
      </c>
      <c r="F268" s="1" t="s">
        <v>754</v>
      </c>
      <c r="G268" s="1">
        <v>276263.69</v>
      </c>
      <c r="I268" s="30">
        <f>SUM($F$5:$F268)-SUM($E$5:$E268)</f>
        <v>276263.68999999901</v>
      </c>
      <c r="J268" s="30">
        <f t="shared" si="4"/>
        <v>-9.8953023552894592E-10</v>
      </c>
    </row>
    <row r="269" spans="1:10" x14ac:dyDescent="0.75">
      <c r="A269" s="1" t="s">
        <v>1004</v>
      </c>
      <c r="B269" s="1" t="s">
        <v>1004</v>
      </c>
      <c r="C269" s="1" t="s">
        <v>1010</v>
      </c>
      <c r="E269" s="1">
        <v>14553.01</v>
      </c>
      <c r="F269" s="1" t="s">
        <v>754</v>
      </c>
      <c r="G269" s="1">
        <v>261710.68</v>
      </c>
      <c r="I269" s="30">
        <f>SUM($F$5:$F269)-SUM($E$5:$E269)</f>
        <v>261710.67999999924</v>
      </c>
      <c r="J269" s="30">
        <f t="shared" si="4"/>
        <v>-7.5669959187507629E-10</v>
      </c>
    </row>
    <row r="270" spans="1:10" x14ac:dyDescent="0.75">
      <c r="A270" s="1" t="s">
        <v>1004</v>
      </c>
      <c r="B270" s="1" t="s">
        <v>1004</v>
      </c>
      <c r="C270" s="1" t="s">
        <v>773</v>
      </c>
      <c r="E270" s="1" t="s">
        <v>754</v>
      </c>
      <c r="F270" s="1">
        <v>33816.04</v>
      </c>
      <c r="G270" s="1">
        <v>295526.71999999997</v>
      </c>
      <c r="I270" s="30">
        <f>SUM($F$5:$F270)-SUM($E$5:$E270)</f>
        <v>295526.71999999927</v>
      </c>
      <c r="J270" s="30">
        <f t="shared" si="4"/>
        <v>-6.9849193096160889E-10</v>
      </c>
    </row>
    <row r="271" spans="1:10" x14ac:dyDescent="0.75">
      <c r="A271" s="1" t="s">
        <v>1011</v>
      </c>
      <c r="B271" s="1" t="s">
        <v>1011</v>
      </c>
      <c r="C271" s="1" t="s">
        <v>1012</v>
      </c>
      <c r="E271" s="1">
        <v>862.31</v>
      </c>
      <c r="F271" s="1" t="s">
        <v>754</v>
      </c>
      <c r="G271" s="1">
        <v>294664.40999999997</v>
      </c>
      <c r="I271" s="30">
        <f>SUM($F$5:$F271)-SUM($E$5:$E271)</f>
        <v>294664.40999999922</v>
      </c>
      <c r="J271" s="30">
        <f t="shared" si="4"/>
        <v>-7.5669959187507629E-10</v>
      </c>
    </row>
    <row r="272" spans="1:10" x14ac:dyDescent="0.75">
      <c r="A272" s="1" t="s">
        <v>1011</v>
      </c>
      <c r="B272" s="1" t="s">
        <v>1011</v>
      </c>
      <c r="C272" s="1" t="s">
        <v>1013</v>
      </c>
      <c r="E272" s="1">
        <v>960</v>
      </c>
      <c r="F272" s="1" t="s">
        <v>754</v>
      </c>
      <c r="G272" s="1">
        <v>293704.40999999997</v>
      </c>
      <c r="I272" s="30">
        <f>SUM($F$5:$F272)-SUM($E$5:$E272)</f>
        <v>293704.40999999922</v>
      </c>
      <c r="J272" s="30">
        <f t="shared" si="4"/>
        <v>-7.5669959187507629E-10</v>
      </c>
    </row>
    <row r="273" spans="1:10" x14ac:dyDescent="0.75">
      <c r="A273" s="1" t="s">
        <v>1011</v>
      </c>
      <c r="B273" s="1" t="s">
        <v>1011</v>
      </c>
      <c r="C273" s="1" t="s">
        <v>1014</v>
      </c>
      <c r="E273" s="1">
        <v>1350.68</v>
      </c>
      <c r="F273" s="1" t="s">
        <v>754</v>
      </c>
      <c r="G273" s="1">
        <v>292353.73</v>
      </c>
      <c r="I273" s="30">
        <f>SUM($F$5:$F273)-SUM($E$5:$E273)</f>
        <v>292353.72999999905</v>
      </c>
      <c r="J273" s="30">
        <f t="shared" si="4"/>
        <v>-9.3132257461547852E-10</v>
      </c>
    </row>
    <row r="274" spans="1:10" x14ac:dyDescent="0.75">
      <c r="A274" s="1" t="s">
        <v>1011</v>
      </c>
      <c r="B274" s="1" t="s">
        <v>1011</v>
      </c>
      <c r="C274" s="1" t="s">
        <v>1015</v>
      </c>
      <c r="E274" s="1">
        <v>1850</v>
      </c>
      <c r="F274" s="1" t="s">
        <v>754</v>
      </c>
      <c r="G274" s="1">
        <v>290503.73</v>
      </c>
      <c r="I274" s="30">
        <f>SUM($F$5:$F274)-SUM($E$5:$E274)</f>
        <v>290503.72999999905</v>
      </c>
      <c r="J274" s="30">
        <f t="shared" si="4"/>
        <v>-9.3132257461547852E-10</v>
      </c>
    </row>
    <row r="275" spans="1:10" x14ac:dyDescent="0.75">
      <c r="A275" s="1" t="s">
        <v>1011</v>
      </c>
      <c r="B275" s="1" t="s">
        <v>1011</v>
      </c>
      <c r="C275" s="1" t="s">
        <v>1016</v>
      </c>
      <c r="E275" s="1">
        <v>1993.35</v>
      </c>
      <c r="F275" s="1" t="s">
        <v>754</v>
      </c>
      <c r="G275" s="1">
        <v>288510.38</v>
      </c>
      <c r="I275" s="30">
        <f>SUM($F$5:$F275)-SUM($E$5:$E275)</f>
        <v>288510.37999999896</v>
      </c>
      <c r="J275" s="30">
        <f t="shared" si="4"/>
        <v>-1.0477378964424133E-9</v>
      </c>
    </row>
    <row r="276" spans="1:10" x14ac:dyDescent="0.75">
      <c r="A276" s="1" t="s">
        <v>1011</v>
      </c>
      <c r="B276" s="1" t="s">
        <v>1011</v>
      </c>
      <c r="C276" s="1" t="s">
        <v>1017</v>
      </c>
      <c r="E276" s="1">
        <v>2141.54</v>
      </c>
      <c r="F276" s="1" t="s">
        <v>754</v>
      </c>
      <c r="G276" s="1">
        <v>286368.84000000003</v>
      </c>
      <c r="I276" s="30">
        <f>SUM($F$5:$F276)-SUM($E$5:$E276)</f>
        <v>286368.83999999892</v>
      </c>
      <c r="J276" s="30">
        <f t="shared" si="4"/>
        <v>-1.1059455573558807E-9</v>
      </c>
    </row>
    <row r="277" spans="1:10" x14ac:dyDescent="0.75">
      <c r="A277" s="1" t="s">
        <v>1011</v>
      </c>
      <c r="B277" s="1" t="s">
        <v>1011</v>
      </c>
      <c r="C277" s="1" t="s">
        <v>1018</v>
      </c>
      <c r="E277" s="1">
        <v>3768.45</v>
      </c>
      <c r="F277" s="1" t="s">
        <v>754</v>
      </c>
      <c r="G277" s="1">
        <v>282600.39</v>
      </c>
      <c r="I277" s="30">
        <f>SUM($F$5:$F277)-SUM($E$5:$E277)</f>
        <v>282600.38999999873</v>
      </c>
      <c r="J277" s="30">
        <f t="shared" si="4"/>
        <v>-1.280568540096283E-9</v>
      </c>
    </row>
    <row r="278" spans="1:10" x14ac:dyDescent="0.75">
      <c r="A278" s="1" t="s">
        <v>1011</v>
      </c>
      <c r="B278" s="1" t="s">
        <v>1011</v>
      </c>
      <c r="C278" s="1" t="s">
        <v>1019</v>
      </c>
      <c r="E278" s="1">
        <v>4282.6899999999996</v>
      </c>
      <c r="F278" s="1" t="s">
        <v>754</v>
      </c>
      <c r="G278" s="1">
        <v>278317.7</v>
      </c>
      <c r="I278" s="30">
        <f>SUM($F$5:$F278)-SUM($E$5:$E278)</f>
        <v>278317.69999999879</v>
      </c>
      <c r="J278" s="30">
        <f t="shared" si="4"/>
        <v>-1.2223608791828156E-9</v>
      </c>
    </row>
    <row r="279" spans="1:10" x14ac:dyDescent="0.75">
      <c r="A279" s="1" t="s">
        <v>1011</v>
      </c>
      <c r="B279" s="1" t="s">
        <v>1011</v>
      </c>
      <c r="C279" s="1" t="s">
        <v>1020</v>
      </c>
      <c r="E279" s="1">
        <v>4311</v>
      </c>
      <c r="F279" s="1" t="s">
        <v>754</v>
      </c>
      <c r="G279" s="1">
        <v>274006.7</v>
      </c>
      <c r="I279" s="30">
        <f>SUM($F$5:$F279)-SUM($E$5:$E279)</f>
        <v>274006.69999999879</v>
      </c>
      <c r="J279" s="30">
        <f t="shared" si="4"/>
        <v>-1.2223608791828156E-9</v>
      </c>
    </row>
    <row r="280" spans="1:10" x14ac:dyDescent="0.75">
      <c r="A280" s="1" t="s">
        <v>1011</v>
      </c>
      <c r="B280" s="1" t="s">
        <v>1011</v>
      </c>
      <c r="C280" s="1" t="s">
        <v>1021</v>
      </c>
      <c r="E280" s="1">
        <v>4564.87</v>
      </c>
      <c r="F280" s="1" t="s">
        <v>754</v>
      </c>
      <c r="G280" s="1">
        <v>269441.83</v>
      </c>
      <c r="I280" s="30">
        <f>SUM($F$5:$F280)-SUM($E$5:$E280)</f>
        <v>269441.82999999868</v>
      </c>
      <c r="J280" s="30">
        <f t="shared" si="4"/>
        <v>-1.3387762010097504E-9</v>
      </c>
    </row>
    <row r="281" spans="1:10" x14ac:dyDescent="0.75">
      <c r="A281" s="1" t="s">
        <v>1011</v>
      </c>
      <c r="B281" s="1" t="s">
        <v>1011</v>
      </c>
      <c r="C281" s="1" t="s">
        <v>1022</v>
      </c>
      <c r="E281" s="1">
        <v>5100.26</v>
      </c>
      <c r="F281" s="1" t="s">
        <v>754</v>
      </c>
      <c r="G281" s="1">
        <v>264341.57</v>
      </c>
      <c r="I281" s="30">
        <f>SUM($F$5:$F281)-SUM($E$5:$E281)</f>
        <v>264341.5699999989</v>
      </c>
      <c r="J281" s="30">
        <f t="shared" si="4"/>
        <v>-1.1059455573558807E-9</v>
      </c>
    </row>
    <row r="282" spans="1:10" x14ac:dyDescent="0.75">
      <c r="A282" s="1" t="s">
        <v>1011</v>
      </c>
      <c r="B282" s="1" t="s">
        <v>1011</v>
      </c>
      <c r="C282" s="1" t="s">
        <v>1023</v>
      </c>
      <c r="E282" s="1">
        <v>9315.8799999999992</v>
      </c>
      <c r="F282" s="1" t="s">
        <v>754</v>
      </c>
      <c r="G282" s="1">
        <v>255025.69</v>
      </c>
      <c r="I282" s="30">
        <f>SUM($F$5:$F282)-SUM($E$5:$E282)</f>
        <v>255025.68999999901</v>
      </c>
      <c r="J282" s="30">
        <f t="shared" si="4"/>
        <v>-9.8953023552894592E-10</v>
      </c>
    </row>
    <row r="283" spans="1:10" x14ac:dyDescent="0.75">
      <c r="A283" s="1" t="s">
        <v>1011</v>
      </c>
      <c r="B283" s="1" t="s">
        <v>1011</v>
      </c>
      <c r="C283" s="1" t="s">
        <v>1024</v>
      </c>
      <c r="E283" s="1">
        <v>52860.93</v>
      </c>
      <c r="F283" s="1" t="s">
        <v>754</v>
      </c>
      <c r="G283" s="1">
        <v>202164.76</v>
      </c>
      <c r="I283" s="30">
        <f>SUM($F$5:$F283)-SUM($E$5:$E283)</f>
        <v>202164.75999999885</v>
      </c>
      <c r="J283" s="30">
        <f t="shared" si="4"/>
        <v>-1.1641532182693481E-9</v>
      </c>
    </row>
    <row r="284" spans="1:10" x14ac:dyDescent="0.75">
      <c r="A284" s="1" t="s">
        <v>1011</v>
      </c>
      <c r="B284" s="1" t="s">
        <v>1011</v>
      </c>
      <c r="C284" s="1" t="s">
        <v>1025</v>
      </c>
      <c r="E284" s="1">
        <v>388</v>
      </c>
      <c r="F284" s="1" t="s">
        <v>754</v>
      </c>
      <c r="G284" s="1">
        <v>201776.76</v>
      </c>
      <c r="I284" s="30">
        <f>SUM($F$5:$F284)-SUM($E$5:$E284)</f>
        <v>201776.75999999885</v>
      </c>
      <c r="J284" s="30">
        <f t="shared" si="4"/>
        <v>-1.1641532182693481E-9</v>
      </c>
    </row>
    <row r="285" spans="1:10" x14ac:dyDescent="0.75">
      <c r="A285" s="1" t="s">
        <v>1026</v>
      </c>
      <c r="B285" s="1" t="s">
        <v>1026</v>
      </c>
      <c r="C285" s="1" t="s">
        <v>1027</v>
      </c>
      <c r="E285" s="1">
        <v>675.39</v>
      </c>
      <c r="F285" s="1" t="s">
        <v>754</v>
      </c>
      <c r="G285" s="1">
        <v>201101.37</v>
      </c>
      <c r="I285" s="30">
        <f>SUM($F$5:$F285)-SUM($E$5:$E285)</f>
        <v>201101.36999999871</v>
      </c>
      <c r="J285" s="30">
        <f t="shared" si="4"/>
        <v>-1.280568540096283E-9</v>
      </c>
    </row>
    <row r="286" spans="1:10" x14ac:dyDescent="0.75">
      <c r="A286" s="1" t="s">
        <v>1026</v>
      </c>
      <c r="B286" s="1" t="s">
        <v>1026</v>
      </c>
      <c r="C286" s="1" t="s">
        <v>1028</v>
      </c>
      <c r="E286" s="1">
        <v>677.25</v>
      </c>
      <c r="F286" s="1" t="s">
        <v>754</v>
      </c>
      <c r="G286" s="1">
        <v>200424.12</v>
      </c>
      <c r="I286" s="30">
        <f>SUM($F$5:$F286)-SUM($E$5:$E286)</f>
        <v>200424.11999999871</v>
      </c>
      <c r="J286" s="30">
        <f t="shared" si="4"/>
        <v>-1.280568540096283E-9</v>
      </c>
    </row>
    <row r="287" spans="1:10" x14ac:dyDescent="0.75">
      <c r="A287" s="1" t="s">
        <v>1026</v>
      </c>
      <c r="B287" s="1" t="s">
        <v>1026</v>
      </c>
      <c r="C287" s="1" t="s">
        <v>1029</v>
      </c>
      <c r="E287" s="1">
        <v>1755</v>
      </c>
      <c r="F287" s="1" t="s">
        <v>754</v>
      </c>
      <c r="G287" s="1">
        <v>198669.12</v>
      </c>
      <c r="I287" s="30">
        <f>SUM($F$5:$F287)-SUM($E$5:$E287)</f>
        <v>198669.11999999871</v>
      </c>
      <c r="J287" s="30">
        <f t="shared" si="4"/>
        <v>-1.280568540096283E-9</v>
      </c>
    </row>
    <row r="288" spans="1:10" x14ac:dyDescent="0.75">
      <c r="A288" s="1" t="s">
        <v>1026</v>
      </c>
      <c r="B288" s="1" t="s">
        <v>1026</v>
      </c>
      <c r="C288" s="1" t="s">
        <v>1030</v>
      </c>
      <c r="E288" s="1">
        <v>4000</v>
      </c>
      <c r="F288" s="1" t="s">
        <v>754</v>
      </c>
      <c r="G288" s="1">
        <v>194669.12</v>
      </c>
      <c r="I288" s="30">
        <f>SUM($F$5:$F288)-SUM($E$5:$E288)</f>
        <v>194669.11999999871</v>
      </c>
      <c r="J288" s="30">
        <f t="shared" si="4"/>
        <v>-1.280568540096283E-9</v>
      </c>
    </row>
    <row r="289" spans="1:10" x14ac:dyDescent="0.75">
      <c r="A289" s="1" t="s">
        <v>1026</v>
      </c>
      <c r="B289" s="1" t="s">
        <v>1026</v>
      </c>
      <c r="C289" s="1" t="s">
        <v>1031</v>
      </c>
      <c r="E289" s="1">
        <v>5305.12</v>
      </c>
      <c r="F289" s="1" t="s">
        <v>754</v>
      </c>
      <c r="G289" s="1">
        <v>189364</v>
      </c>
      <c r="I289" s="30">
        <f>SUM($F$5:$F289)-SUM($E$5:$E289)</f>
        <v>189363.9999999986</v>
      </c>
      <c r="J289" s="30">
        <f t="shared" si="4"/>
        <v>-1.3969838619232178E-9</v>
      </c>
    </row>
    <row r="290" spans="1:10" x14ac:dyDescent="0.75">
      <c r="A290" s="1" t="s">
        <v>1026</v>
      </c>
      <c r="B290" s="1" t="s">
        <v>1026</v>
      </c>
      <c r="C290" s="1" t="s">
        <v>1032</v>
      </c>
      <c r="E290" s="1">
        <v>1704</v>
      </c>
      <c r="F290" s="1" t="s">
        <v>754</v>
      </c>
      <c r="G290" s="1">
        <v>187660</v>
      </c>
      <c r="I290" s="30">
        <f>SUM($F$5:$F290)-SUM($E$5:$E290)</f>
        <v>187659.9999999986</v>
      </c>
      <c r="J290" s="30">
        <f t="shared" si="4"/>
        <v>-1.3969838619232178E-9</v>
      </c>
    </row>
    <row r="291" spans="1:10" x14ac:dyDescent="0.75">
      <c r="A291" s="1" t="s">
        <v>1026</v>
      </c>
      <c r="B291" s="1" t="s">
        <v>1026</v>
      </c>
      <c r="C291" s="1" t="s">
        <v>773</v>
      </c>
      <c r="E291" s="1" t="s">
        <v>754</v>
      </c>
      <c r="F291" s="1">
        <v>32845.440000000002</v>
      </c>
      <c r="G291" s="1">
        <v>220505.44</v>
      </c>
      <c r="I291" s="30">
        <f>SUM($F$5:$F291)-SUM($E$5:$E291)</f>
        <v>220505.43999999855</v>
      </c>
      <c r="J291" s="30">
        <f t="shared" si="4"/>
        <v>-1.4551915228366852E-9</v>
      </c>
    </row>
    <row r="292" spans="1:10" x14ac:dyDescent="0.75">
      <c r="A292" s="1" t="s">
        <v>1033</v>
      </c>
      <c r="B292" s="1" t="s">
        <v>1033</v>
      </c>
      <c r="C292" s="1" t="s">
        <v>1034</v>
      </c>
      <c r="E292" s="1">
        <v>582.52</v>
      </c>
      <c r="F292" s="1" t="s">
        <v>754</v>
      </c>
      <c r="G292" s="1">
        <v>219922.92</v>
      </c>
      <c r="I292" s="30">
        <f>SUM($F$5:$F292)-SUM($E$5:$E292)</f>
        <v>219922.91999999853</v>
      </c>
      <c r="J292" s="30">
        <f t="shared" si="4"/>
        <v>-1.4842953532934189E-9</v>
      </c>
    </row>
    <row r="293" spans="1:10" x14ac:dyDescent="0.75">
      <c r="A293" s="1" t="s">
        <v>1033</v>
      </c>
      <c r="B293" s="1" t="s">
        <v>1033</v>
      </c>
      <c r="C293" s="1" t="s">
        <v>1035</v>
      </c>
      <c r="E293" s="1">
        <v>829.83</v>
      </c>
      <c r="F293" s="1" t="s">
        <v>754</v>
      </c>
      <c r="G293" s="1">
        <v>219093.09</v>
      </c>
      <c r="I293" s="30">
        <f>SUM($F$5:$F293)-SUM($E$5:$E293)</f>
        <v>219093.08999999845</v>
      </c>
      <c r="J293" s="30">
        <f t="shared" si="4"/>
        <v>-1.5425030142068863E-9</v>
      </c>
    </row>
    <row r="294" spans="1:10" x14ac:dyDescent="0.75">
      <c r="A294" s="1" t="s">
        <v>1033</v>
      </c>
      <c r="B294" s="1" t="s">
        <v>1033</v>
      </c>
      <c r="C294" s="1" t="s">
        <v>1036</v>
      </c>
      <c r="E294" s="1">
        <v>2095.1999999999998</v>
      </c>
      <c r="F294" s="1" t="s">
        <v>754</v>
      </c>
      <c r="G294" s="1">
        <v>216997.89</v>
      </c>
      <c r="I294" s="30">
        <f>SUM($F$5:$F294)-SUM($E$5:$E294)</f>
        <v>216997.88999999827</v>
      </c>
      <c r="J294" s="30">
        <f t="shared" si="4"/>
        <v>-1.7462298274040222E-9</v>
      </c>
    </row>
    <row r="295" spans="1:10" x14ac:dyDescent="0.75">
      <c r="A295" s="1" t="s">
        <v>1033</v>
      </c>
      <c r="B295" s="1" t="s">
        <v>1033</v>
      </c>
      <c r="C295" s="1" t="s">
        <v>1037</v>
      </c>
      <c r="E295" s="1">
        <v>2223.3200000000002</v>
      </c>
      <c r="F295" s="1" t="s">
        <v>754</v>
      </c>
      <c r="G295" s="1">
        <v>214774.57</v>
      </c>
      <c r="I295" s="30">
        <f>SUM($F$5:$F295)-SUM($E$5:$E295)</f>
        <v>214774.56999999844</v>
      </c>
      <c r="J295" s="30">
        <f t="shared" si="4"/>
        <v>-1.57160684466362E-9</v>
      </c>
    </row>
    <row r="296" spans="1:10" x14ac:dyDescent="0.75">
      <c r="A296" s="1" t="s">
        <v>1033</v>
      </c>
      <c r="B296" s="1" t="s">
        <v>1033</v>
      </c>
      <c r="C296" s="1" t="s">
        <v>1038</v>
      </c>
      <c r="E296" s="1">
        <v>2328</v>
      </c>
      <c r="F296" s="1" t="s">
        <v>754</v>
      </c>
      <c r="G296" s="1">
        <v>212446.57</v>
      </c>
      <c r="I296" s="30">
        <f>SUM($F$5:$F296)-SUM($E$5:$E296)</f>
        <v>212446.56999999844</v>
      </c>
      <c r="J296" s="30">
        <f t="shared" si="4"/>
        <v>-1.57160684466362E-9</v>
      </c>
    </row>
    <row r="297" spans="1:10" x14ac:dyDescent="0.75">
      <c r="A297" s="1" t="s">
        <v>1033</v>
      </c>
      <c r="B297" s="1" t="s">
        <v>1033</v>
      </c>
      <c r="C297" s="1" t="s">
        <v>1039</v>
      </c>
      <c r="E297" s="1">
        <v>2328</v>
      </c>
      <c r="F297" s="1" t="s">
        <v>754</v>
      </c>
      <c r="G297" s="1">
        <v>210118.57</v>
      </c>
      <c r="I297" s="30">
        <f>SUM($F$5:$F297)-SUM($E$5:$E297)</f>
        <v>210118.56999999844</v>
      </c>
      <c r="J297" s="30">
        <f t="shared" si="4"/>
        <v>-1.57160684466362E-9</v>
      </c>
    </row>
    <row r="298" spans="1:10" x14ac:dyDescent="0.75">
      <c r="A298" s="1" t="s">
        <v>1033</v>
      </c>
      <c r="B298" s="1" t="s">
        <v>1033</v>
      </c>
      <c r="C298" s="1" t="s">
        <v>1040</v>
      </c>
      <c r="E298" s="1">
        <v>3480.61</v>
      </c>
      <c r="F298" s="1" t="s">
        <v>754</v>
      </c>
      <c r="G298" s="1">
        <v>206637.96</v>
      </c>
      <c r="I298" s="30">
        <f>SUM($F$5:$F298)-SUM($E$5:$E298)</f>
        <v>206637.95999999857</v>
      </c>
      <c r="J298" s="30">
        <f t="shared" si="4"/>
        <v>-1.4260876923799515E-9</v>
      </c>
    </row>
    <row r="299" spans="1:10" x14ac:dyDescent="0.75">
      <c r="A299" s="1" t="s">
        <v>1033</v>
      </c>
      <c r="B299" s="1" t="s">
        <v>1033</v>
      </c>
      <c r="C299" s="1" t="s">
        <v>1041</v>
      </c>
      <c r="E299" s="1">
        <v>4419.18</v>
      </c>
      <c r="F299" s="1" t="s">
        <v>754</v>
      </c>
      <c r="G299" s="1">
        <v>202218.78</v>
      </c>
      <c r="I299" s="30">
        <f>SUM($F$5:$F299)-SUM($E$5:$E299)</f>
        <v>202218.7799999984</v>
      </c>
      <c r="J299" s="30">
        <f t="shared" si="4"/>
        <v>-1.6007106751203537E-9</v>
      </c>
    </row>
    <row r="300" spans="1:10" x14ac:dyDescent="0.75">
      <c r="A300" s="1" t="s">
        <v>1033</v>
      </c>
      <c r="B300" s="1" t="s">
        <v>1033</v>
      </c>
      <c r="C300" s="1" t="s">
        <v>773</v>
      </c>
      <c r="E300" s="1" t="s">
        <v>754</v>
      </c>
      <c r="F300" s="1">
        <v>68312.820000000007</v>
      </c>
      <c r="G300" s="1">
        <v>270531.59999999998</v>
      </c>
      <c r="I300" s="30">
        <f>SUM($F$5:$F300)-SUM($E$5:$E300)</f>
        <v>270531.59999999823</v>
      </c>
      <c r="J300" s="30">
        <f t="shared" si="4"/>
        <v>-1.7462298274040222E-9</v>
      </c>
    </row>
    <row r="301" spans="1:10" x14ac:dyDescent="0.75">
      <c r="A301" s="1" t="s">
        <v>1042</v>
      </c>
      <c r="B301" s="1" t="s">
        <v>1042</v>
      </c>
      <c r="C301" s="1" t="s">
        <v>1043</v>
      </c>
      <c r="E301" s="1">
        <v>8940.68</v>
      </c>
      <c r="F301" s="1" t="s">
        <v>754</v>
      </c>
      <c r="G301" s="1">
        <v>261590.92</v>
      </c>
      <c r="I301" s="30">
        <f>SUM($F$5:$F301)-SUM($E$5:$E301)</f>
        <v>261590.91999999806</v>
      </c>
      <c r="J301" s="30">
        <f t="shared" si="4"/>
        <v>-1.9499566406011581E-9</v>
      </c>
    </row>
    <row r="302" spans="1:10" x14ac:dyDescent="0.75">
      <c r="A302" s="1" t="s">
        <v>1042</v>
      </c>
      <c r="B302" s="1" t="s">
        <v>1042</v>
      </c>
      <c r="C302" s="1" t="s">
        <v>1044</v>
      </c>
      <c r="E302" s="1">
        <v>9021.86</v>
      </c>
      <c r="F302" s="1" t="s">
        <v>754</v>
      </c>
      <c r="G302" s="1">
        <v>252569.06</v>
      </c>
      <c r="I302" s="30">
        <f>SUM($F$5:$F302)-SUM($E$5:$E302)</f>
        <v>252569.05999999819</v>
      </c>
      <c r="J302" s="30">
        <f t="shared" si="4"/>
        <v>-1.8044374883174896E-9</v>
      </c>
    </row>
    <row r="303" spans="1:10" x14ac:dyDescent="0.75">
      <c r="A303" s="1" t="s">
        <v>1042</v>
      </c>
      <c r="B303" s="1" t="s">
        <v>1042</v>
      </c>
      <c r="C303" s="1" t="s">
        <v>1045</v>
      </c>
      <c r="E303" s="1">
        <v>1019.42</v>
      </c>
      <c r="F303" s="1" t="s">
        <v>754</v>
      </c>
      <c r="G303" s="1">
        <v>251549.64</v>
      </c>
      <c r="I303" s="30">
        <f>SUM($F$5:$F303)-SUM($E$5:$E303)</f>
        <v>251549.63999999827</v>
      </c>
      <c r="J303" s="30">
        <f t="shared" si="4"/>
        <v>-1.7462298274040222E-9</v>
      </c>
    </row>
    <row r="304" spans="1:10" x14ac:dyDescent="0.75">
      <c r="A304" s="1" t="s">
        <v>1042</v>
      </c>
      <c r="B304" s="1" t="s">
        <v>1042</v>
      </c>
      <c r="C304" s="1" t="s">
        <v>1046</v>
      </c>
      <c r="E304" s="1">
        <v>1529.13</v>
      </c>
      <c r="F304" s="1" t="s">
        <v>754</v>
      </c>
      <c r="G304" s="1">
        <v>250020.51</v>
      </c>
      <c r="I304" s="30">
        <f>SUM($F$5:$F304)-SUM($E$5:$E304)</f>
        <v>250020.50999999838</v>
      </c>
      <c r="J304" s="30">
        <f t="shared" si="4"/>
        <v>-1.6298145055770874E-9</v>
      </c>
    </row>
    <row r="305" spans="1:10" x14ac:dyDescent="0.75">
      <c r="A305" s="1" t="s">
        <v>1042</v>
      </c>
      <c r="B305" s="1" t="s">
        <v>1042</v>
      </c>
      <c r="C305" s="1" t="s">
        <v>1047</v>
      </c>
      <c r="E305" s="1">
        <v>3769.92</v>
      </c>
      <c r="F305" s="1" t="s">
        <v>754</v>
      </c>
      <c r="G305" s="1">
        <v>246250.59</v>
      </c>
      <c r="I305" s="30">
        <f>SUM($F$5:$F305)-SUM($E$5:$E305)</f>
        <v>246250.58999999845</v>
      </c>
      <c r="J305" s="30">
        <f t="shared" si="4"/>
        <v>-1.5425030142068863E-9</v>
      </c>
    </row>
    <row r="306" spans="1:10" x14ac:dyDescent="0.75">
      <c r="A306" s="1" t="s">
        <v>1042</v>
      </c>
      <c r="B306" s="1" t="s">
        <v>1042</v>
      </c>
      <c r="C306" s="1" t="s">
        <v>1048</v>
      </c>
      <c r="E306" s="1">
        <v>11731.59</v>
      </c>
      <c r="F306" s="1" t="s">
        <v>754</v>
      </c>
      <c r="G306" s="1">
        <v>234519</v>
      </c>
      <c r="I306" s="30">
        <f>SUM($F$5:$F306)-SUM($E$5:$E306)</f>
        <v>234518.9999999986</v>
      </c>
      <c r="J306" s="30">
        <f t="shared" si="4"/>
        <v>-1.3969838619232178E-9</v>
      </c>
    </row>
    <row r="307" spans="1:10" x14ac:dyDescent="0.75">
      <c r="A307" s="1" t="s">
        <v>1042</v>
      </c>
      <c r="B307" s="1" t="s">
        <v>1042</v>
      </c>
      <c r="C307" s="1" t="s">
        <v>773</v>
      </c>
      <c r="E307" s="1" t="s">
        <v>754</v>
      </c>
      <c r="F307" s="1">
        <v>180647.99</v>
      </c>
      <c r="G307" s="1">
        <v>415166.99</v>
      </c>
      <c r="I307" s="30">
        <f>SUM($F$5:$F307)-SUM($E$5:$E307)</f>
        <v>415166.98999999836</v>
      </c>
      <c r="J307" s="30">
        <f t="shared" si="4"/>
        <v>-1.6298145055770874E-9</v>
      </c>
    </row>
    <row r="308" spans="1:10" x14ac:dyDescent="0.75">
      <c r="A308" s="1" t="s">
        <v>1049</v>
      </c>
      <c r="B308" s="1" t="s">
        <v>1049</v>
      </c>
      <c r="C308" s="1" t="s">
        <v>1050</v>
      </c>
      <c r="E308" s="1">
        <v>2</v>
      </c>
      <c r="F308" s="1" t="s">
        <v>754</v>
      </c>
      <c r="G308" s="1">
        <v>415164.99</v>
      </c>
      <c r="I308" s="30">
        <f>SUM($F$5:$F308)-SUM($E$5:$E308)</f>
        <v>415164.98999999836</v>
      </c>
      <c r="J308" s="30">
        <f t="shared" si="4"/>
        <v>-1.6298145055770874E-9</v>
      </c>
    </row>
    <row r="309" spans="1:10" x14ac:dyDescent="0.75">
      <c r="A309" s="1" t="s">
        <v>1049</v>
      </c>
      <c r="B309" s="1" t="s">
        <v>1049</v>
      </c>
      <c r="C309" s="1" t="s">
        <v>1051</v>
      </c>
      <c r="E309" s="1">
        <v>1746</v>
      </c>
      <c r="F309" s="1" t="s">
        <v>754</v>
      </c>
      <c r="G309" s="1">
        <v>413418.99</v>
      </c>
      <c r="I309" s="30">
        <f>SUM($F$5:$F309)-SUM($E$5:$E309)</f>
        <v>413418.98999999836</v>
      </c>
      <c r="J309" s="30">
        <f t="shared" si="4"/>
        <v>-1.6298145055770874E-9</v>
      </c>
    </row>
    <row r="310" spans="1:10" x14ac:dyDescent="0.75">
      <c r="A310" s="1" t="s">
        <v>1049</v>
      </c>
      <c r="B310" s="1" t="s">
        <v>1049</v>
      </c>
      <c r="C310" s="1" t="s">
        <v>1052</v>
      </c>
      <c r="E310" s="1">
        <v>3040</v>
      </c>
      <c r="F310" s="1" t="s">
        <v>754</v>
      </c>
      <c r="G310" s="1">
        <v>410378.99</v>
      </c>
      <c r="I310" s="30">
        <f>SUM($F$5:$F310)-SUM($E$5:$E310)</f>
        <v>410378.98999999836</v>
      </c>
      <c r="J310" s="30">
        <f t="shared" si="4"/>
        <v>-1.6298145055770874E-9</v>
      </c>
    </row>
    <row r="311" spans="1:10" x14ac:dyDescent="0.75">
      <c r="A311" s="1" t="s">
        <v>1049</v>
      </c>
      <c r="B311" s="1" t="s">
        <v>1049</v>
      </c>
      <c r="C311" s="1" t="s">
        <v>1053</v>
      </c>
      <c r="E311" s="1">
        <v>4153.8999999999996</v>
      </c>
      <c r="F311" s="1" t="s">
        <v>754</v>
      </c>
      <c r="G311" s="1">
        <v>406225.09</v>
      </c>
      <c r="I311" s="30">
        <f>SUM($F$5:$F311)-SUM($E$5:$E311)</f>
        <v>406225.08999999845</v>
      </c>
      <c r="J311" s="30">
        <f t="shared" si="4"/>
        <v>-1.57160684466362E-9</v>
      </c>
    </row>
    <row r="312" spans="1:10" x14ac:dyDescent="0.75">
      <c r="A312" s="1" t="s">
        <v>1049</v>
      </c>
      <c r="B312" s="1" t="s">
        <v>1049</v>
      </c>
      <c r="C312" s="1" t="s">
        <v>1054</v>
      </c>
      <c r="E312" s="1">
        <v>8780</v>
      </c>
      <c r="F312" s="1" t="s">
        <v>754</v>
      </c>
      <c r="G312" s="1">
        <v>397445.09</v>
      </c>
      <c r="I312" s="30">
        <f>SUM($F$5:$F312)-SUM($E$5:$E312)</f>
        <v>397445.08999999845</v>
      </c>
      <c r="J312" s="30">
        <f t="shared" si="4"/>
        <v>-1.57160684466362E-9</v>
      </c>
    </row>
    <row r="313" spans="1:10" x14ac:dyDescent="0.75">
      <c r="A313" s="1" t="s">
        <v>1049</v>
      </c>
      <c r="B313" s="1" t="s">
        <v>1049</v>
      </c>
      <c r="C313" s="1" t="s">
        <v>1055</v>
      </c>
      <c r="E313" s="1">
        <v>9680</v>
      </c>
      <c r="F313" s="1" t="s">
        <v>754</v>
      </c>
      <c r="G313" s="1">
        <v>387765.09</v>
      </c>
      <c r="I313" s="30">
        <f>SUM($F$5:$F313)-SUM($E$5:$E313)</f>
        <v>387765.08999999845</v>
      </c>
      <c r="J313" s="30">
        <f t="shared" si="4"/>
        <v>-1.57160684466362E-9</v>
      </c>
    </row>
    <row r="314" spans="1:10" x14ac:dyDescent="0.75">
      <c r="A314" s="1" t="s">
        <v>1049</v>
      </c>
      <c r="B314" s="1" t="s">
        <v>1049</v>
      </c>
      <c r="C314" s="1" t="s">
        <v>773</v>
      </c>
      <c r="E314" s="1" t="s">
        <v>754</v>
      </c>
      <c r="F314" s="1">
        <v>362730.47</v>
      </c>
      <c r="G314" s="1">
        <v>750495.56</v>
      </c>
      <c r="I314" s="30">
        <f>SUM($F$5:$F314)-SUM($E$5:$E314)</f>
        <v>750495.55999999819</v>
      </c>
      <c r="J314" s="30">
        <f t="shared" si="4"/>
        <v>-1.862645149230957E-9</v>
      </c>
    </row>
    <row r="315" spans="1:10" x14ac:dyDescent="0.75">
      <c r="A315" s="1" t="s">
        <v>1056</v>
      </c>
      <c r="B315" s="1" t="s">
        <v>1056</v>
      </c>
      <c r="C315" s="1" t="s">
        <v>1057</v>
      </c>
      <c r="E315" s="1">
        <v>2186.8200000000002</v>
      </c>
      <c r="F315" s="1" t="s">
        <v>754</v>
      </c>
      <c r="G315" s="1">
        <v>748308.74</v>
      </c>
      <c r="I315" s="30">
        <f>SUM($F$5:$F315)-SUM($E$5:$E315)</f>
        <v>748308.73999999836</v>
      </c>
      <c r="J315" s="30">
        <f t="shared" si="4"/>
        <v>-1.6298145055770874E-9</v>
      </c>
    </row>
    <row r="316" spans="1:10" x14ac:dyDescent="0.75">
      <c r="A316" s="1" t="s">
        <v>1056</v>
      </c>
      <c r="B316" s="1" t="s">
        <v>1056</v>
      </c>
      <c r="C316" s="1" t="s">
        <v>1058</v>
      </c>
      <c r="E316" s="1">
        <v>2864.08</v>
      </c>
      <c r="F316" s="1" t="s">
        <v>754</v>
      </c>
      <c r="G316" s="1">
        <v>745444.66</v>
      </c>
      <c r="I316" s="30">
        <f>SUM($F$5:$F316)-SUM($E$5:$E316)</f>
        <v>745444.65999999829</v>
      </c>
      <c r="J316" s="30">
        <f t="shared" si="4"/>
        <v>-1.7462298274040222E-9</v>
      </c>
    </row>
    <row r="317" spans="1:10" x14ac:dyDescent="0.75">
      <c r="A317" s="1" t="s">
        <v>1056</v>
      </c>
      <c r="B317" s="1" t="s">
        <v>1056</v>
      </c>
      <c r="C317" s="1" t="s">
        <v>1059</v>
      </c>
      <c r="E317" s="1">
        <v>3056.21</v>
      </c>
      <c r="F317" s="1" t="s">
        <v>754</v>
      </c>
      <c r="G317" s="1">
        <v>742388.45</v>
      </c>
      <c r="I317" s="30">
        <f>SUM($F$5:$F317)-SUM($E$5:$E317)</f>
        <v>742388.44999999832</v>
      </c>
      <c r="J317" s="30">
        <f t="shared" si="4"/>
        <v>-1.6298145055770874E-9</v>
      </c>
    </row>
    <row r="318" spans="1:10" x14ac:dyDescent="0.75">
      <c r="A318" s="1" t="s">
        <v>1056</v>
      </c>
      <c r="B318" s="1" t="s">
        <v>1056</v>
      </c>
      <c r="C318" s="1" t="s">
        <v>1060</v>
      </c>
      <c r="E318" s="1">
        <v>6383.55</v>
      </c>
      <c r="F318" s="1" t="s">
        <v>754</v>
      </c>
      <c r="G318" s="30">
        <v>736004.9</v>
      </c>
      <c r="I318" s="30">
        <f>SUM($F$5:$F318)-SUM($E$5:$E318)</f>
        <v>736004.89999999851</v>
      </c>
      <c r="J318" s="30">
        <f t="shared" si="4"/>
        <v>-1.5133991837501526E-9</v>
      </c>
    </row>
    <row r="319" spans="1:10" x14ac:dyDescent="0.75">
      <c r="A319" s="1" t="s">
        <v>1056</v>
      </c>
      <c r="B319" s="1" t="s">
        <v>1056</v>
      </c>
      <c r="C319" s="1" t="s">
        <v>773</v>
      </c>
      <c r="E319" s="1" t="s">
        <v>754</v>
      </c>
      <c r="F319" s="30">
        <v>8507.5</v>
      </c>
      <c r="G319" s="30">
        <v>744512.4</v>
      </c>
      <c r="I319" s="30">
        <f>SUM($F$5:$F319)-SUM($E$5:$E319)</f>
        <v>744512.39999999851</v>
      </c>
      <c r="J319" s="30">
        <f t="shared" si="4"/>
        <v>-1.5133991837501526E-9</v>
      </c>
    </row>
    <row r="320" spans="1:10" x14ac:dyDescent="0.75">
      <c r="A320" s="1" t="s">
        <v>1061</v>
      </c>
      <c r="B320" s="1" t="s">
        <v>1062</v>
      </c>
      <c r="C320" s="1" t="s">
        <v>1063</v>
      </c>
      <c r="E320" s="30">
        <v>2328</v>
      </c>
      <c r="F320" s="1" t="s">
        <v>754</v>
      </c>
      <c r="G320" s="30">
        <v>742184.4</v>
      </c>
      <c r="I320" s="30">
        <f>SUM($F$5:$F320)-SUM($E$5:$E320)</f>
        <v>742184.39999999851</v>
      </c>
      <c r="J320" s="30">
        <f t="shared" si="4"/>
        <v>-1.5133991837501526E-9</v>
      </c>
    </row>
    <row r="321" spans="1:10" x14ac:dyDescent="0.75">
      <c r="A321" s="1" t="s">
        <v>1062</v>
      </c>
      <c r="B321" s="1" t="s">
        <v>1062</v>
      </c>
      <c r="C321" s="1" t="s">
        <v>773</v>
      </c>
      <c r="E321" s="1" t="s">
        <v>754</v>
      </c>
      <c r="F321" s="30">
        <v>1786.25</v>
      </c>
      <c r="G321" s="30">
        <v>743970.65</v>
      </c>
      <c r="I321" s="30">
        <f>SUM($F$5:$F321)-SUM($E$5:$E321)</f>
        <v>743970.64999999851</v>
      </c>
      <c r="J321" s="30">
        <f t="shared" si="4"/>
        <v>-1.5133991837501526E-9</v>
      </c>
    </row>
    <row r="322" spans="1:10" x14ac:dyDescent="0.75">
      <c r="A322" s="1" t="s">
        <v>1062</v>
      </c>
      <c r="B322" s="1" t="s">
        <v>1064</v>
      </c>
      <c r="C322" s="1" t="s">
        <v>1065</v>
      </c>
      <c r="E322" s="1">
        <v>416.25</v>
      </c>
      <c r="F322" s="1" t="s">
        <v>754</v>
      </c>
      <c r="G322" s="30">
        <v>743554.4</v>
      </c>
      <c r="I322" s="30">
        <f>SUM($F$5:$F322)-SUM($E$5:$E322)</f>
        <v>743554.39999999851</v>
      </c>
      <c r="J322" s="30">
        <f t="shared" si="4"/>
        <v>-1.5133991837501526E-9</v>
      </c>
    </row>
    <row r="323" spans="1:10" x14ac:dyDescent="0.75">
      <c r="A323" s="1" t="s">
        <v>1064</v>
      </c>
      <c r="B323" s="1" t="s">
        <v>1064</v>
      </c>
      <c r="G323" s="30">
        <v>743554.4</v>
      </c>
      <c r="I323" s="30">
        <f>SUM($F$5:$F323)-SUM($E$5:$E323)</f>
        <v>743554.39999999851</v>
      </c>
      <c r="J323" s="30">
        <f t="shared" si="4"/>
        <v>-1.5133991837501526E-9</v>
      </c>
    </row>
    <row r="324" spans="1:10" x14ac:dyDescent="0.75">
      <c r="A324" s="1" t="s">
        <v>1064</v>
      </c>
      <c r="B324" s="1" t="s">
        <v>1064</v>
      </c>
      <c r="C324" s="1" t="s">
        <v>1066</v>
      </c>
      <c r="E324" s="1">
        <v>4800</v>
      </c>
      <c r="F324" s="1" t="s">
        <v>754</v>
      </c>
      <c r="G324" s="1">
        <v>738754.4</v>
      </c>
      <c r="I324" s="30">
        <f>SUM($F$5:$F324)-SUM($E$5:$E324)</f>
        <v>738754.39999999851</v>
      </c>
      <c r="J324" s="30">
        <f t="shared" si="4"/>
        <v>-1.5133991837501526E-9</v>
      </c>
    </row>
    <row r="325" spans="1:10" x14ac:dyDescent="0.75">
      <c r="A325" s="31">
        <v>43530</v>
      </c>
      <c r="B325" s="31">
        <v>43530</v>
      </c>
      <c r="C325" s="1" t="s">
        <v>1067</v>
      </c>
      <c r="E325" s="1">
        <v>15685.3</v>
      </c>
      <c r="F325" s="1" t="s">
        <v>754</v>
      </c>
      <c r="G325" s="1">
        <v>723069.1</v>
      </c>
      <c r="I325" s="30">
        <f>SUM($F$5:$F325)-SUM($E$5:$E325)</f>
        <v>723069.0999999987</v>
      </c>
      <c r="J325" s="30">
        <f t="shared" si="4"/>
        <v>-1.280568540096283E-9</v>
      </c>
    </row>
    <row r="326" spans="1:10" x14ac:dyDescent="0.75">
      <c r="A326" s="31">
        <v>43530</v>
      </c>
      <c r="B326" s="31">
        <v>43530</v>
      </c>
      <c r="C326" s="1" t="s">
        <v>773</v>
      </c>
      <c r="E326" s="1" t="s">
        <v>754</v>
      </c>
      <c r="F326" s="1">
        <v>15000</v>
      </c>
      <c r="G326" s="1">
        <v>738069.1</v>
      </c>
      <c r="I326" s="30">
        <f>SUM($F$5:$F326)-SUM($E$5:$E326)</f>
        <v>738069.0999999987</v>
      </c>
      <c r="J326" s="30">
        <f t="shared" ref="J326:J389" si="5">I326-G326</f>
        <v>-1.280568540096283E-9</v>
      </c>
    </row>
    <row r="327" spans="1:10" x14ac:dyDescent="0.75">
      <c r="A327" s="31">
        <v>43561</v>
      </c>
      <c r="B327" s="31">
        <v>43561</v>
      </c>
      <c r="C327" s="1" t="s">
        <v>1068</v>
      </c>
      <c r="E327" s="1">
        <v>600000</v>
      </c>
      <c r="F327" s="1" t="s">
        <v>754</v>
      </c>
      <c r="G327" s="1">
        <v>138069.1</v>
      </c>
      <c r="I327" s="30">
        <f>SUM($F$5:$F327)-SUM($E$5:$E327)</f>
        <v>138069.0999999987</v>
      </c>
      <c r="J327" s="30">
        <f t="shared" si="5"/>
        <v>-1.3096723705530167E-9</v>
      </c>
    </row>
    <row r="328" spans="1:10" x14ac:dyDescent="0.75">
      <c r="A328" s="31">
        <v>43561</v>
      </c>
      <c r="B328" s="31">
        <v>43561</v>
      </c>
      <c r="C328" s="1" t="s">
        <v>773</v>
      </c>
      <c r="E328" s="1" t="s">
        <v>754</v>
      </c>
      <c r="F328" s="1">
        <v>9390.42</v>
      </c>
      <c r="G328" s="1">
        <v>147459.51999999999</v>
      </c>
      <c r="I328" s="30">
        <f>SUM($F$5:$F328)-SUM($E$5:$E328)</f>
        <v>147459.51999999862</v>
      </c>
      <c r="J328" s="30">
        <f t="shared" si="5"/>
        <v>-1.3678800314664841E-9</v>
      </c>
    </row>
    <row r="329" spans="1:10" x14ac:dyDescent="0.75">
      <c r="A329" s="31">
        <v>43622</v>
      </c>
      <c r="B329" s="31">
        <v>43622</v>
      </c>
      <c r="C329" s="1" t="s">
        <v>1069</v>
      </c>
      <c r="E329" s="1">
        <v>817.6</v>
      </c>
      <c r="F329" s="1" t="s">
        <v>754</v>
      </c>
      <c r="G329" s="1">
        <v>146641.92000000001</v>
      </c>
      <c r="I329" s="30">
        <f>SUM($F$5:$F329)-SUM($E$5:$E329)</f>
        <v>146641.91999999899</v>
      </c>
      <c r="J329" s="30">
        <f t="shared" si="5"/>
        <v>-1.0186340659856796E-9</v>
      </c>
    </row>
    <row r="330" spans="1:10" x14ac:dyDescent="0.75">
      <c r="A330" s="31">
        <v>43622</v>
      </c>
      <c r="B330" s="31">
        <v>43622</v>
      </c>
      <c r="C330" s="1" t="s">
        <v>1070</v>
      </c>
      <c r="E330" s="1">
        <v>1615</v>
      </c>
      <c r="F330" s="1" t="s">
        <v>754</v>
      </c>
      <c r="G330" s="1">
        <v>145026.92000000001</v>
      </c>
      <c r="I330" s="30">
        <f>SUM($F$5:$F330)-SUM($E$5:$E330)</f>
        <v>145026.91999999899</v>
      </c>
      <c r="J330" s="30">
        <f t="shared" si="5"/>
        <v>-1.0186340659856796E-9</v>
      </c>
    </row>
    <row r="331" spans="1:10" x14ac:dyDescent="0.75">
      <c r="A331" s="31">
        <v>43622</v>
      </c>
      <c r="B331" s="31">
        <v>43622</v>
      </c>
      <c r="C331" s="1" t="s">
        <v>1071</v>
      </c>
      <c r="E331" s="1">
        <v>2530.66</v>
      </c>
      <c r="F331" s="1" t="s">
        <v>754</v>
      </c>
      <c r="G331" s="1">
        <v>142496.26</v>
      </c>
      <c r="I331" s="30">
        <f>SUM($F$5:$F331)-SUM($E$5:$E331)</f>
        <v>142496.25999999885</v>
      </c>
      <c r="J331" s="30">
        <f t="shared" si="5"/>
        <v>-1.1641532182693481E-9</v>
      </c>
    </row>
    <row r="332" spans="1:10" x14ac:dyDescent="0.75">
      <c r="A332" s="31">
        <v>43622</v>
      </c>
      <c r="B332" s="31">
        <v>43622</v>
      </c>
      <c r="C332" s="1" t="s">
        <v>773</v>
      </c>
      <c r="E332" s="1" t="s">
        <v>754</v>
      </c>
      <c r="F332" s="1">
        <v>9436.18</v>
      </c>
      <c r="G332" s="1">
        <v>151932.44</v>
      </c>
      <c r="I332" s="30">
        <f>SUM($F$5:$F332)-SUM($E$5:$E332)</f>
        <v>151932.43999999855</v>
      </c>
      <c r="J332" s="30">
        <f t="shared" si="5"/>
        <v>-1.4551915228366852E-9</v>
      </c>
    </row>
    <row r="333" spans="1:10" x14ac:dyDescent="0.75">
      <c r="A333" s="31">
        <v>43744</v>
      </c>
      <c r="B333" s="31">
        <v>43744</v>
      </c>
      <c r="C333" s="1" t="s">
        <v>1072</v>
      </c>
      <c r="E333" s="1">
        <v>2904.8</v>
      </c>
      <c r="F333" s="1" t="s">
        <v>754</v>
      </c>
      <c r="G333" s="1">
        <v>149027.64000000001</v>
      </c>
      <c r="I333" s="30">
        <f>SUM($F$5:$F333)-SUM($E$5:$E333)</f>
        <v>149027.63999999873</v>
      </c>
      <c r="J333" s="30">
        <f t="shared" si="5"/>
        <v>-1.280568540096283E-9</v>
      </c>
    </row>
    <row r="334" spans="1:10" x14ac:dyDescent="0.75">
      <c r="A334" s="31">
        <v>43744</v>
      </c>
      <c r="B334" s="31">
        <v>43744</v>
      </c>
      <c r="C334" s="1" t="s">
        <v>1073</v>
      </c>
      <c r="E334" s="1">
        <v>2912.8</v>
      </c>
      <c r="F334" s="1" t="s">
        <v>754</v>
      </c>
      <c r="G334" s="1">
        <v>146114.84</v>
      </c>
      <c r="I334" s="30">
        <f>SUM($F$5:$F334)-SUM($E$5:$E334)</f>
        <v>146114.83999999892</v>
      </c>
      <c r="J334" s="30">
        <f t="shared" si="5"/>
        <v>-1.076841726899147E-9</v>
      </c>
    </row>
    <row r="335" spans="1:10" x14ac:dyDescent="0.75">
      <c r="A335" s="31">
        <v>43744</v>
      </c>
      <c r="B335" s="31">
        <v>43744</v>
      </c>
      <c r="C335" s="1" t="s">
        <v>1074</v>
      </c>
      <c r="E335" s="1">
        <v>2946.11</v>
      </c>
      <c r="F335" s="1" t="s">
        <v>754</v>
      </c>
      <c r="G335" s="1">
        <v>143168.73000000001</v>
      </c>
      <c r="I335" s="30">
        <f>SUM($F$5:$F335)-SUM($E$5:$E335)</f>
        <v>143168.72999999858</v>
      </c>
      <c r="J335" s="30">
        <f t="shared" si="5"/>
        <v>-1.4260876923799515E-9</v>
      </c>
    </row>
    <row r="336" spans="1:10" x14ac:dyDescent="0.75">
      <c r="A336" s="31">
        <v>43744</v>
      </c>
      <c r="B336" s="31">
        <v>43744</v>
      </c>
      <c r="C336" s="1" t="s">
        <v>773</v>
      </c>
      <c r="E336" s="1" t="s">
        <v>754</v>
      </c>
      <c r="F336" s="1">
        <v>21292.82</v>
      </c>
      <c r="G336" s="1">
        <v>164461.54999999999</v>
      </c>
      <c r="I336" s="30">
        <f>SUM($F$5:$F336)-SUM($E$5:$E336)</f>
        <v>164461.54999999888</v>
      </c>
      <c r="J336" s="30">
        <f t="shared" si="5"/>
        <v>-1.1059455573558807E-9</v>
      </c>
    </row>
    <row r="337" spans="1:10" x14ac:dyDescent="0.75">
      <c r="A337" s="31">
        <v>43775</v>
      </c>
      <c r="B337" s="31">
        <v>43775</v>
      </c>
      <c r="C337" s="1" t="s">
        <v>1075</v>
      </c>
      <c r="E337" s="1">
        <v>3371.72</v>
      </c>
      <c r="F337" s="1" t="s">
        <v>754</v>
      </c>
      <c r="G337" s="1">
        <v>161089.82999999999</v>
      </c>
      <c r="I337" s="30">
        <f>SUM($F$5:$F337)-SUM($E$5:$E337)</f>
        <v>161089.82999999914</v>
      </c>
      <c r="J337" s="30">
        <f t="shared" si="5"/>
        <v>-8.440110832452774E-10</v>
      </c>
    </row>
    <row r="338" spans="1:10" x14ac:dyDescent="0.75">
      <c r="A338" s="31">
        <v>43775</v>
      </c>
      <c r="B338" s="31">
        <v>43775</v>
      </c>
      <c r="C338" s="1" t="s">
        <v>773</v>
      </c>
      <c r="E338" s="1" t="s">
        <v>754</v>
      </c>
      <c r="F338" s="1">
        <v>7566.09</v>
      </c>
      <c r="G338" s="1">
        <v>168655.92</v>
      </c>
      <c r="I338" s="30">
        <f>SUM($F$5:$F338)-SUM($E$5:$E338)</f>
        <v>168655.91999999899</v>
      </c>
      <c r="J338" s="30">
        <f t="shared" si="5"/>
        <v>-1.0186340659856796E-9</v>
      </c>
    </row>
    <row r="339" spans="1:10" x14ac:dyDescent="0.75">
      <c r="A339" s="1" t="s">
        <v>1076</v>
      </c>
      <c r="B339" s="1" t="s">
        <v>1076</v>
      </c>
      <c r="C339" s="1" t="s">
        <v>773</v>
      </c>
      <c r="E339" s="1" t="s">
        <v>754</v>
      </c>
      <c r="F339" s="1">
        <v>37377.39</v>
      </c>
      <c r="G339" s="1">
        <v>206033.31</v>
      </c>
      <c r="I339" s="30">
        <f>SUM($F$5:$F339)-SUM($E$5:$E339)</f>
        <v>206033.30999999866</v>
      </c>
      <c r="J339" s="30">
        <f t="shared" si="5"/>
        <v>-1.3387762010097504E-9</v>
      </c>
    </row>
    <row r="340" spans="1:10" x14ac:dyDescent="0.75">
      <c r="A340" s="1" t="s">
        <v>1077</v>
      </c>
      <c r="B340" s="1" t="s">
        <v>1077</v>
      </c>
      <c r="C340" s="1" t="s">
        <v>1078</v>
      </c>
      <c r="E340" s="1">
        <v>15052.46</v>
      </c>
      <c r="F340" s="1" t="s">
        <v>754</v>
      </c>
      <c r="G340" s="1">
        <v>190980.85</v>
      </c>
      <c r="I340" s="30">
        <f>SUM($F$5:$F340)-SUM($E$5:$E340)</f>
        <v>190980.8499999987</v>
      </c>
      <c r="J340" s="30">
        <f t="shared" si="5"/>
        <v>-1.3096723705530167E-9</v>
      </c>
    </row>
    <row r="341" spans="1:10" x14ac:dyDescent="0.75">
      <c r="A341" s="1" t="s">
        <v>1077</v>
      </c>
      <c r="B341" s="1" t="s">
        <v>1077</v>
      </c>
      <c r="C341" s="1" t="s">
        <v>1079</v>
      </c>
      <c r="E341" s="1">
        <v>21285.49</v>
      </c>
      <c r="F341" s="1" t="s">
        <v>754</v>
      </c>
      <c r="G341" s="1">
        <v>169695.35999999999</v>
      </c>
      <c r="I341" s="30">
        <f>SUM($F$5:$F341)-SUM($E$5:$E341)</f>
        <v>169695.35999999847</v>
      </c>
      <c r="J341" s="30">
        <f t="shared" si="5"/>
        <v>-1.5133991837501526E-9</v>
      </c>
    </row>
    <row r="342" spans="1:10" x14ac:dyDescent="0.75">
      <c r="A342" s="1" t="s">
        <v>1077</v>
      </c>
      <c r="B342" s="1" t="s">
        <v>1077</v>
      </c>
      <c r="C342" s="1" t="s">
        <v>773</v>
      </c>
      <c r="E342" s="1" t="s">
        <v>754</v>
      </c>
      <c r="F342" s="1">
        <v>14470.53</v>
      </c>
      <c r="G342" s="30">
        <v>184165.89</v>
      </c>
      <c r="I342" s="30">
        <f>SUM($F$5:$F342)-SUM($E$5:$E342)</f>
        <v>184165.88999999873</v>
      </c>
      <c r="J342" s="30">
        <f t="shared" si="5"/>
        <v>-1.280568540096283E-9</v>
      </c>
    </row>
    <row r="343" spans="1:10" x14ac:dyDescent="0.75">
      <c r="A343" s="1" t="s">
        <v>1080</v>
      </c>
      <c r="B343" s="1" t="s">
        <v>1080</v>
      </c>
      <c r="C343" s="1" t="s">
        <v>1081</v>
      </c>
      <c r="E343" s="1">
        <v>504.4</v>
      </c>
      <c r="F343" s="30" t="s">
        <v>754</v>
      </c>
      <c r="G343" s="30">
        <v>183661.49</v>
      </c>
      <c r="I343" s="30">
        <f>SUM($F$5:$F343)-SUM($E$5:$E343)</f>
        <v>183661.48999999836</v>
      </c>
      <c r="J343" s="30">
        <f t="shared" si="5"/>
        <v>-1.6298145055770874E-9</v>
      </c>
    </row>
    <row r="344" spans="1:10" x14ac:dyDescent="0.75">
      <c r="A344" s="1" t="s">
        <v>1080</v>
      </c>
      <c r="B344" s="1" t="s">
        <v>1080</v>
      </c>
      <c r="C344" s="1" t="s">
        <v>1082</v>
      </c>
      <c r="E344" s="30">
        <v>1081.55</v>
      </c>
      <c r="F344" s="1" t="s">
        <v>754</v>
      </c>
      <c r="G344" s="30">
        <v>182579.94</v>
      </c>
      <c r="I344" s="30">
        <f>SUM($F$5:$F344)-SUM($E$5:$E344)</f>
        <v>182579.93999999855</v>
      </c>
      <c r="J344" s="30">
        <f t="shared" si="5"/>
        <v>-1.4551915228366852E-9</v>
      </c>
    </row>
    <row r="345" spans="1:10" x14ac:dyDescent="0.75">
      <c r="A345" s="1" t="s">
        <v>1080</v>
      </c>
      <c r="B345" s="1" t="s">
        <v>1080</v>
      </c>
      <c r="C345" s="1" t="s">
        <v>1083</v>
      </c>
      <c r="E345" s="1">
        <v>6324</v>
      </c>
      <c r="F345" s="30" t="s">
        <v>754</v>
      </c>
      <c r="G345" s="30">
        <v>176255.94</v>
      </c>
      <c r="I345" s="30">
        <f>SUM($F$5:$F345)-SUM($E$5:$E345)</f>
        <v>176255.93999999855</v>
      </c>
      <c r="J345" s="30">
        <f t="shared" si="5"/>
        <v>-1.4551915228366852E-9</v>
      </c>
    </row>
    <row r="346" spans="1:10" x14ac:dyDescent="0.75">
      <c r="A346" s="1" t="s">
        <v>1080</v>
      </c>
      <c r="B346" s="1" t="s">
        <v>1080</v>
      </c>
      <c r="C346" s="1" t="s">
        <v>1084</v>
      </c>
      <c r="E346" s="1">
        <v>7760.79</v>
      </c>
      <c r="F346" s="1" t="s">
        <v>754</v>
      </c>
      <c r="G346" s="30">
        <v>168495.15</v>
      </c>
      <c r="I346" s="30">
        <f>SUM($F$5:$F346)-SUM($E$5:$E346)</f>
        <v>168495.14999999851</v>
      </c>
      <c r="J346" s="30">
        <f t="shared" si="5"/>
        <v>-1.4842953532934189E-9</v>
      </c>
    </row>
    <row r="347" spans="1:10" x14ac:dyDescent="0.75">
      <c r="A347" s="1" t="s">
        <v>1080</v>
      </c>
      <c r="B347" s="1" t="s">
        <v>1080</v>
      </c>
      <c r="C347" s="1" t="s">
        <v>1085</v>
      </c>
      <c r="E347" s="1">
        <v>22700.91</v>
      </c>
      <c r="F347" s="1" t="s">
        <v>754</v>
      </c>
      <c r="G347" s="1">
        <v>145794.23999999999</v>
      </c>
      <c r="I347" s="30">
        <f>SUM($F$5:$F347)-SUM($E$5:$E347)</f>
        <v>145794.23999999836</v>
      </c>
      <c r="J347" s="30">
        <f t="shared" si="5"/>
        <v>-1.6298145055770874E-9</v>
      </c>
    </row>
    <row r="348" spans="1:10" x14ac:dyDescent="0.75">
      <c r="A348" s="1" t="s">
        <v>1080</v>
      </c>
      <c r="B348" s="1" t="s">
        <v>1080</v>
      </c>
      <c r="C348" s="1" t="s">
        <v>1086</v>
      </c>
      <c r="E348" s="1">
        <v>36718.1</v>
      </c>
      <c r="F348" s="1" t="s">
        <v>754</v>
      </c>
      <c r="G348" s="1">
        <v>109076.14</v>
      </c>
      <c r="I348" s="30">
        <f>SUM($F$5:$F348)-SUM($E$5:$E348)</f>
        <v>109076.13999999873</v>
      </c>
      <c r="J348" s="30">
        <f t="shared" si="5"/>
        <v>-1.2660166248679161E-9</v>
      </c>
    </row>
    <row r="349" spans="1:10" x14ac:dyDescent="0.75">
      <c r="A349" s="1" t="s">
        <v>1080</v>
      </c>
      <c r="B349" s="1" t="s">
        <v>1080</v>
      </c>
      <c r="C349" s="1" t="s">
        <v>1087</v>
      </c>
      <c r="E349" s="1">
        <v>8809.75</v>
      </c>
      <c r="F349" s="1" t="s">
        <v>754</v>
      </c>
      <c r="G349" s="1">
        <v>100266.39</v>
      </c>
      <c r="I349" s="30">
        <f>SUM($F$5:$F349)-SUM($E$5:$E349)</f>
        <v>100266.38999999873</v>
      </c>
      <c r="J349" s="30">
        <f t="shared" si="5"/>
        <v>-1.2660166248679161E-9</v>
      </c>
    </row>
    <row r="350" spans="1:10" x14ac:dyDescent="0.75">
      <c r="A350" s="31" t="s">
        <v>1080</v>
      </c>
      <c r="B350" s="31" t="s">
        <v>1080</v>
      </c>
      <c r="C350" s="1" t="s">
        <v>1088</v>
      </c>
      <c r="E350" s="1">
        <v>12512.64</v>
      </c>
      <c r="F350" s="1" t="s">
        <v>754</v>
      </c>
      <c r="G350" s="1">
        <v>87753.75</v>
      </c>
      <c r="I350" s="30">
        <f>SUM($F$5:$F350)-SUM($E$5:$E350)</f>
        <v>87753.749999999069</v>
      </c>
      <c r="J350" s="30">
        <f t="shared" si="5"/>
        <v>-9.3132257461547852E-10</v>
      </c>
    </row>
    <row r="351" spans="1:10" x14ac:dyDescent="0.75">
      <c r="A351" s="31" t="s">
        <v>1080</v>
      </c>
      <c r="B351" s="31" t="s">
        <v>1080</v>
      </c>
      <c r="C351" s="1" t="s">
        <v>1089</v>
      </c>
      <c r="E351" s="1">
        <v>552.9</v>
      </c>
      <c r="F351" s="1" t="s">
        <v>754</v>
      </c>
      <c r="G351" s="1">
        <v>87200.85</v>
      </c>
      <c r="I351" s="30">
        <f>SUM($F$5:$F351)-SUM($E$5:$E351)</f>
        <v>87200.849999998696</v>
      </c>
      <c r="J351" s="30">
        <f t="shared" si="5"/>
        <v>-1.3096723705530167E-9</v>
      </c>
    </row>
    <row r="352" spans="1:10" x14ac:dyDescent="0.75">
      <c r="A352" s="31" t="s">
        <v>1090</v>
      </c>
      <c r="B352" s="31" t="s">
        <v>1090</v>
      </c>
      <c r="C352" s="1" t="s">
        <v>1091</v>
      </c>
      <c r="E352" s="1">
        <v>692.76</v>
      </c>
      <c r="F352" s="1" t="s">
        <v>754</v>
      </c>
      <c r="G352" s="1">
        <v>86508.09</v>
      </c>
      <c r="I352" s="30">
        <f>SUM($F$5:$F352)-SUM($E$5:$E352)</f>
        <v>86508.08999999892</v>
      </c>
      <c r="J352" s="30">
        <f t="shared" si="5"/>
        <v>-1.076841726899147E-9</v>
      </c>
    </row>
    <row r="353" spans="1:10" x14ac:dyDescent="0.75">
      <c r="A353" s="31" t="s">
        <v>1090</v>
      </c>
      <c r="B353" s="31" t="s">
        <v>1090</v>
      </c>
      <c r="C353" s="1" t="s">
        <v>1092</v>
      </c>
      <c r="E353" s="1">
        <v>2263.9699999999998</v>
      </c>
      <c r="F353" s="1" t="s">
        <v>754</v>
      </c>
      <c r="G353" s="1">
        <v>84244.12</v>
      </c>
      <c r="I353" s="30">
        <f>SUM($F$5:$F353)-SUM($E$5:$E353)</f>
        <v>84244.11999999918</v>
      </c>
      <c r="J353" s="30">
        <f t="shared" si="5"/>
        <v>-8.149072527885437E-10</v>
      </c>
    </row>
    <row r="354" spans="1:10" x14ac:dyDescent="0.75">
      <c r="A354" s="31" t="s">
        <v>1090</v>
      </c>
      <c r="B354" s="31" t="s">
        <v>1090</v>
      </c>
      <c r="C354" s="1" t="s">
        <v>1093</v>
      </c>
      <c r="E354" s="1">
        <v>5619.42</v>
      </c>
      <c r="F354" s="1" t="s">
        <v>754</v>
      </c>
      <c r="G354" s="1">
        <v>78624.7</v>
      </c>
      <c r="I354" s="30">
        <f>SUM($F$5:$F354)-SUM($E$5:$E354)</f>
        <v>78624.699999999255</v>
      </c>
      <c r="J354" s="30">
        <f t="shared" si="5"/>
        <v>-7.4214767664670944E-10</v>
      </c>
    </row>
    <row r="355" spans="1:10" x14ac:dyDescent="0.75">
      <c r="A355" s="31" t="s">
        <v>1090</v>
      </c>
      <c r="B355" s="31" t="s">
        <v>1090</v>
      </c>
      <c r="C355" s="1" t="s">
        <v>1094</v>
      </c>
      <c r="E355" s="1">
        <v>10324.030000000001</v>
      </c>
      <c r="F355" s="1" t="s">
        <v>754</v>
      </c>
      <c r="G355" s="1">
        <v>68300.67</v>
      </c>
      <c r="I355" s="30">
        <f>SUM($F$5:$F355)-SUM($E$5:$E355)</f>
        <v>68300.669999998994</v>
      </c>
      <c r="J355" s="30">
        <f t="shared" si="5"/>
        <v>-1.0040821507573128E-9</v>
      </c>
    </row>
    <row r="356" spans="1:10" x14ac:dyDescent="0.75">
      <c r="A356" s="31" t="s">
        <v>1090</v>
      </c>
      <c r="B356" s="31" t="s">
        <v>1090</v>
      </c>
      <c r="C356" s="1" t="s">
        <v>1095</v>
      </c>
      <c r="E356" s="1">
        <v>465.6</v>
      </c>
      <c r="F356" s="1" t="s">
        <v>754</v>
      </c>
      <c r="G356" s="1">
        <v>67835.070000000007</v>
      </c>
      <c r="I356" s="30">
        <f>SUM($F$5:$F356)-SUM($E$5:$E356)</f>
        <v>67835.069999999367</v>
      </c>
      <c r="J356" s="30">
        <f t="shared" si="5"/>
        <v>-6.4028427004814148E-10</v>
      </c>
    </row>
    <row r="357" spans="1:10" x14ac:dyDescent="0.75">
      <c r="A357" s="31" t="s">
        <v>1096</v>
      </c>
      <c r="B357" s="31" t="s">
        <v>1096</v>
      </c>
      <c r="C357" s="1" t="s">
        <v>1097</v>
      </c>
      <c r="E357" s="1">
        <v>6548.85</v>
      </c>
      <c r="F357" s="1" t="s">
        <v>754</v>
      </c>
      <c r="G357" s="1">
        <v>61286.22</v>
      </c>
      <c r="I357" s="30">
        <f>SUM($F$5:$F357)-SUM($E$5:$E357)</f>
        <v>61286.219999999739</v>
      </c>
      <c r="J357" s="30">
        <f t="shared" si="5"/>
        <v>-2.6193447411060333E-10</v>
      </c>
    </row>
    <row r="358" spans="1:10" x14ac:dyDescent="0.75">
      <c r="A358" s="31" t="s">
        <v>1096</v>
      </c>
      <c r="B358" s="31" t="s">
        <v>1096</v>
      </c>
      <c r="C358" s="1" t="s">
        <v>773</v>
      </c>
      <c r="E358" s="1" t="s">
        <v>754</v>
      </c>
      <c r="F358" s="1">
        <v>995</v>
      </c>
      <c r="G358" s="1">
        <v>62281.22</v>
      </c>
      <c r="I358" s="30">
        <f>SUM($F$5:$F358)-SUM($E$5:$E358)</f>
        <v>62281.219999999739</v>
      </c>
      <c r="J358" s="30">
        <f t="shared" si="5"/>
        <v>-2.6193447411060333E-10</v>
      </c>
    </row>
    <row r="359" spans="1:10" x14ac:dyDescent="0.75">
      <c r="A359" s="31" t="s">
        <v>1098</v>
      </c>
      <c r="B359" s="31" t="s">
        <v>1098</v>
      </c>
      <c r="C359" s="1" t="s">
        <v>1099</v>
      </c>
      <c r="E359" s="1">
        <v>3306.37</v>
      </c>
      <c r="F359" s="1" t="s">
        <v>754</v>
      </c>
      <c r="G359" s="1">
        <v>58974.85</v>
      </c>
      <c r="I359" s="30">
        <f>SUM($F$5:$F359)-SUM($E$5:$E359)</f>
        <v>58974.849999999627</v>
      </c>
      <c r="J359" s="30">
        <f t="shared" si="5"/>
        <v>-3.7107383832335472E-10</v>
      </c>
    </row>
    <row r="360" spans="1:10" x14ac:dyDescent="0.75">
      <c r="A360" s="31" t="s">
        <v>1098</v>
      </c>
      <c r="B360" s="31" t="s">
        <v>1098</v>
      </c>
      <c r="C360" s="1" t="s">
        <v>1100</v>
      </c>
      <c r="E360" s="1">
        <v>584</v>
      </c>
      <c r="F360" s="1" t="s">
        <v>754</v>
      </c>
      <c r="G360" s="1">
        <v>58390.85</v>
      </c>
      <c r="I360" s="30">
        <f>SUM($F$5:$F360)-SUM($E$5:$E360)</f>
        <v>58390.849999999627</v>
      </c>
      <c r="J360" s="30">
        <f t="shared" si="5"/>
        <v>-3.7107383832335472E-10</v>
      </c>
    </row>
    <row r="361" spans="1:10" x14ac:dyDescent="0.75">
      <c r="A361" s="31" t="s">
        <v>1101</v>
      </c>
      <c r="B361" s="31" t="s">
        <v>1101</v>
      </c>
      <c r="C361" s="1" t="s">
        <v>1102</v>
      </c>
      <c r="E361" s="1">
        <v>1323</v>
      </c>
      <c r="F361" s="1" t="s">
        <v>754</v>
      </c>
      <c r="G361" s="1">
        <v>57067.85</v>
      </c>
      <c r="I361" s="30">
        <f>SUM($F$5:$F361)-SUM($E$5:$E361)</f>
        <v>57067.849999999627</v>
      </c>
      <c r="J361" s="30">
        <f t="shared" si="5"/>
        <v>-3.7107383832335472E-10</v>
      </c>
    </row>
    <row r="362" spans="1:10" x14ac:dyDescent="0.75">
      <c r="A362" s="31" t="s">
        <v>1101</v>
      </c>
      <c r="B362" s="1" t="s">
        <v>1101</v>
      </c>
      <c r="C362" s="1" t="s">
        <v>1103</v>
      </c>
      <c r="E362" s="1">
        <v>1389.15</v>
      </c>
      <c r="F362" s="1" t="s">
        <v>754</v>
      </c>
      <c r="G362" s="1">
        <v>55678.7</v>
      </c>
      <c r="I362" s="30">
        <f>SUM($F$5:$F362)-SUM($E$5:$E362)</f>
        <v>55678.699999999255</v>
      </c>
      <c r="J362" s="30">
        <f t="shared" si="5"/>
        <v>-7.4214767664670944E-10</v>
      </c>
    </row>
    <row r="363" spans="1:10" x14ac:dyDescent="0.75">
      <c r="A363" s="31" t="s">
        <v>1101</v>
      </c>
      <c r="B363" s="31" t="s">
        <v>1101</v>
      </c>
      <c r="C363" s="1" t="s">
        <v>1104</v>
      </c>
      <c r="E363" s="1">
        <v>8696.7099999999991</v>
      </c>
      <c r="F363" s="1" t="s">
        <v>754</v>
      </c>
      <c r="G363" s="1">
        <v>46981.99</v>
      </c>
      <c r="I363" s="30">
        <f>SUM($F$5:$F363)-SUM($E$5:$E363)</f>
        <v>46981.989999999292</v>
      </c>
      <c r="J363" s="30">
        <f t="shared" si="5"/>
        <v>-7.0576788857579231E-10</v>
      </c>
    </row>
    <row r="364" spans="1:10" x14ac:dyDescent="0.75">
      <c r="A364" s="31" t="s">
        <v>1101</v>
      </c>
      <c r="B364" s="31" t="s">
        <v>1101</v>
      </c>
      <c r="C364" s="1" t="s">
        <v>1105</v>
      </c>
      <c r="E364" s="1">
        <v>1045.43</v>
      </c>
      <c r="F364" s="1" t="s">
        <v>754</v>
      </c>
      <c r="G364" s="1">
        <v>45936.56</v>
      </c>
      <c r="I364" s="30">
        <f>SUM($F$5:$F364)-SUM($E$5:$E364)</f>
        <v>45936.55999999959</v>
      </c>
      <c r="J364" s="30">
        <f t="shared" si="5"/>
        <v>-4.0745362639427185E-10</v>
      </c>
    </row>
    <row r="365" spans="1:10" x14ac:dyDescent="0.75">
      <c r="A365" s="1" t="s">
        <v>1101</v>
      </c>
      <c r="B365" s="1" t="s">
        <v>1101</v>
      </c>
      <c r="C365" s="1" t="s">
        <v>773</v>
      </c>
      <c r="E365" s="1" t="s">
        <v>754</v>
      </c>
      <c r="F365" s="1">
        <v>43420.63</v>
      </c>
      <c r="G365" s="1">
        <v>89357.19</v>
      </c>
      <c r="I365" s="30">
        <f>SUM($F$5:$F365)-SUM($E$5:$E365)</f>
        <v>89357.189999999478</v>
      </c>
      <c r="J365" s="30">
        <f t="shared" si="5"/>
        <v>-5.2386894822120667E-10</v>
      </c>
    </row>
    <row r="366" spans="1:10" x14ac:dyDescent="0.75">
      <c r="A366" s="1" t="s">
        <v>1106</v>
      </c>
      <c r="B366" s="1" t="s">
        <v>1106</v>
      </c>
      <c r="C366" s="1" t="s">
        <v>1107</v>
      </c>
      <c r="E366" s="1">
        <v>2059</v>
      </c>
      <c r="F366" s="1" t="s">
        <v>754</v>
      </c>
      <c r="G366" s="1">
        <v>87298.19</v>
      </c>
      <c r="I366" s="30">
        <f>SUM($F$5:$F366)-SUM($E$5:$E366)</f>
        <v>87298.189999999478</v>
      </c>
      <c r="J366" s="30">
        <f t="shared" si="5"/>
        <v>-5.2386894822120667E-10</v>
      </c>
    </row>
    <row r="367" spans="1:10" x14ac:dyDescent="0.75">
      <c r="A367" s="1" t="s">
        <v>1106</v>
      </c>
      <c r="B367" s="1" t="s">
        <v>1106</v>
      </c>
      <c r="C367" s="1" t="s">
        <v>1108</v>
      </c>
      <c r="E367" s="1">
        <v>6609.5</v>
      </c>
      <c r="F367" s="1" t="s">
        <v>754</v>
      </c>
      <c r="G367" s="1">
        <v>80688.69</v>
      </c>
      <c r="I367" s="30">
        <f>SUM($F$5:$F367)-SUM($E$5:$E367)</f>
        <v>80688.689999999478</v>
      </c>
      <c r="J367" s="30">
        <f t="shared" si="5"/>
        <v>-5.2386894822120667E-10</v>
      </c>
    </row>
    <row r="368" spans="1:10" x14ac:dyDescent="0.75">
      <c r="A368" s="1" t="s">
        <v>1109</v>
      </c>
      <c r="B368" s="1" t="s">
        <v>1109</v>
      </c>
      <c r="C368" s="1" t="s">
        <v>1110</v>
      </c>
      <c r="E368" s="1">
        <v>7916.34</v>
      </c>
      <c r="F368" s="1" t="s">
        <v>754</v>
      </c>
      <c r="G368" s="1">
        <v>72772.350000000006</v>
      </c>
      <c r="I368" s="30">
        <f>SUM($F$5:$F368)-SUM($E$5:$E368)</f>
        <v>72772.349999999627</v>
      </c>
      <c r="J368" s="30">
        <f t="shared" si="5"/>
        <v>-3.7834979593753815E-10</v>
      </c>
    </row>
    <row r="369" spans="1:10" x14ac:dyDescent="0.75">
      <c r="A369" s="1" t="s">
        <v>1109</v>
      </c>
      <c r="B369" s="1" t="s">
        <v>1109</v>
      </c>
      <c r="C369" s="1" t="s">
        <v>1111</v>
      </c>
      <c r="E369" s="1">
        <v>9446.2000000000007</v>
      </c>
      <c r="F369" s="1" t="s">
        <v>754</v>
      </c>
      <c r="G369" s="1">
        <v>63326.15</v>
      </c>
      <c r="I369" s="30">
        <f>SUM($F$5:$F369)-SUM($E$5:$E369)</f>
        <v>63326.149999999441</v>
      </c>
      <c r="J369" s="30">
        <f t="shared" si="5"/>
        <v>-5.6024873629212379E-10</v>
      </c>
    </row>
    <row r="370" spans="1:10" x14ac:dyDescent="0.75">
      <c r="A370" s="1" t="s">
        <v>1109</v>
      </c>
      <c r="B370" s="1" t="s">
        <v>1109</v>
      </c>
      <c r="C370" s="1" t="s">
        <v>1112</v>
      </c>
      <c r="E370" s="1">
        <v>1504.85</v>
      </c>
      <c r="F370" s="1" t="s">
        <v>754</v>
      </c>
      <c r="G370" s="1">
        <v>61821.3</v>
      </c>
      <c r="I370" s="30">
        <f>SUM($F$5:$F370)-SUM($E$5:$E370)</f>
        <v>61821.299999999814</v>
      </c>
      <c r="J370" s="30">
        <f t="shared" si="5"/>
        <v>-1.8917489796876907E-10</v>
      </c>
    </row>
    <row r="371" spans="1:10" x14ac:dyDescent="0.75">
      <c r="A371" s="1" t="s">
        <v>1113</v>
      </c>
      <c r="B371" s="1" t="s">
        <v>1113</v>
      </c>
      <c r="C371" s="1" t="s">
        <v>1114</v>
      </c>
      <c r="E371" s="1">
        <v>3616.2</v>
      </c>
      <c r="F371" s="1" t="s">
        <v>754</v>
      </c>
      <c r="G371" s="1">
        <v>58205.1</v>
      </c>
      <c r="I371" s="30">
        <f>SUM($F$5:$F371)-SUM($E$5:$E371)</f>
        <v>58205.099999999627</v>
      </c>
      <c r="J371" s="30">
        <f t="shared" si="5"/>
        <v>-3.7107383832335472E-10</v>
      </c>
    </row>
    <row r="372" spans="1:10" x14ac:dyDescent="0.75">
      <c r="A372" s="1" t="s">
        <v>1113</v>
      </c>
      <c r="B372" s="1" t="s">
        <v>1113</v>
      </c>
      <c r="F372" s="1" t="s">
        <v>754</v>
      </c>
      <c r="G372" s="30">
        <v>58205.1</v>
      </c>
      <c r="I372" s="30">
        <f>SUM($F$5:$F372)-SUM($E$5:$E372)</f>
        <v>58205.099999999627</v>
      </c>
      <c r="J372" s="30">
        <f t="shared" si="5"/>
        <v>-3.7107383832335472E-10</v>
      </c>
    </row>
    <row r="373" spans="1:10" x14ac:dyDescent="0.75">
      <c r="A373" s="1" t="s">
        <v>1115</v>
      </c>
      <c r="B373" s="1" t="s">
        <v>1115</v>
      </c>
      <c r="C373" s="1" t="s">
        <v>1495</v>
      </c>
      <c r="E373" s="30">
        <v>6500</v>
      </c>
      <c r="F373" s="1" t="s">
        <v>754</v>
      </c>
      <c r="G373" s="30">
        <v>51705.1</v>
      </c>
      <c r="I373" s="30">
        <f>SUM($F$5:$F373)-SUM($E$5:$E373)</f>
        <v>51705.099999999627</v>
      </c>
      <c r="J373" s="30">
        <f t="shared" si="5"/>
        <v>-3.7107383832335472E-10</v>
      </c>
    </row>
    <row r="374" spans="1:10" x14ac:dyDescent="0.75">
      <c r="A374" s="1" t="s">
        <v>1115</v>
      </c>
      <c r="B374" s="1" t="s">
        <v>1117</v>
      </c>
      <c r="C374" s="1" t="s">
        <v>1116</v>
      </c>
      <c r="E374" s="30">
        <v>2201.31</v>
      </c>
      <c r="F374" s="1" t="s">
        <v>754</v>
      </c>
      <c r="G374" s="30">
        <v>49503.79</v>
      </c>
      <c r="I374" s="30">
        <f>SUM($F$5:$F374)-SUM($E$5:$E374)</f>
        <v>49503.790000000037</v>
      </c>
      <c r="J374" s="30">
        <f t="shared" si="5"/>
        <v>0</v>
      </c>
    </row>
    <row r="375" spans="1:10" x14ac:dyDescent="0.75">
      <c r="A375" s="1" t="s">
        <v>1117</v>
      </c>
      <c r="B375" s="1" t="s">
        <v>1117</v>
      </c>
      <c r="C375" s="1" t="s">
        <v>1118</v>
      </c>
      <c r="E375" s="30">
        <v>5358.28</v>
      </c>
      <c r="F375" s="1" t="s">
        <v>754</v>
      </c>
      <c r="G375" s="30">
        <v>44145.51</v>
      </c>
      <c r="I375" s="30">
        <f>SUM($F$5:$F375)-SUM($E$5:$E375)</f>
        <v>44145.509999999776</v>
      </c>
      <c r="J375" s="30">
        <f t="shared" si="5"/>
        <v>-2.255546860396862E-10</v>
      </c>
    </row>
    <row r="376" spans="1:10" x14ac:dyDescent="0.75">
      <c r="A376" s="1" t="s">
        <v>1117</v>
      </c>
      <c r="B376" s="1" t="s">
        <v>1119</v>
      </c>
      <c r="C376" s="1" t="s">
        <v>773</v>
      </c>
      <c r="E376" s="1" t="s">
        <v>754</v>
      </c>
      <c r="F376" s="30">
        <v>3814.22</v>
      </c>
      <c r="G376" s="30">
        <v>47959.73</v>
      </c>
      <c r="I376" s="30">
        <f>SUM($F$5:$F376)-SUM($E$5:$E376)</f>
        <v>47959.729999999516</v>
      </c>
      <c r="J376" s="30">
        <f t="shared" si="5"/>
        <v>-4.8748916015028954E-10</v>
      </c>
    </row>
    <row r="377" spans="1:10" x14ac:dyDescent="0.75">
      <c r="A377" s="1" t="s">
        <v>1119</v>
      </c>
      <c r="C377" s="1" t="s">
        <v>773</v>
      </c>
      <c r="E377" s="1" t="s">
        <v>754</v>
      </c>
      <c r="F377" s="1">
        <v>14478.65</v>
      </c>
      <c r="G377" s="1">
        <v>62438.38</v>
      </c>
      <c r="I377" s="30">
        <f>SUM($F$5:$F377)-SUM($E$5:$E377)</f>
        <v>62438.379999999888</v>
      </c>
      <c r="J377" s="30">
        <f t="shared" si="5"/>
        <v>-1.0913936421275139E-10</v>
      </c>
    </row>
    <row r="378" spans="1:10" x14ac:dyDescent="0.75">
      <c r="A378" s="31">
        <v>43503</v>
      </c>
      <c r="B378" s="31">
        <v>43503</v>
      </c>
      <c r="C378" s="1" t="s">
        <v>773</v>
      </c>
      <c r="E378" s="1" t="s">
        <v>754</v>
      </c>
      <c r="F378" s="1">
        <v>4307.3599999999997</v>
      </c>
      <c r="G378" s="1">
        <v>66745.740000000005</v>
      </c>
      <c r="I378" s="30">
        <f>SUM($F$5:$F378)-SUM($E$5:$E378)</f>
        <v>66745.740000000224</v>
      </c>
      <c r="J378" s="30">
        <f t="shared" si="5"/>
        <v>2.1827872842550278E-10</v>
      </c>
    </row>
    <row r="379" spans="1:10" x14ac:dyDescent="0.75">
      <c r="A379" s="31">
        <v>43531</v>
      </c>
      <c r="B379" s="31">
        <v>43531</v>
      </c>
      <c r="C379" s="1" t="s">
        <v>1120</v>
      </c>
      <c r="E379" s="1">
        <v>661.5</v>
      </c>
      <c r="F379" s="1" t="s">
        <v>754</v>
      </c>
      <c r="G379" s="1">
        <v>66084.240000000005</v>
      </c>
      <c r="I379" s="30">
        <f>SUM($F$5:$F379)-SUM($E$5:$E379)</f>
        <v>66084.240000000224</v>
      </c>
      <c r="J379" s="30">
        <f t="shared" si="5"/>
        <v>2.1827872842550278E-10</v>
      </c>
    </row>
    <row r="380" spans="1:10" x14ac:dyDescent="0.75">
      <c r="A380" s="31">
        <v>43531</v>
      </c>
      <c r="B380" s="31">
        <v>43531</v>
      </c>
      <c r="C380" s="1" t="s">
        <v>1121</v>
      </c>
      <c r="E380" s="1">
        <v>2328</v>
      </c>
      <c r="F380" s="1" t="s">
        <v>754</v>
      </c>
      <c r="G380" s="1">
        <v>63756.24</v>
      </c>
      <c r="I380" s="30">
        <f>SUM($F$5:$F380)-SUM($E$5:$E380)</f>
        <v>63756.240000000224</v>
      </c>
      <c r="J380" s="30">
        <f t="shared" si="5"/>
        <v>2.255546860396862E-10</v>
      </c>
    </row>
    <row r="381" spans="1:10" x14ac:dyDescent="0.75">
      <c r="A381" s="31">
        <v>43531</v>
      </c>
      <c r="B381" s="31">
        <v>43531</v>
      </c>
      <c r="C381" s="1" t="s">
        <v>1122</v>
      </c>
      <c r="E381" s="1">
        <v>485</v>
      </c>
      <c r="F381" s="1" t="s">
        <v>754</v>
      </c>
      <c r="G381" s="1">
        <v>63271.24</v>
      </c>
      <c r="I381" s="30">
        <f>SUM($F$5:$F381)-SUM($E$5:$E381)</f>
        <v>63271.240000000224</v>
      </c>
      <c r="J381" s="30">
        <f t="shared" si="5"/>
        <v>2.255546860396862E-10</v>
      </c>
    </row>
    <row r="382" spans="1:10" x14ac:dyDescent="0.75">
      <c r="A382" s="31">
        <v>43592</v>
      </c>
      <c r="B382" s="31">
        <v>43592</v>
      </c>
      <c r="C382" s="1" t="s">
        <v>773</v>
      </c>
      <c r="E382" s="1" t="s">
        <v>754</v>
      </c>
      <c r="F382" s="1">
        <v>20433.740000000002</v>
      </c>
      <c r="G382" s="1">
        <v>83704.98</v>
      </c>
      <c r="I382" s="30">
        <f>SUM($F$5:$F382)-SUM($E$5:$E382)</f>
        <v>83704.980000000447</v>
      </c>
      <c r="J382" s="30">
        <f t="shared" si="5"/>
        <v>4.5110937207937241E-10</v>
      </c>
    </row>
    <row r="383" spans="1:10" x14ac:dyDescent="0.75">
      <c r="A383" s="31">
        <v>43684</v>
      </c>
      <c r="B383" s="31">
        <v>43684</v>
      </c>
      <c r="C383" s="1" t="s">
        <v>773</v>
      </c>
      <c r="E383" s="1" t="s">
        <v>754</v>
      </c>
      <c r="F383" s="1">
        <v>48564.34</v>
      </c>
      <c r="G383" s="1">
        <v>132269.32</v>
      </c>
      <c r="I383" s="30">
        <f>SUM($F$5:$F383)-SUM($E$5:$E383)</f>
        <v>132269.3200000003</v>
      </c>
      <c r="J383" s="30">
        <f t="shared" si="5"/>
        <v>2.9103830456733704E-10</v>
      </c>
    </row>
    <row r="384" spans="1:10" x14ac:dyDescent="0.75">
      <c r="A384" s="31">
        <v>43715</v>
      </c>
      <c r="B384" s="31">
        <v>43715</v>
      </c>
      <c r="C384" s="1" t="s">
        <v>773</v>
      </c>
      <c r="E384" s="1" t="s">
        <v>754</v>
      </c>
      <c r="F384" s="1">
        <v>50890.6</v>
      </c>
      <c r="G384" s="1">
        <v>183159.92</v>
      </c>
      <c r="I384" s="30">
        <f>SUM($F$5:$F384)-SUM($E$5:$E384)</f>
        <v>183159.91999999993</v>
      </c>
      <c r="J384" s="30">
        <f t="shared" si="5"/>
        <v>0</v>
      </c>
    </row>
    <row r="385" spans="1:10" x14ac:dyDescent="0.75">
      <c r="A385" s="31">
        <v>43745</v>
      </c>
      <c r="B385" s="31">
        <v>43745</v>
      </c>
      <c r="C385" s="1" t="s">
        <v>773</v>
      </c>
      <c r="E385" s="1" t="s">
        <v>754</v>
      </c>
      <c r="F385" s="1">
        <v>19439.990000000002</v>
      </c>
      <c r="G385" s="1">
        <v>202599.91</v>
      </c>
      <c r="I385" s="30">
        <f>SUM($F$5:$F385)-SUM($E$5:$E385)</f>
        <v>202599.91000000015</v>
      </c>
      <c r="J385" s="30">
        <f t="shared" si="5"/>
        <v>0</v>
      </c>
    </row>
    <row r="386" spans="1:10" x14ac:dyDescent="0.75">
      <c r="A386" s="31">
        <v>43776</v>
      </c>
      <c r="B386" s="31">
        <v>43776</v>
      </c>
      <c r="C386" s="1" t="s">
        <v>773</v>
      </c>
      <c r="E386" s="1" t="s">
        <v>754</v>
      </c>
      <c r="F386" s="1">
        <v>5076.8500000000004</v>
      </c>
      <c r="G386" s="1">
        <v>207676.76</v>
      </c>
      <c r="I386" s="30">
        <f>SUM($F$5:$F386)-SUM($E$5:$E386)</f>
        <v>207676.75999999978</v>
      </c>
      <c r="J386" s="30">
        <f t="shared" si="5"/>
        <v>-2.3283064365386963E-10</v>
      </c>
    </row>
    <row r="387" spans="1:10" x14ac:dyDescent="0.75">
      <c r="A387" s="31">
        <v>43806</v>
      </c>
      <c r="B387" s="31">
        <v>43806</v>
      </c>
      <c r="C387" s="1" t="s">
        <v>1123</v>
      </c>
      <c r="E387" s="1">
        <v>708.75</v>
      </c>
      <c r="F387" s="1" t="s">
        <v>754</v>
      </c>
      <c r="G387" s="1">
        <v>206968.01</v>
      </c>
      <c r="I387" s="30">
        <f>SUM($F$5:$F387)-SUM($E$5:$E387)</f>
        <v>206968.00999999978</v>
      </c>
      <c r="J387" s="30">
        <f t="shared" si="5"/>
        <v>-2.3283064365386963E-10</v>
      </c>
    </row>
    <row r="388" spans="1:10" x14ac:dyDescent="0.75">
      <c r="A388" s="31">
        <v>43806</v>
      </c>
      <c r="B388" s="31">
        <v>43806</v>
      </c>
      <c r="C388" s="1" t="s">
        <v>773</v>
      </c>
      <c r="E388" s="1" t="s">
        <v>754</v>
      </c>
      <c r="F388" s="1">
        <v>21037.68</v>
      </c>
      <c r="G388" s="1">
        <v>228005.69</v>
      </c>
      <c r="I388" s="30">
        <f>SUM($F$5:$F388)-SUM($E$5:$E388)</f>
        <v>228005.68999999948</v>
      </c>
      <c r="J388" s="30">
        <f t="shared" si="5"/>
        <v>-5.2386894822120667E-10</v>
      </c>
    </row>
    <row r="389" spans="1:10" x14ac:dyDescent="0.75">
      <c r="A389" s="1" t="s">
        <v>1124</v>
      </c>
      <c r="B389" s="1" t="s">
        <v>1124</v>
      </c>
      <c r="C389" s="1" t="s">
        <v>1125</v>
      </c>
      <c r="E389" s="1">
        <v>8578.5</v>
      </c>
      <c r="F389" s="1" t="s">
        <v>754</v>
      </c>
      <c r="G389" s="1">
        <v>219427.19</v>
      </c>
      <c r="I389" s="30">
        <f>SUM($F$5:$F389)-SUM($E$5:$E389)</f>
        <v>219427.18999999948</v>
      </c>
      <c r="J389" s="30">
        <f t="shared" si="5"/>
        <v>-5.2386894822120667E-10</v>
      </c>
    </row>
    <row r="390" spans="1:10" x14ac:dyDescent="0.75">
      <c r="A390" s="1" t="s">
        <v>1126</v>
      </c>
      <c r="B390" s="1" t="s">
        <v>1126</v>
      </c>
      <c r="C390" s="1" t="s">
        <v>1127</v>
      </c>
      <c r="E390" s="1">
        <v>27958.74</v>
      </c>
      <c r="F390" s="1" t="s">
        <v>754</v>
      </c>
      <c r="G390" s="1">
        <v>191468.45</v>
      </c>
      <c r="I390" s="30">
        <f>SUM($F$5:$F390)-SUM($E$5:$E390)</f>
        <v>191468.44999999925</v>
      </c>
      <c r="J390" s="30">
        <f t="shared" ref="J390:J453" si="6">I390-G390</f>
        <v>-7.5669959187507629E-10</v>
      </c>
    </row>
    <row r="391" spans="1:10" x14ac:dyDescent="0.75">
      <c r="A391" s="1" t="s">
        <v>1126</v>
      </c>
      <c r="B391" s="1" t="s">
        <v>1126</v>
      </c>
      <c r="C391" s="1" t="s">
        <v>773</v>
      </c>
      <c r="E391" s="1" t="s">
        <v>754</v>
      </c>
      <c r="F391" s="1">
        <v>21967.39</v>
      </c>
      <c r="G391" s="1">
        <v>213435.84</v>
      </c>
      <c r="I391" s="30">
        <f>SUM($F$5:$F391)-SUM($E$5:$E391)</f>
        <v>213435.83999999892</v>
      </c>
      <c r="J391" s="30">
        <f t="shared" si="6"/>
        <v>-1.076841726899147E-9</v>
      </c>
    </row>
    <row r="392" spans="1:10" x14ac:dyDescent="0.75">
      <c r="A392" s="1" t="s">
        <v>1128</v>
      </c>
      <c r="B392" s="1" t="s">
        <v>1128</v>
      </c>
      <c r="C392" s="1" t="s">
        <v>1129</v>
      </c>
      <c r="E392" s="1">
        <v>2157.2800000000002</v>
      </c>
      <c r="F392" s="1" t="s">
        <v>754</v>
      </c>
      <c r="G392" s="1">
        <v>211278.56</v>
      </c>
      <c r="I392" s="30">
        <f>SUM($F$5:$F392)-SUM($E$5:$E392)</f>
        <v>211278.55999999866</v>
      </c>
      <c r="J392" s="30">
        <f t="shared" si="6"/>
        <v>-1.3387762010097504E-9</v>
      </c>
    </row>
    <row r="393" spans="1:10" x14ac:dyDescent="0.75">
      <c r="A393" s="1" t="s">
        <v>1128</v>
      </c>
      <c r="B393" s="1" t="s">
        <v>1128</v>
      </c>
      <c r="C393" s="1" t="s">
        <v>1130</v>
      </c>
      <c r="E393" s="1">
        <v>1220.5</v>
      </c>
      <c r="F393" s="1" t="s">
        <v>754</v>
      </c>
      <c r="G393" s="1">
        <v>210058.06</v>
      </c>
      <c r="I393" s="30">
        <f>SUM($F$5:$F393)-SUM($E$5:$E393)</f>
        <v>210058.05999999866</v>
      </c>
      <c r="J393" s="30">
        <f t="shared" si="6"/>
        <v>-1.3387762010097504E-9</v>
      </c>
    </row>
    <row r="394" spans="1:10" x14ac:dyDescent="0.75">
      <c r="A394" s="1" t="s">
        <v>1131</v>
      </c>
      <c r="B394" s="1" t="s">
        <v>1131</v>
      </c>
      <c r="C394" s="1" t="s">
        <v>1132</v>
      </c>
      <c r="E394" s="1">
        <v>23396.27</v>
      </c>
      <c r="F394" s="1" t="s">
        <v>754</v>
      </c>
      <c r="G394" s="1">
        <v>186661.79</v>
      </c>
      <c r="I394" s="30">
        <f>SUM($F$5:$F394)-SUM($E$5:$E394)</f>
        <v>186661.78999999911</v>
      </c>
      <c r="J394" s="30">
        <f t="shared" si="6"/>
        <v>-9.0221874415874481E-10</v>
      </c>
    </row>
    <row r="395" spans="1:10" x14ac:dyDescent="0.75">
      <c r="A395" s="1" t="s">
        <v>1131</v>
      </c>
      <c r="B395" s="1" t="s">
        <v>1131</v>
      </c>
      <c r="C395" s="1" t="s">
        <v>1133</v>
      </c>
      <c r="E395" s="1">
        <v>28707.759999999998</v>
      </c>
      <c r="F395" s="1" t="s">
        <v>754</v>
      </c>
      <c r="G395" s="1">
        <v>157954.03</v>
      </c>
      <c r="I395" s="30">
        <f>SUM($F$5:$F395)-SUM($E$5:$E395)</f>
        <v>157954.02999999933</v>
      </c>
      <c r="J395" s="30">
        <f t="shared" si="6"/>
        <v>-6.6938810050487518E-10</v>
      </c>
    </row>
    <row r="396" spans="1:10" x14ac:dyDescent="0.75">
      <c r="A396" s="1" t="s">
        <v>1131</v>
      </c>
      <c r="B396" s="1" t="s">
        <v>1131</v>
      </c>
      <c r="C396" s="1" t="s">
        <v>1134</v>
      </c>
      <c r="E396" s="1">
        <v>33809.599999999999</v>
      </c>
      <c r="F396" s="1" t="s">
        <v>754</v>
      </c>
      <c r="G396" s="1">
        <v>124144.43</v>
      </c>
      <c r="I396" s="30">
        <f>SUM($F$5:$F396)-SUM($E$5:$E396)</f>
        <v>124144.4299999997</v>
      </c>
      <c r="J396" s="30">
        <f t="shared" si="6"/>
        <v>-2.9103830456733704E-10</v>
      </c>
    </row>
    <row r="397" spans="1:10" x14ac:dyDescent="0.75">
      <c r="A397" s="1" t="s">
        <v>1131</v>
      </c>
      <c r="B397" s="1" t="s">
        <v>1131</v>
      </c>
      <c r="C397" s="1" t="s">
        <v>773</v>
      </c>
      <c r="E397" s="1" t="s">
        <v>754</v>
      </c>
      <c r="F397" s="1">
        <v>5112.33</v>
      </c>
      <c r="G397" s="1">
        <v>129256.76</v>
      </c>
      <c r="I397" s="30">
        <f>SUM($F$5:$F397)-SUM($E$5:$E397)</f>
        <v>129256.75999999978</v>
      </c>
      <c r="J397" s="30">
        <f t="shared" si="6"/>
        <v>-2.1827872842550278E-10</v>
      </c>
    </row>
    <row r="398" spans="1:10" x14ac:dyDescent="0.75">
      <c r="A398" s="1" t="s">
        <v>1135</v>
      </c>
      <c r="B398" s="1" t="s">
        <v>1135</v>
      </c>
      <c r="C398" s="1" t="s">
        <v>773</v>
      </c>
      <c r="E398" s="1" t="s">
        <v>754</v>
      </c>
      <c r="F398" s="1">
        <v>2758.5</v>
      </c>
      <c r="G398" s="1">
        <v>132015.26</v>
      </c>
      <c r="I398" s="30">
        <f>SUM($F$5:$F398)-SUM($E$5:$E398)</f>
        <v>132015.25999999978</v>
      </c>
      <c r="J398" s="30">
        <f t="shared" si="6"/>
        <v>-2.3283064365386963E-10</v>
      </c>
    </row>
    <row r="399" spans="1:10" x14ac:dyDescent="0.75">
      <c r="A399" s="1" t="s">
        <v>1136</v>
      </c>
      <c r="B399" s="1" t="s">
        <v>1136</v>
      </c>
      <c r="C399" s="1" t="s">
        <v>773</v>
      </c>
      <c r="E399" s="1" t="s">
        <v>754</v>
      </c>
      <c r="F399" s="1">
        <v>1895.03</v>
      </c>
      <c r="G399" s="30">
        <v>133910.29</v>
      </c>
      <c r="I399" s="30">
        <f>SUM($F$5:$F399)-SUM($E$5:$E399)</f>
        <v>133910.29000000004</v>
      </c>
      <c r="J399" s="30">
        <f t="shared" si="6"/>
        <v>0</v>
      </c>
    </row>
    <row r="400" spans="1:10" x14ac:dyDescent="0.75">
      <c r="A400" s="1" t="s">
        <v>1137</v>
      </c>
      <c r="B400" s="1" t="s">
        <v>1137</v>
      </c>
      <c r="C400" s="1" t="s">
        <v>773</v>
      </c>
      <c r="E400" s="30" t="s">
        <v>754</v>
      </c>
      <c r="F400" s="1">
        <v>9345.7000000000007</v>
      </c>
      <c r="G400" s="30">
        <v>143255.99</v>
      </c>
      <c r="I400" s="30">
        <f>SUM($F$5:$F400)-SUM($E$5:$E400)</f>
        <v>143255.99000000022</v>
      </c>
      <c r="J400" s="30">
        <f t="shared" si="6"/>
        <v>2.3283064365386963E-10</v>
      </c>
    </row>
    <row r="401" spans="1:10" x14ac:dyDescent="0.75">
      <c r="A401" s="1" t="s">
        <v>1138</v>
      </c>
      <c r="B401" s="1" t="s">
        <v>1138</v>
      </c>
      <c r="E401" s="30" t="s">
        <v>754</v>
      </c>
      <c r="G401" s="30">
        <v>143255.99</v>
      </c>
      <c r="I401" s="30">
        <f>SUM($F$5:$F401)-SUM($E$5:$E401)</f>
        <v>143255.99000000022</v>
      </c>
      <c r="J401" s="30">
        <f t="shared" si="6"/>
        <v>2.3283064365386963E-10</v>
      </c>
    </row>
    <row r="402" spans="1:10" x14ac:dyDescent="0.75">
      <c r="A402" s="1" t="s">
        <v>1139</v>
      </c>
      <c r="B402" s="1" t="s">
        <v>1139</v>
      </c>
      <c r="C402" s="1" t="s">
        <v>1494</v>
      </c>
      <c r="E402" s="30">
        <v>3200</v>
      </c>
      <c r="F402" s="1" t="s">
        <v>754</v>
      </c>
      <c r="G402" s="30">
        <v>140055.99</v>
      </c>
      <c r="I402" s="30">
        <f>SUM($F$5:$F402)-SUM($E$5:$E402)</f>
        <v>140055.99000000022</v>
      </c>
      <c r="J402" s="30">
        <f t="shared" si="6"/>
        <v>2.3283064365386963E-10</v>
      </c>
    </row>
    <row r="403" spans="1:10" x14ac:dyDescent="0.75">
      <c r="A403" s="1" t="s">
        <v>1139</v>
      </c>
      <c r="B403" s="1" t="s">
        <v>1139</v>
      </c>
      <c r="C403" s="1" t="s">
        <v>1140</v>
      </c>
      <c r="E403" s="30">
        <v>3675</v>
      </c>
      <c r="F403" s="1" t="s">
        <v>754</v>
      </c>
      <c r="G403" s="30">
        <v>136380.99</v>
      </c>
      <c r="I403" s="30">
        <f>SUM($F$5:$F403)-SUM($E$5:$E403)</f>
        <v>136380.99000000022</v>
      </c>
      <c r="J403" s="30">
        <f t="shared" si="6"/>
        <v>2.3283064365386963E-10</v>
      </c>
    </row>
    <row r="404" spans="1:10" x14ac:dyDescent="0.75">
      <c r="A404" s="1" t="s">
        <v>1139</v>
      </c>
      <c r="B404" s="1" t="s">
        <v>1139</v>
      </c>
      <c r="C404" s="1" t="s">
        <v>1141</v>
      </c>
      <c r="E404" s="30">
        <v>13883.57</v>
      </c>
      <c r="F404" s="30" t="s">
        <v>754</v>
      </c>
      <c r="G404" s="30">
        <v>122497.42</v>
      </c>
      <c r="I404" s="30">
        <f>SUM($F$5:$F404)-SUM($E$5:$E404)</f>
        <v>122497.41999999993</v>
      </c>
      <c r="J404" s="30">
        <f t="shared" si="6"/>
        <v>0</v>
      </c>
    </row>
    <row r="405" spans="1:10" x14ac:dyDescent="0.75">
      <c r="A405" s="1" t="s">
        <v>1139</v>
      </c>
      <c r="B405" s="1" t="s">
        <v>1139</v>
      </c>
      <c r="C405" s="1" t="s">
        <v>1142</v>
      </c>
      <c r="E405" s="30">
        <v>24359.03</v>
      </c>
      <c r="F405" s="1" t="s">
        <v>754</v>
      </c>
      <c r="G405" s="30">
        <v>98138.39</v>
      </c>
      <c r="I405" s="30">
        <f>SUM($F$5:$F405)-SUM($E$5:$E405)</f>
        <v>98138.389999999665</v>
      </c>
      <c r="J405" s="30">
        <f t="shared" si="6"/>
        <v>-3.3469405025243759E-10</v>
      </c>
    </row>
    <row r="406" spans="1:10" x14ac:dyDescent="0.75">
      <c r="A406" s="1" t="s">
        <v>1139</v>
      </c>
      <c r="B406" s="1" t="s">
        <v>1143</v>
      </c>
      <c r="C406" s="1" t="s">
        <v>773</v>
      </c>
      <c r="E406" s="1" t="s">
        <v>754</v>
      </c>
      <c r="F406" s="30">
        <v>5093.28</v>
      </c>
      <c r="G406" s="30">
        <v>103231.67</v>
      </c>
      <c r="I406" s="30">
        <f>SUM($F$5:$F406)-SUM($E$5:$E406)</f>
        <v>103231.66999999993</v>
      </c>
      <c r="J406" s="30">
        <f t="shared" si="6"/>
        <v>0</v>
      </c>
    </row>
    <row r="407" spans="1:10" x14ac:dyDescent="0.75">
      <c r="A407" s="31" t="s">
        <v>1143</v>
      </c>
      <c r="B407" s="31" t="s">
        <v>1144</v>
      </c>
      <c r="C407" s="1" t="s">
        <v>773</v>
      </c>
      <c r="E407" s="1" t="s">
        <v>754</v>
      </c>
      <c r="F407" s="30">
        <v>10382.5</v>
      </c>
      <c r="G407" s="30">
        <v>113614.17</v>
      </c>
      <c r="I407" s="30">
        <f>SUM($F$5:$F407)-SUM($E$5:$E407)</f>
        <v>113614.16999999993</v>
      </c>
      <c r="J407" s="30">
        <f t="shared" si="6"/>
        <v>0</v>
      </c>
    </row>
    <row r="408" spans="1:10" x14ac:dyDescent="0.75">
      <c r="A408" s="31" t="s">
        <v>1144</v>
      </c>
      <c r="B408" s="31" t="s">
        <v>1145</v>
      </c>
      <c r="C408" s="1" t="s">
        <v>773</v>
      </c>
      <c r="E408" s="1" t="s">
        <v>754</v>
      </c>
      <c r="F408" s="30">
        <v>1888.25</v>
      </c>
      <c r="G408" s="30">
        <v>115502.42</v>
      </c>
      <c r="I408" s="30">
        <f>SUM($F$5:$F408)-SUM($E$5:$E408)</f>
        <v>115502.41999999993</v>
      </c>
      <c r="J408" s="30">
        <f t="shared" si="6"/>
        <v>0</v>
      </c>
    </row>
    <row r="409" spans="1:10" x14ac:dyDescent="0.75">
      <c r="A409" s="31" t="s">
        <v>1145</v>
      </c>
      <c r="B409" s="31" t="s">
        <v>1145</v>
      </c>
      <c r="C409" s="1" t="s">
        <v>1146</v>
      </c>
      <c r="E409" s="30">
        <v>2425.5</v>
      </c>
      <c r="F409" s="1" t="s">
        <v>754</v>
      </c>
      <c r="G409" s="30">
        <v>113076.92</v>
      </c>
      <c r="I409" s="30">
        <f>SUM($F$5:$F409)-SUM($E$5:$E409)</f>
        <v>113076.91999999993</v>
      </c>
      <c r="J409" s="30">
        <f t="shared" si="6"/>
        <v>0</v>
      </c>
    </row>
    <row r="410" spans="1:10" x14ac:dyDescent="0.75">
      <c r="A410" s="31" t="s">
        <v>1145</v>
      </c>
      <c r="B410" s="31"/>
      <c r="C410" s="1" t="s">
        <v>773</v>
      </c>
      <c r="E410" s="1" t="s">
        <v>754</v>
      </c>
      <c r="F410" s="1">
        <v>48031.89</v>
      </c>
      <c r="G410" s="1">
        <v>161108.81</v>
      </c>
      <c r="I410" s="30">
        <f>SUM($F$5:$F410)-SUM($E$5:$E410)</f>
        <v>161108.80999999959</v>
      </c>
      <c r="J410" s="30">
        <f t="shared" si="6"/>
        <v>-4.0745362639427185E-10</v>
      </c>
    </row>
    <row r="411" spans="1:10" x14ac:dyDescent="0.75">
      <c r="A411" s="31">
        <v>43473</v>
      </c>
      <c r="B411" s="31">
        <v>43473</v>
      </c>
      <c r="C411" s="1" t="s">
        <v>1147</v>
      </c>
      <c r="E411" s="1">
        <v>1230</v>
      </c>
      <c r="F411" s="1" t="s">
        <v>754</v>
      </c>
      <c r="G411" s="1">
        <v>159878.81</v>
      </c>
      <c r="I411" s="30">
        <f>SUM($F$5:$F411)-SUM($E$5:$E411)</f>
        <v>159878.80999999959</v>
      </c>
      <c r="J411" s="30">
        <f t="shared" si="6"/>
        <v>-4.0745362639427185E-10</v>
      </c>
    </row>
    <row r="412" spans="1:10" x14ac:dyDescent="0.75">
      <c r="A412" s="31">
        <v>43473</v>
      </c>
      <c r="B412" s="31">
        <v>43473</v>
      </c>
      <c r="C412" s="1" t="s">
        <v>1148</v>
      </c>
      <c r="E412" s="1">
        <v>6260</v>
      </c>
      <c r="F412" s="1" t="s">
        <v>754</v>
      </c>
      <c r="G412" s="1">
        <v>153618.81</v>
      </c>
      <c r="I412" s="30">
        <f>SUM($F$5:$F412)-SUM($E$5:$E412)</f>
        <v>153618.80999999959</v>
      </c>
      <c r="J412" s="30">
        <f t="shared" si="6"/>
        <v>-4.0745362639427185E-10</v>
      </c>
    </row>
    <row r="413" spans="1:10" x14ac:dyDescent="0.75">
      <c r="A413" s="31">
        <v>43473</v>
      </c>
      <c r="B413" s="31">
        <v>43473</v>
      </c>
      <c r="C413" s="1" t="s">
        <v>773</v>
      </c>
      <c r="E413" s="1" t="s">
        <v>754</v>
      </c>
      <c r="F413" s="1">
        <v>1954.34</v>
      </c>
      <c r="G413" s="1">
        <v>155573.15</v>
      </c>
      <c r="I413" s="30">
        <f>SUM($F$5:$F413)-SUM($E$5:$E413)</f>
        <v>155573.14999999944</v>
      </c>
      <c r="J413" s="30">
        <f t="shared" si="6"/>
        <v>-5.5297277867794037E-10</v>
      </c>
    </row>
    <row r="414" spans="1:10" x14ac:dyDescent="0.75">
      <c r="A414" s="31">
        <v>43504</v>
      </c>
      <c r="B414" s="31">
        <v>43504</v>
      </c>
      <c r="C414" s="1" t="s">
        <v>773</v>
      </c>
      <c r="E414" s="1" t="s">
        <v>754</v>
      </c>
      <c r="F414" s="1">
        <v>8694.58</v>
      </c>
      <c r="G414" s="1">
        <v>164267.73000000001</v>
      </c>
      <c r="I414" s="30">
        <f>SUM($F$5:$F414)-SUM($E$5:$E414)</f>
        <v>164267.72999999952</v>
      </c>
      <c r="J414" s="30">
        <f t="shared" si="6"/>
        <v>-4.9476511776447296E-10</v>
      </c>
    </row>
    <row r="415" spans="1:10" x14ac:dyDescent="0.75">
      <c r="A415" s="31">
        <v>43624</v>
      </c>
      <c r="B415" s="31">
        <v>43624</v>
      </c>
      <c r="C415" s="1" t="s">
        <v>773</v>
      </c>
      <c r="E415" s="1" t="s">
        <v>754</v>
      </c>
      <c r="F415" s="1">
        <v>8252.2900000000009</v>
      </c>
      <c r="G415" s="1">
        <v>172520.02</v>
      </c>
      <c r="I415" s="30">
        <f>SUM($F$5:$F415)-SUM($E$5:$E415)</f>
        <v>172520.01999999955</v>
      </c>
      <c r="J415" s="30">
        <f t="shared" si="6"/>
        <v>-4.3655745685100555E-10</v>
      </c>
    </row>
    <row r="416" spans="1:10" x14ac:dyDescent="0.75">
      <c r="A416" s="31">
        <v>43685</v>
      </c>
      <c r="B416" s="31">
        <v>43685</v>
      </c>
      <c r="C416" s="1" t="s">
        <v>1149</v>
      </c>
      <c r="E416" s="1">
        <v>150000</v>
      </c>
      <c r="F416" s="1" t="s">
        <v>754</v>
      </c>
      <c r="G416" s="1">
        <v>22520.02</v>
      </c>
      <c r="I416" s="30">
        <f>SUM($F$5:$F416)-SUM($E$5:$E416)</f>
        <v>22520.019999999553</v>
      </c>
      <c r="J416" s="30">
        <f t="shared" si="6"/>
        <v>-4.4747139327228069E-10</v>
      </c>
    </row>
    <row r="417" spans="1:10" x14ac:dyDescent="0.75">
      <c r="A417" s="31">
        <v>43716</v>
      </c>
      <c r="B417" s="31">
        <v>43716</v>
      </c>
      <c r="C417" s="1" t="s">
        <v>1150</v>
      </c>
      <c r="E417" s="1">
        <v>3.5</v>
      </c>
      <c r="F417" s="1" t="s">
        <v>754</v>
      </c>
      <c r="G417" s="1">
        <v>22516.52</v>
      </c>
      <c r="I417" s="30">
        <f>SUM($F$5:$F417)-SUM($E$5:$E417)</f>
        <v>22516.519999999553</v>
      </c>
      <c r="J417" s="30">
        <f t="shared" si="6"/>
        <v>-4.4747139327228069E-10</v>
      </c>
    </row>
    <row r="418" spans="1:10" x14ac:dyDescent="0.75">
      <c r="A418" s="31">
        <v>43716</v>
      </c>
      <c r="B418" s="31">
        <v>43716</v>
      </c>
      <c r="C418" s="1" t="s">
        <v>773</v>
      </c>
      <c r="E418" s="1" t="s">
        <v>754</v>
      </c>
      <c r="F418" s="1">
        <v>6936.22</v>
      </c>
      <c r="G418" s="1">
        <v>29452.74</v>
      </c>
      <c r="I418" s="30">
        <f>SUM($F$5:$F418)-SUM($E$5:$E418)</f>
        <v>29452.739999999292</v>
      </c>
      <c r="J418" s="30">
        <f t="shared" si="6"/>
        <v>-7.0940586738288403E-10</v>
      </c>
    </row>
    <row r="419" spans="1:10" x14ac:dyDescent="0.75">
      <c r="A419" s="1" t="s">
        <v>1151</v>
      </c>
      <c r="B419" s="1" t="s">
        <v>1151</v>
      </c>
      <c r="C419" s="1" t="s">
        <v>773</v>
      </c>
      <c r="E419" s="1" t="s">
        <v>754</v>
      </c>
      <c r="F419" s="1">
        <v>2760.15</v>
      </c>
      <c r="G419" s="1">
        <v>32212.89</v>
      </c>
      <c r="I419" s="30">
        <f>SUM($F$5:$F419)-SUM($E$5:$E419)</f>
        <v>32212.889999999665</v>
      </c>
      <c r="J419" s="30">
        <f t="shared" si="6"/>
        <v>-3.3469405025243759E-10</v>
      </c>
    </row>
    <row r="420" spans="1:10" x14ac:dyDescent="0.75">
      <c r="A420" s="1" t="s">
        <v>1152</v>
      </c>
      <c r="B420" s="1" t="s">
        <v>1152</v>
      </c>
      <c r="C420" s="1" t="s">
        <v>773</v>
      </c>
      <c r="E420" s="1" t="s">
        <v>754</v>
      </c>
      <c r="F420" s="1">
        <v>4873.05</v>
      </c>
      <c r="G420" s="1">
        <v>37085.94</v>
      </c>
      <c r="I420" s="30">
        <f>SUM($F$5:$F420)-SUM($E$5:$E420)</f>
        <v>37085.939999999478</v>
      </c>
      <c r="J420" s="30">
        <f t="shared" si="6"/>
        <v>-5.2386894822120667E-10</v>
      </c>
    </row>
    <row r="421" spans="1:10" x14ac:dyDescent="0.75">
      <c r="A421" s="1" t="s">
        <v>1153</v>
      </c>
      <c r="B421" s="1" t="s">
        <v>1153</v>
      </c>
      <c r="C421" s="1" t="s">
        <v>773</v>
      </c>
      <c r="E421" s="1" t="s">
        <v>754</v>
      </c>
      <c r="F421" s="1">
        <v>11277.88</v>
      </c>
      <c r="G421" s="1">
        <v>48363.82</v>
      </c>
      <c r="I421" s="30">
        <f>SUM($F$5:$F421)-SUM($E$5:$E421)</f>
        <v>48363.819999999367</v>
      </c>
      <c r="J421" s="30">
        <f t="shared" si="6"/>
        <v>-6.3300831243395805E-10</v>
      </c>
    </row>
    <row r="422" spans="1:10" x14ac:dyDescent="0.75">
      <c r="A422" s="1" t="s">
        <v>1154</v>
      </c>
      <c r="B422" s="1" t="s">
        <v>1154</v>
      </c>
      <c r="E422" s="1" t="s">
        <v>754</v>
      </c>
      <c r="G422" s="30">
        <v>48363.82</v>
      </c>
      <c r="I422" s="30">
        <f>SUM($F$5:$F422)-SUM($E$5:$E422)</f>
        <v>48363.819999999367</v>
      </c>
      <c r="J422" s="30">
        <f t="shared" si="6"/>
        <v>-6.3300831243395805E-10</v>
      </c>
    </row>
    <row r="423" spans="1:10" x14ac:dyDescent="0.75">
      <c r="A423" s="1" t="s">
        <v>1155</v>
      </c>
      <c r="B423" s="1" t="s">
        <v>1155</v>
      </c>
      <c r="C423" s="1" t="s">
        <v>1493</v>
      </c>
      <c r="E423" s="30">
        <v>4000</v>
      </c>
      <c r="F423" s="1" t="s">
        <v>754</v>
      </c>
      <c r="G423" s="30">
        <v>44363.82</v>
      </c>
      <c r="I423" s="30">
        <f>SUM($F$5:$F423)-SUM($E$5:$E423)</f>
        <v>44363.819999999367</v>
      </c>
      <c r="J423" s="30">
        <f t="shared" si="6"/>
        <v>-6.3300831243395805E-10</v>
      </c>
    </row>
    <row r="424" spans="1:10" x14ac:dyDescent="0.75">
      <c r="A424" s="1" t="s">
        <v>1155</v>
      </c>
      <c r="B424" s="1" t="s">
        <v>1156</v>
      </c>
      <c r="C424" s="1" t="s">
        <v>773</v>
      </c>
      <c r="E424" s="1" t="s">
        <v>754</v>
      </c>
      <c r="F424" s="30">
        <v>3600.51</v>
      </c>
      <c r="G424" s="30">
        <v>47964.33</v>
      </c>
      <c r="I424" s="30">
        <f>SUM($F$5:$F424)-SUM($E$5:$E424)</f>
        <v>47964.329999999143</v>
      </c>
      <c r="J424" s="30">
        <f t="shared" si="6"/>
        <v>-8.5856299847364426E-10</v>
      </c>
    </row>
    <row r="425" spans="1:10" x14ac:dyDescent="0.75">
      <c r="A425" s="1" t="s">
        <v>1156</v>
      </c>
      <c r="B425" s="1" t="s">
        <v>1157</v>
      </c>
      <c r="C425" s="1" t="s">
        <v>773</v>
      </c>
      <c r="E425" s="1" t="s">
        <v>754</v>
      </c>
      <c r="F425" s="30">
        <v>7623.53</v>
      </c>
      <c r="G425" s="30">
        <v>55587.86</v>
      </c>
      <c r="I425" s="30">
        <f>SUM($F$5:$F425)-SUM($E$5:$E425)</f>
        <v>55587.859999999404</v>
      </c>
      <c r="J425" s="30">
        <f t="shared" si="6"/>
        <v>-5.9662852436304092E-10</v>
      </c>
    </row>
    <row r="426" spans="1:10" x14ac:dyDescent="0.75">
      <c r="A426" s="1" t="s">
        <v>1157</v>
      </c>
      <c r="C426" s="1" t="s">
        <v>773</v>
      </c>
      <c r="E426" s="1" t="s">
        <v>754</v>
      </c>
      <c r="F426" s="1">
        <v>23953.98</v>
      </c>
      <c r="G426" s="1">
        <v>79541.84</v>
      </c>
      <c r="I426" s="30">
        <f>SUM($F$5:$F426)-SUM($E$5:$E426)</f>
        <v>79541.839999999851</v>
      </c>
      <c r="J426" s="30">
        <f t="shared" si="6"/>
        <v>-1.4551915228366852E-10</v>
      </c>
    </row>
    <row r="427" spans="1:10" x14ac:dyDescent="0.75">
      <c r="A427" s="31">
        <v>43564</v>
      </c>
      <c r="B427" s="31">
        <v>43564</v>
      </c>
      <c r="C427" s="1" t="s">
        <v>773</v>
      </c>
      <c r="E427" s="1" t="s">
        <v>754</v>
      </c>
      <c r="F427" s="1">
        <v>6229.75</v>
      </c>
      <c r="G427" s="1">
        <v>85771.59</v>
      </c>
      <c r="I427" s="30">
        <f>SUM($F$5:$F427)-SUM($E$5:$E427)</f>
        <v>85771.589999999851</v>
      </c>
      <c r="J427" s="30">
        <f t="shared" si="6"/>
        <v>-1.4551915228366852E-10</v>
      </c>
    </row>
    <row r="428" spans="1:10" x14ac:dyDescent="0.75">
      <c r="A428" s="31">
        <v>43594</v>
      </c>
      <c r="B428" s="31">
        <v>43594</v>
      </c>
      <c r="C428" s="1" t="s">
        <v>1158</v>
      </c>
      <c r="E428" s="1">
        <v>11178.78</v>
      </c>
      <c r="F428" s="1" t="s">
        <v>754</v>
      </c>
      <c r="G428" s="1">
        <v>74592.81</v>
      </c>
      <c r="I428" s="30">
        <f>SUM($F$5:$F428)-SUM($E$5:$E428)</f>
        <v>74592.80999999959</v>
      </c>
      <c r="J428" s="30">
        <f t="shared" si="6"/>
        <v>-4.0745362639427185E-10</v>
      </c>
    </row>
    <row r="429" spans="1:10" x14ac:dyDescent="0.75">
      <c r="A429" s="31">
        <v>43594</v>
      </c>
      <c r="B429" s="31">
        <v>43594</v>
      </c>
      <c r="C429" s="1" t="s">
        <v>773</v>
      </c>
      <c r="E429" s="1" t="s">
        <v>754</v>
      </c>
      <c r="F429" s="1">
        <v>12331</v>
      </c>
      <c r="G429" s="1">
        <v>86923.81</v>
      </c>
      <c r="I429" s="30">
        <f>SUM($F$5:$F429)-SUM($E$5:$E429)</f>
        <v>86923.80999999959</v>
      </c>
      <c r="J429" s="30">
        <f t="shared" si="6"/>
        <v>-4.0745362639427185E-10</v>
      </c>
    </row>
    <row r="430" spans="1:10" x14ac:dyDescent="0.75">
      <c r="A430" s="31">
        <v>43625</v>
      </c>
      <c r="B430" s="31">
        <v>43625</v>
      </c>
      <c r="C430" s="1" t="s">
        <v>773</v>
      </c>
      <c r="E430" s="1" t="s">
        <v>754</v>
      </c>
      <c r="F430" s="1">
        <v>38508.379999999997</v>
      </c>
      <c r="G430" s="30">
        <v>125432.19</v>
      </c>
      <c r="I430" s="30">
        <f>SUM($F$5:$F430)-SUM($E$5:$E430)</f>
        <v>125432.18999999948</v>
      </c>
      <c r="J430" s="30">
        <f t="shared" si="6"/>
        <v>-5.2386894822120667E-10</v>
      </c>
    </row>
    <row r="431" spans="1:10" x14ac:dyDescent="0.75">
      <c r="A431" s="31">
        <v>43717</v>
      </c>
      <c r="B431" s="31">
        <v>43717</v>
      </c>
      <c r="C431" s="1" t="s">
        <v>773</v>
      </c>
      <c r="E431" s="30" t="s">
        <v>754</v>
      </c>
      <c r="F431" s="1">
        <v>158091.51</v>
      </c>
      <c r="G431" s="30">
        <v>283523.7</v>
      </c>
      <c r="I431" s="30">
        <f>SUM($F$5:$F431)-SUM($E$5:$E431)</f>
        <v>283523.69999999925</v>
      </c>
      <c r="J431" s="30">
        <f t="shared" si="6"/>
        <v>-7.5669959187507629E-10</v>
      </c>
    </row>
    <row r="432" spans="1:10" x14ac:dyDescent="0.75">
      <c r="A432" s="31">
        <v>43747</v>
      </c>
      <c r="B432" s="31">
        <v>43747</v>
      </c>
      <c r="C432" s="1" t="s">
        <v>773</v>
      </c>
      <c r="E432" s="30" t="s">
        <v>754</v>
      </c>
      <c r="F432" s="1">
        <v>28383.29</v>
      </c>
      <c r="G432" s="30">
        <v>311906.99</v>
      </c>
      <c r="I432" s="30">
        <f>SUM($F$5:$F432)-SUM($E$5:$E432)</f>
        <v>311906.98999999929</v>
      </c>
      <c r="J432" s="30">
        <f t="shared" si="6"/>
        <v>-6.9849193096160889E-10</v>
      </c>
    </row>
    <row r="433" spans="1:10" x14ac:dyDescent="0.75">
      <c r="A433" s="31">
        <v>43778</v>
      </c>
      <c r="B433" s="31">
        <v>43778</v>
      </c>
      <c r="C433" s="1" t="s">
        <v>773</v>
      </c>
      <c r="E433" s="30" t="s">
        <v>754</v>
      </c>
      <c r="F433" s="1">
        <v>36168.97</v>
      </c>
      <c r="G433" s="30">
        <v>348075.96</v>
      </c>
      <c r="I433" s="30">
        <f>SUM($F$5:$F433)-SUM($E$5:$E433)</f>
        <v>348075.95999999903</v>
      </c>
      <c r="J433" s="30">
        <f t="shared" si="6"/>
        <v>-9.8953023552894592E-10</v>
      </c>
    </row>
    <row r="434" spans="1:10" x14ac:dyDescent="0.75">
      <c r="A434" s="31">
        <v>43808</v>
      </c>
      <c r="B434" s="31">
        <v>43808</v>
      </c>
      <c r="C434" s="1" t="s">
        <v>773</v>
      </c>
      <c r="E434" s="30" t="s">
        <v>754</v>
      </c>
      <c r="F434" s="1">
        <v>99246.06</v>
      </c>
      <c r="G434" s="30">
        <v>447322.02</v>
      </c>
      <c r="I434" s="30">
        <f>SUM($F$5:$F434)-SUM($E$5:$E434)</f>
        <v>447322.01999999862</v>
      </c>
      <c r="J434" s="30">
        <f t="shared" si="6"/>
        <v>-1.3969838619232178E-9</v>
      </c>
    </row>
    <row r="435" spans="1:10" x14ac:dyDescent="0.75">
      <c r="A435" s="1" t="s">
        <v>1159</v>
      </c>
      <c r="B435" s="1" t="s">
        <v>1159</v>
      </c>
      <c r="C435" s="1" t="s">
        <v>1160</v>
      </c>
      <c r="E435" s="1">
        <v>280000</v>
      </c>
      <c r="F435" s="30" t="s">
        <v>754</v>
      </c>
      <c r="G435" s="30">
        <v>167322.01999999999</v>
      </c>
      <c r="I435" s="30">
        <f>SUM($F$5:$F435)-SUM($E$5:$E435)</f>
        <v>167322.01999999862</v>
      </c>
      <c r="J435" s="30">
        <f t="shared" si="6"/>
        <v>-1.3678800314664841E-9</v>
      </c>
    </row>
    <row r="436" spans="1:10" x14ac:dyDescent="0.75">
      <c r="A436" s="1" t="s">
        <v>1159</v>
      </c>
      <c r="B436" s="1" t="s">
        <v>1159</v>
      </c>
      <c r="C436" s="1" t="s">
        <v>773</v>
      </c>
      <c r="E436" s="1" t="s">
        <v>754</v>
      </c>
      <c r="F436" s="30">
        <v>30898</v>
      </c>
      <c r="G436" s="30">
        <v>198220.02</v>
      </c>
      <c r="I436" s="30">
        <f>SUM($F$5:$F436)-SUM($E$5:$E436)</f>
        <v>198220.01999999862</v>
      </c>
      <c r="J436" s="30">
        <f t="shared" si="6"/>
        <v>-1.3678800314664841E-9</v>
      </c>
    </row>
    <row r="437" spans="1:10" x14ac:dyDescent="0.75">
      <c r="A437" s="1" t="s">
        <v>1161</v>
      </c>
      <c r="B437" s="1" t="s">
        <v>1161</v>
      </c>
      <c r="C437" s="1" t="s">
        <v>773</v>
      </c>
      <c r="E437" s="1" t="s">
        <v>754</v>
      </c>
      <c r="F437" s="30">
        <v>32313.51</v>
      </c>
      <c r="G437" s="30">
        <v>230533.53</v>
      </c>
      <c r="I437" s="30">
        <f>SUM($F$5:$F437)-SUM($E$5:$E437)</f>
        <v>230533.5299999984</v>
      </c>
      <c r="J437" s="30">
        <f t="shared" si="6"/>
        <v>-1.6007106751203537E-9</v>
      </c>
    </row>
    <row r="438" spans="1:10" x14ac:dyDescent="0.75">
      <c r="A438" s="1" t="s">
        <v>1162</v>
      </c>
      <c r="B438" s="1" t="s">
        <v>1162</v>
      </c>
      <c r="C438" s="1" t="s">
        <v>773</v>
      </c>
      <c r="E438" s="30" t="s">
        <v>754</v>
      </c>
      <c r="F438" s="1">
        <v>6347</v>
      </c>
      <c r="G438" s="30">
        <v>236880.53</v>
      </c>
      <c r="I438" s="30">
        <f>SUM($F$5:$F438)-SUM($E$5:$E438)</f>
        <v>236880.5299999984</v>
      </c>
      <c r="J438" s="30">
        <f t="shared" si="6"/>
        <v>-1.6007106751203537E-9</v>
      </c>
    </row>
    <row r="439" spans="1:10" x14ac:dyDescent="0.75">
      <c r="A439" s="1" t="s">
        <v>1163</v>
      </c>
      <c r="B439" s="1" t="s">
        <v>1163</v>
      </c>
      <c r="C439" s="1" t="s">
        <v>773</v>
      </c>
      <c r="E439" s="1" t="s">
        <v>754</v>
      </c>
      <c r="F439" s="1">
        <v>37460.230000000003</v>
      </c>
      <c r="G439" s="1">
        <v>274340.76</v>
      </c>
      <c r="I439" s="30">
        <f>SUM($F$5:$F439)-SUM($E$5:$E439)</f>
        <v>274340.75999999885</v>
      </c>
      <c r="J439" s="30">
        <f t="shared" si="6"/>
        <v>-1.1641532182693481E-9</v>
      </c>
    </row>
    <row r="440" spans="1:10" x14ac:dyDescent="0.75">
      <c r="A440" s="1" t="s">
        <v>1164</v>
      </c>
      <c r="B440" s="1" t="s">
        <v>1164</v>
      </c>
      <c r="C440" s="1" t="s">
        <v>773</v>
      </c>
      <c r="E440" s="1" t="s">
        <v>754</v>
      </c>
      <c r="F440" s="1">
        <v>44019.16</v>
      </c>
      <c r="G440" s="1">
        <v>318359.92</v>
      </c>
      <c r="I440" s="30">
        <f>SUM($F$5:$F440)-SUM($E$5:$E440)</f>
        <v>318359.91999999899</v>
      </c>
      <c r="J440" s="30">
        <f t="shared" si="6"/>
        <v>-9.8953023552894592E-10</v>
      </c>
    </row>
    <row r="441" spans="1:10" x14ac:dyDescent="0.75">
      <c r="A441" s="1" t="s">
        <v>1165</v>
      </c>
      <c r="B441" s="1" t="s">
        <v>1165</v>
      </c>
      <c r="C441" s="1" t="s">
        <v>1166</v>
      </c>
      <c r="E441" s="1">
        <v>800</v>
      </c>
      <c r="F441" s="1" t="s">
        <v>754</v>
      </c>
      <c r="G441" s="1">
        <v>317559.92</v>
      </c>
      <c r="I441" s="30">
        <f>SUM($F$5:$F441)-SUM($E$5:$E441)</f>
        <v>317559.91999999899</v>
      </c>
      <c r="J441" s="30">
        <f t="shared" si="6"/>
        <v>-9.8953023552894592E-10</v>
      </c>
    </row>
    <row r="442" spans="1:10" x14ac:dyDescent="0.75">
      <c r="A442" s="31" t="s">
        <v>1165</v>
      </c>
      <c r="B442" s="31" t="s">
        <v>1165</v>
      </c>
      <c r="C442" s="1" t="s">
        <v>1167</v>
      </c>
      <c r="E442" s="1">
        <v>200000</v>
      </c>
      <c r="F442" s="1" t="s">
        <v>754</v>
      </c>
      <c r="G442" s="1">
        <v>117559.92</v>
      </c>
      <c r="I442" s="30">
        <f>SUM($F$5:$F442)-SUM($E$5:$E442)</f>
        <v>117559.91999999899</v>
      </c>
      <c r="J442" s="30">
        <f t="shared" si="6"/>
        <v>-1.0040821507573128E-9</v>
      </c>
    </row>
    <row r="443" spans="1:10" x14ac:dyDescent="0.75">
      <c r="A443" s="31" t="s">
        <v>1168</v>
      </c>
      <c r="B443" s="31" t="s">
        <v>1168</v>
      </c>
      <c r="C443" s="1" t="s">
        <v>773</v>
      </c>
      <c r="E443" s="1" t="s">
        <v>754</v>
      </c>
      <c r="F443" s="1">
        <v>32778.800000000003</v>
      </c>
      <c r="G443" s="1">
        <v>150338.72</v>
      </c>
      <c r="I443" s="30">
        <f>SUM($F$5:$F443)-SUM($E$5:$E443)</f>
        <v>150338.71999999881</v>
      </c>
      <c r="J443" s="30">
        <f t="shared" si="6"/>
        <v>-1.1932570487260818E-9</v>
      </c>
    </row>
    <row r="444" spans="1:10" x14ac:dyDescent="0.75">
      <c r="A444" s="31" t="s">
        <v>1169</v>
      </c>
      <c r="B444" s="31" t="s">
        <v>1169</v>
      </c>
      <c r="C444" s="1" t="s">
        <v>773</v>
      </c>
      <c r="E444" s="1" t="s">
        <v>754</v>
      </c>
      <c r="F444" s="1">
        <v>1837</v>
      </c>
      <c r="G444" s="1">
        <v>152175.72</v>
      </c>
      <c r="I444" s="30">
        <f>SUM($F$5:$F444)-SUM($E$5:$E444)</f>
        <v>152175.71999999881</v>
      </c>
      <c r="J444" s="30">
        <f t="shared" si="6"/>
        <v>-1.1932570487260818E-9</v>
      </c>
    </row>
    <row r="445" spans="1:10" x14ac:dyDescent="0.75">
      <c r="A445" s="31" t="s">
        <v>1170</v>
      </c>
      <c r="B445" s="31" t="s">
        <v>1170</v>
      </c>
      <c r="C445" s="1" t="s">
        <v>773</v>
      </c>
      <c r="E445" s="1" t="s">
        <v>754</v>
      </c>
      <c r="F445" s="1">
        <v>21131.99</v>
      </c>
      <c r="G445" s="1">
        <v>173307.71</v>
      </c>
      <c r="I445" s="30">
        <f>SUM($F$5:$F445)-SUM($E$5:$E445)</f>
        <v>173307.70999999903</v>
      </c>
      <c r="J445" s="30">
        <f t="shared" si="6"/>
        <v>-9.6042640507221222E-10</v>
      </c>
    </row>
    <row r="446" spans="1:10" x14ac:dyDescent="0.75">
      <c r="A446" s="31" t="s">
        <v>1171</v>
      </c>
      <c r="B446" s="31" t="s">
        <v>1171</v>
      </c>
      <c r="C446" s="1" t="s">
        <v>1172</v>
      </c>
      <c r="E446" s="1">
        <v>2000</v>
      </c>
      <c r="F446" s="1" t="s">
        <v>754</v>
      </c>
      <c r="G446" s="1">
        <v>171307.71</v>
      </c>
      <c r="I446" s="30">
        <f>SUM($F$5:$F446)-SUM($E$5:$E446)</f>
        <v>171307.70999999903</v>
      </c>
      <c r="J446" s="30">
        <f t="shared" si="6"/>
        <v>-9.6042640507221222E-10</v>
      </c>
    </row>
    <row r="447" spans="1:10" x14ac:dyDescent="0.75">
      <c r="A447" s="31" t="s">
        <v>1171</v>
      </c>
      <c r="B447" s="31" t="s">
        <v>1171</v>
      </c>
      <c r="C447" s="1" t="s">
        <v>1173</v>
      </c>
      <c r="E447" s="1">
        <v>4537.3500000000004</v>
      </c>
      <c r="F447" s="1" t="s">
        <v>754</v>
      </c>
      <c r="G447" s="1">
        <v>166770.35999999999</v>
      </c>
      <c r="I447" s="30">
        <f>SUM($F$5:$F447)-SUM($E$5:$E447)</f>
        <v>166770.3599999994</v>
      </c>
      <c r="J447" s="30">
        <f t="shared" si="6"/>
        <v>-5.8207660913467407E-10</v>
      </c>
    </row>
    <row r="448" spans="1:10" x14ac:dyDescent="0.75">
      <c r="A448" s="31" t="s">
        <v>1171</v>
      </c>
      <c r="B448" s="31" t="s">
        <v>1171</v>
      </c>
      <c r="C448" s="1" t="s">
        <v>1174</v>
      </c>
      <c r="E448" s="1">
        <v>5726.36</v>
      </c>
      <c r="F448" s="1" t="s">
        <v>754</v>
      </c>
      <c r="G448" s="1">
        <v>161044</v>
      </c>
      <c r="I448" s="30">
        <f>SUM($F$5:$F448)-SUM($E$5:$E448)</f>
        <v>161043.99999999907</v>
      </c>
      <c r="J448" s="30">
        <f t="shared" si="6"/>
        <v>-9.3132257461547852E-10</v>
      </c>
    </row>
    <row r="449" spans="1:10" x14ac:dyDescent="0.75">
      <c r="A449" s="31" t="s">
        <v>1171</v>
      </c>
      <c r="B449" s="31" t="s">
        <v>1171</v>
      </c>
      <c r="C449" s="1" t="s">
        <v>1175</v>
      </c>
      <c r="E449" s="1">
        <v>5238</v>
      </c>
      <c r="F449" s="1" t="s">
        <v>754</v>
      </c>
      <c r="G449" s="1">
        <v>155806</v>
      </c>
      <c r="I449" s="30">
        <f>SUM($F$5:$F449)-SUM($E$5:$E449)</f>
        <v>155805.99999999907</v>
      </c>
      <c r="J449" s="30">
        <f t="shared" si="6"/>
        <v>-9.3132257461547852E-10</v>
      </c>
    </row>
    <row r="450" spans="1:10" x14ac:dyDescent="0.75">
      <c r="A450" s="1" t="s">
        <v>1171</v>
      </c>
      <c r="B450" s="1" t="s">
        <v>1171</v>
      </c>
      <c r="F450" s="1" t="s">
        <v>754</v>
      </c>
      <c r="G450" s="30">
        <v>155806</v>
      </c>
      <c r="I450" s="30">
        <f>SUM($F$5:$F450)-SUM($E$5:$E450)</f>
        <v>155805.99999999907</v>
      </c>
      <c r="J450" s="30">
        <f t="shared" si="6"/>
        <v>-9.3132257461547852E-10</v>
      </c>
    </row>
    <row r="451" spans="1:10" x14ac:dyDescent="0.75">
      <c r="A451" s="1" t="s">
        <v>1176</v>
      </c>
      <c r="B451" s="1" t="s">
        <v>1177</v>
      </c>
      <c r="C451" s="1" t="s">
        <v>773</v>
      </c>
      <c r="E451" s="1" t="s">
        <v>754</v>
      </c>
      <c r="F451" s="1">
        <v>19018</v>
      </c>
      <c r="G451" s="30">
        <v>174824</v>
      </c>
      <c r="I451" s="30">
        <f>SUM($F$5:$F451)-SUM($E$5:$E451)</f>
        <v>174823.99999999907</v>
      </c>
      <c r="J451" s="30">
        <f t="shared" si="6"/>
        <v>-9.3132257461547852E-10</v>
      </c>
    </row>
    <row r="452" spans="1:10" x14ac:dyDescent="0.75">
      <c r="A452" s="1" t="s">
        <v>1178</v>
      </c>
      <c r="C452" s="1" t="s">
        <v>773</v>
      </c>
      <c r="E452" s="1" t="s">
        <v>754</v>
      </c>
      <c r="F452" s="1">
        <v>22880.22</v>
      </c>
      <c r="G452" s="30">
        <v>197704.22</v>
      </c>
      <c r="I452" s="30">
        <f>SUM($F$5:$F452)-SUM($E$5:$E452)</f>
        <v>197704.21999999881</v>
      </c>
      <c r="J452" s="30">
        <f t="shared" si="6"/>
        <v>-1.1932570487260818E-9</v>
      </c>
    </row>
    <row r="453" spans="1:10" x14ac:dyDescent="0.75">
      <c r="A453" s="31">
        <v>43475</v>
      </c>
      <c r="B453" s="31">
        <v>43475</v>
      </c>
      <c r="C453" s="1" t="s">
        <v>773</v>
      </c>
      <c r="E453" s="30" t="s">
        <v>754</v>
      </c>
      <c r="F453" s="1">
        <v>2708.5</v>
      </c>
      <c r="G453" s="30">
        <v>200412.72</v>
      </c>
      <c r="I453" s="30">
        <f>SUM($F$5:$F453)-SUM($E$5:$E453)</f>
        <v>200412.71999999881</v>
      </c>
      <c r="J453" s="30">
        <f t="shared" si="6"/>
        <v>-1.1932570487260818E-9</v>
      </c>
    </row>
    <row r="454" spans="1:10" x14ac:dyDescent="0.75">
      <c r="A454" s="31">
        <v>43534</v>
      </c>
      <c r="B454" s="31">
        <v>43534</v>
      </c>
      <c r="C454" s="1" t="s">
        <v>1179</v>
      </c>
      <c r="E454" s="1">
        <v>667.3</v>
      </c>
      <c r="F454" s="30" t="s">
        <v>754</v>
      </c>
      <c r="G454" s="30">
        <v>199745.42</v>
      </c>
      <c r="I454" s="30">
        <f>SUM($F$5:$F454)-SUM($E$5:$E454)</f>
        <v>199745.41999999899</v>
      </c>
      <c r="J454" s="30">
        <f t="shared" ref="J454:J517" si="7">I454-G454</f>
        <v>-1.0186340659856796E-9</v>
      </c>
    </row>
    <row r="455" spans="1:10" x14ac:dyDescent="0.75">
      <c r="A455" s="31">
        <v>43534</v>
      </c>
      <c r="B455" s="31">
        <v>43534</v>
      </c>
      <c r="C455" s="1" t="s">
        <v>1180</v>
      </c>
      <c r="E455" s="1">
        <v>8079.61</v>
      </c>
      <c r="F455" s="30" t="s">
        <v>754</v>
      </c>
      <c r="G455" s="30">
        <v>191665.81</v>
      </c>
      <c r="I455" s="30">
        <f>SUM($F$5:$F455)-SUM($E$5:$E455)</f>
        <v>191665.80999999866</v>
      </c>
      <c r="J455" s="30">
        <f t="shared" si="7"/>
        <v>-1.3387762010097504E-9</v>
      </c>
    </row>
    <row r="456" spans="1:10" x14ac:dyDescent="0.75">
      <c r="A456" s="31">
        <v>43534</v>
      </c>
      <c r="B456" s="31">
        <v>43534</v>
      </c>
      <c r="C456" s="1" t="s">
        <v>773</v>
      </c>
      <c r="E456" s="1" t="s">
        <v>754</v>
      </c>
      <c r="F456" s="1">
        <v>31236.799999999999</v>
      </c>
      <c r="G456" s="1">
        <v>222902.61</v>
      </c>
      <c r="I456" s="30">
        <f>SUM($F$5:$F456)-SUM($E$5:$E456)</f>
        <v>222902.60999999847</v>
      </c>
      <c r="J456" s="30">
        <f t="shared" si="7"/>
        <v>-1.5133991837501526E-9</v>
      </c>
    </row>
    <row r="457" spans="1:10" x14ac:dyDescent="0.75">
      <c r="A457" s="31">
        <v>43565</v>
      </c>
      <c r="B457" s="31">
        <v>43565</v>
      </c>
      <c r="C457" s="1" t="s">
        <v>773</v>
      </c>
      <c r="E457" s="1" t="s">
        <v>754</v>
      </c>
      <c r="F457" s="1">
        <v>51712.56</v>
      </c>
      <c r="G457" s="1">
        <v>274615.17</v>
      </c>
      <c r="I457" s="30">
        <f>SUM($F$5:$F457)-SUM($E$5:$E457)</f>
        <v>274615.16999999806</v>
      </c>
      <c r="J457" s="30">
        <f t="shared" si="7"/>
        <v>-1.9208528101444244E-9</v>
      </c>
    </row>
    <row r="458" spans="1:10" x14ac:dyDescent="0.75">
      <c r="A458" s="31">
        <v>43656</v>
      </c>
      <c r="B458" s="31">
        <v>43656</v>
      </c>
      <c r="C458" s="1" t="s">
        <v>1181</v>
      </c>
      <c r="E458" s="1">
        <v>2892.24</v>
      </c>
      <c r="F458" s="1" t="s">
        <v>754</v>
      </c>
      <c r="G458" s="1">
        <v>271722.93</v>
      </c>
      <c r="I458" s="30">
        <f>SUM($F$5:$F458)-SUM($E$5:$E458)</f>
        <v>271722.92999999784</v>
      </c>
      <c r="J458" s="30">
        <f t="shared" si="7"/>
        <v>-2.1536834537982941E-9</v>
      </c>
    </row>
    <row r="459" spans="1:10" x14ac:dyDescent="0.75">
      <c r="A459" s="31">
        <v>43656</v>
      </c>
      <c r="B459" s="31">
        <v>43656</v>
      </c>
      <c r="C459" s="1" t="s">
        <v>1182</v>
      </c>
      <c r="E459" s="1">
        <v>31104.39</v>
      </c>
      <c r="F459" s="1" t="s">
        <v>754</v>
      </c>
      <c r="G459" s="1">
        <v>240618.54</v>
      </c>
      <c r="I459" s="30">
        <f>SUM($F$5:$F459)-SUM($E$5:$E459)</f>
        <v>240618.53999999817</v>
      </c>
      <c r="J459" s="30">
        <f t="shared" si="7"/>
        <v>-1.8335413187742233E-9</v>
      </c>
    </row>
    <row r="460" spans="1:10" x14ac:dyDescent="0.75">
      <c r="A460" s="31">
        <v>43656</v>
      </c>
      <c r="B460" s="31">
        <v>43656</v>
      </c>
      <c r="C460" s="1" t="s">
        <v>1183</v>
      </c>
      <c r="E460" s="1">
        <v>65985.8</v>
      </c>
      <c r="F460" s="1" t="s">
        <v>754</v>
      </c>
      <c r="G460" s="1">
        <v>174632.74</v>
      </c>
      <c r="I460" s="30">
        <f>SUM($F$5:$F460)-SUM($E$5:$E460)</f>
        <v>174632.73999999836</v>
      </c>
      <c r="J460" s="30">
        <f t="shared" si="7"/>
        <v>-1.6298145055770874E-9</v>
      </c>
    </row>
    <row r="461" spans="1:10" x14ac:dyDescent="0.75">
      <c r="A461" s="31">
        <v>43656</v>
      </c>
      <c r="B461" s="31">
        <v>43656</v>
      </c>
      <c r="C461" s="1" t="s">
        <v>773</v>
      </c>
      <c r="E461" s="1" t="s">
        <v>754</v>
      </c>
      <c r="F461" s="1">
        <v>65884.649999999994</v>
      </c>
      <c r="G461" s="1">
        <v>240517.39</v>
      </c>
      <c r="I461" s="30">
        <f>SUM($F$5:$F461)-SUM($E$5:$E461)</f>
        <v>240517.38999999873</v>
      </c>
      <c r="J461" s="30">
        <f t="shared" si="7"/>
        <v>-1.280568540096283E-9</v>
      </c>
    </row>
    <row r="462" spans="1:10" x14ac:dyDescent="0.75">
      <c r="A462" s="31">
        <v>43687</v>
      </c>
      <c r="B462" s="31">
        <v>43687</v>
      </c>
      <c r="C462" s="1" t="s">
        <v>773</v>
      </c>
      <c r="E462" s="1" t="s">
        <v>754</v>
      </c>
      <c r="F462" s="1">
        <v>12647.95</v>
      </c>
      <c r="G462" s="1">
        <v>253165.34</v>
      </c>
      <c r="I462" s="30">
        <f>SUM($F$5:$F462)-SUM($E$5:$E462)</f>
        <v>253165.33999999892</v>
      </c>
      <c r="J462" s="30">
        <f t="shared" si="7"/>
        <v>-1.076841726899147E-9</v>
      </c>
    </row>
    <row r="463" spans="1:10" x14ac:dyDescent="0.75">
      <c r="A463" s="31">
        <v>43718</v>
      </c>
      <c r="B463" s="31">
        <v>43718</v>
      </c>
      <c r="C463" s="1" t="s">
        <v>1184</v>
      </c>
      <c r="E463" s="1">
        <v>1628</v>
      </c>
      <c r="F463" s="1" t="s">
        <v>754</v>
      </c>
      <c r="G463" s="1">
        <v>251537.34</v>
      </c>
      <c r="I463" s="30">
        <f>SUM($F$5:$F463)-SUM($E$5:$E463)</f>
        <v>251537.33999999892</v>
      </c>
      <c r="J463" s="30">
        <f t="shared" si="7"/>
        <v>-1.076841726899147E-9</v>
      </c>
    </row>
    <row r="464" spans="1:10" x14ac:dyDescent="0.75">
      <c r="A464" s="31">
        <v>43718</v>
      </c>
      <c r="B464" s="31">
        <v>43718</v>
      </c>
      <c r="C464" s="1" t="s">
        <v>773</v>
      </c>
      <c r="E464" s="1" t="s">
        <v>754</v>
      </c>
      <c r="F464" s="1">
        <v>14426.33</v>
      </c>
      <c r="G464" s="1">
        <v>265963.67</v>
      </c>
      <c r="I464" s="30">
        <f>SUM($F$5:$F464)-SUM($E$5:$E464)</f>
        <v>265963.66999999899</v>
      </c>
      <c r="J464" s="30">
        <f t="shared" si="7"/>
        <v>-9.8953023552894592E-10</v>
      </c>
    </row>
    <row r="465" spans="1:10" x14ac:dyDescent="0.75">
      <c r="A465" s="31">
        <v>43748</v>
      </c>
      <c r="B465" s="31">
        <v>43748</v>
      </c>
      <c r="C465" s="1" t="s">
        <v>1185</v>
      </c>
      <c r="E465" s="1">
        <v>3414.96</v>
      </c>
      <c r="F465" s="1" t="s">
        <v>754</v>
      </c>
      <c r="G465" s="1">
        <v>262548.71000000002</v>
      </c>
      <c r="I465" s="30">
        <f>SUM($F$5:$F465)-SUM($E$5:$E465)</f>
        <v>262548.70999999903</v>
      </c>
      <c r="J465" s="30">
        <f t="shared" si="7"/>
        <v>-9.8953023552894592E-10</v>
      </c>
    </row>
    <row r="466" spans="1:10" x14ac:dyDescent="0.75">
      <c r="A466" s="31">
        <v>43748</v>
      </c>
      <c r="B466" s="31">
        <v>43748</v>
      </c>
      <c r="C466" s="1" t="s">
        <v>1186</v>
      </c>
      <c r="E466" s="1">
        <v>7432.04</v>
      </c>
      <c r="F466" s="1" t="s">
        <v>754</v>
      </c>
      <c r="G466" s="1">
        <v>255116.67</v>
      </c>
      <c r="I466" s="30">
        <f>SUM($F$5:$F466)-SUM($E$5:$E466)</f>
        <v>255116.66999999899</v>
      </c>
      <c r="J466" s="30">
        <f t="shared" si="7"/>
        <v>-1.0186340659856796E-9</v>
      </c>
    </row>
    <row r="467" spans="1:10" x14ac:dyDescent="0.75">
      <c r="A467" s="31">
        <v>43748</v>
      </c>
      <c r="B467" s="31">
        <v>43748</v>
      </c>
      <c r="C467" s="1" t="s">
        <v>773</v>
      </c>
      <c r="E467" s="1" t="s">
        <v>754</v>
      </c>
      <c r="F467" s="1">
        <v>63531.61</v>
      </c>
      <c r="G467" s="1">
        <v>318648.28000000003</v>
      </c>
      <c r="I467" s="30">
        <f>SUM($F$5:$F467)-SUM($E$5:$E467)</f>
        <v>318648.27999999933</v>
      </c>
      <c r="J467" s="30">
        <f t="shared" si="7"/>
        <v>-6.9849193096160889E-10</v>
      </c>
    </row>
    <row r="468" spans="1:10" x14ac:dyDescent="0.75">
      <c r="A468" s="31">
        <v>43779</v>
      </c>
      <c r="B468" s="31">
        <v>43779</v>
      </c>
      <c r="C468" s="1" t="s">
        <v>1187</v>
      </c>
      <c r="E468" s="1">
        <v>500</v>
      </c>
      <c r="F468" s="1" t="s">
        <v>754</v>
      </c>
      <c r="G468" s="1">
        <v>318148.28000000003</v>
      </c>
      <c r="I468" s="30">
        <f>SUM($F$5:$F468)-SUM($E$5:$E468)</f>
        <v>318148.27999999933</v>
      </c>
      <c r="J468" s="30">
        <f t="shared" si="7"/>
        <v>-6.9849193096160889E-10</v>
      </c>
    </row>
    <row r="469" spans="1:10" x14ac:dyDescent="0.75">
      <c r="A469" s="31">
        <v>43779</v>
      </c>
      <c r="B469" s="31">
        <v>43779</v>
      </c>
      <c r="C469" s="1" t="s">
        <v>773</v>
      </c>
      <c r="E469" s="1" t="s">
        <v>754</v>
      </c>
      <c r="F469" s="1">
        <v>387482.71</v>
      </c>
      <c r="G469" s="1">
        <v>705630.99</v>
      </c>
      <c r="I469" s="30">
        <f>SUM($F$5:$F469)-SUM($E$5:$E469)</f>
        <v>705630.98999999929</v>
      </c>
      <c r="J469" s="30">
        <f t="shared" si="7"/>
        <v>0</v>
      </c>
    </row>
    <row r="470" spans="1:10" x14ac:dyDescent="0.75">
      <c r="A470" s="1" t="s">
        <v>1188</v>
      </c>
      <c r="B470" s="1" t="s">
        <v>1188</v>
      </c>
      <c r="C470" s="1" t="s">
        <v>1189</v>
      </c>
      <c r="E470" s="1">
        <v>17390</v>
      </c>
      <c r="F470" s="1" t="s">
        <v>754</v>
      </c>
      <c r="G470" s="1">
        <v>688240.99</v>
      </c>
      <c r="I470" s="30">
        <f>SUM($F$5:$F470)-SUM($E$5:$E470)</f>
        <v>688240.98999999929</v>
      </c>
      <c r="J470" s="30">
        <f t="shared" si="7"/>
        <v>0</v>
      </c>
    </row>
    <row r="471" spans="1:10" x14ac:dyDescent="0.75">
      <c r="A471" s="1" t="s">
        <v>1188</v>
      </c>
      <c r="B471" s="1" t="s">
        <v>1188</v>
      </c>
      <c r="C471" s="1" t="s">
        <v>773</v>
      </c>
      <c r="E471" s="1" t="s">
        <v>754</v>
      </c>
      <c r="F471" s="1">
        <v>11790.19</v>
      </c>
      <c r="G471" s="1">
        <v>700031.18</v>
      </c>
      <c r="I471" s="30">
        <f>SUM($F$5:$F471)-SUM($E$5:$E471)</f>
        <v>700031.1799999997</v>
      </c>
      <c r="J471" s="30">
        <f t="shared" si="7"/>
        <v>0</v>
      </c>
    </row>
    <row r="472" spans="1:10" x14ac:dyDescent="0.75">
      <c r="A472" s="1" t="s">
        <v>1190</v>
      </c>
      <c r="B472" s="1" t="s">
        <v>1190</v>
      </c>
      <c r="C472" s="1" t="s">
        <v>773</v>
      </c>
      <c r="E472" s="1" t="s">
        <v>754</v>
      </c>
      <c r="F472" s="1">
        <v>13057</v>
      </c>
      <c r="G472" s="1">
        <v>713088.18</v>
      </c>
      <c r="I472" s="30">
        <f>SUM($F$5:$F472)-SUM($E$5:$E472)</f>
        <v>713088.1799999997</v>
      </c>
      <c r="J472" s="30">
        <f t="shared" si="7"/>
        <v>0</v>
      </c>
    </row>
    <row r="473" spans="1:10" x14ac:dyDescent="0.75">
      <c r="A473" s="1" t="s">
        <v>1191</v>
      </c>
      <c r="B473" s="1" t="s">
        <v>1191</v>
      </c>
      <c r="C473" s="1" t="s">
        <v>773</v>
      </c>
      <c r="E473" s="1" t="s">
        <v>754</v>
      </c>
      <c r="F473" s="1">
        <v>15301.69</v>
      </c>
      <c r="G473" s="1">
        <v>728389.87</v>
      </c>
      <c r="I473" s="30">
        <f>SUM($F$5:$F473)-SUM($E$5:$E473)</f>
        <v>728389.87000000011</v>
      </c>
      <c r="J473" s="30">
        <f t="shared" si="7"/>
        <v>0</v>
      </c>
    </row>
    <row r="474" spans="1:10" x14ac:dyDescent="0.75">
      <c r="A474" s="1" t="s">
        <v>1192</v>
      </c>
      <c r="B474" s="1" t="s">
        <v>1192</v>
      </c>
      <c r="C474" s="1" t="s">
        <v>1193</v>
      </c>
      <c r="E474" s="1">
        <v>14333.53</v>
      </c>
      <c r="F474" s="1" t="s">
        <v>754</v>
      </c>
      <c r="G474" s="1">
        <v>714056.34</v>
      </c>
      <c r="I474" s="30">
        <f>SUM($F$5:$F474)-SUM($E$5:$E474)</f>
        <v>714056.33999999985</v>
      </c>
      <c r="J474" s="30">
        <f t="shared" si="7"/>
        <v>0</v>
      </c>
    </row>
    <row r="475" spans="1:10" x14ac:dyDescent="0.75">
      <c r="A475" s="1" t="s">
        <v>1192</v>
      </c>
      <c r="B475" s="1" t="s">
        <v>1192</v>
      </c>
      <c r="C475" s="1" t="s">
        <v>773</v>
      </c>
      <c r="E475" s="1" t="s">
        <v>754</v>
      </c>
      <c r="F475" s="1">
        <v>20936.419999999998</v>
      </c>
      <c r="G475" s="1">
        <v>734992.76</v>
      </c>
      <c r="I475" s="30">
        <f>SUM($F$5:$F475)-SUM($E$5:$E475)</f>
        <v>734992.75999999978</v>
      </c>
      <c r="J475" s="30">
        <f t="shared" si="7"/>
        <v>0</v>
      </c>
    </row>
    <row r="476" spans="1:10" x14ac:dyDescent="0.75">
      <c r="A476" s="1" t="s">
        <v>1194</v>
      </c>
      <c r="B476" s="1" t="s">
        <v>1194</v>
      </c>
      <c r="C476" s="1" t="s">
        <v>1195</v>
      </c>
      <c r="E476" s="1">
        <v>2666</v>
      </c>
      <c r="F476" s="1" t="s">
        <v>754</v>
      </c>
      <c r="G476" s="1">
        <v>732326.76</v>
      </c>
      <c r="I476" s="30">
        <f>SUM($F$5:$F476)-SUM($E$5:$E476)</f>
        <v>732326.75999999978</v>
      </c>
      <c r="J476" s="30">
        <f t="shared" si="7"/>
        <v>0</v>
      </c>
    </row>
    <row r="477" spans="1:10" x14ac:dyDescent="0.75">
      <c r="A477" s="1" t="s">
        <v>1194</v>
      </c>
      <c r="B477" s="1" t="s">
        <v>1194</v>
      </c>
      <c r="C477" s="1" t="s">
        <v>1196</v>
      </c>
      <c r="E477" s="1">
        <v>1576.25</v>
      </c>
      <c r="F477" s="1" t="s">
        <v>754</v>
      </c>
      <c r="G477" s="1">
        <v>730750.51</v>
      </c>
      <c r="I477" s="30">
        <f>SUM($F$5:$F477)-SUM($E$5:$E477)</f>
        <v>730750.50999999978</v>
      </c>
      <c r="J477" s="30">
        <f t="shared" si="7"/>
        <v>0</v>
      </c>
    </row>
    <row r="478" spans="1:10" x14ac:dyDescent="0.75">
      <c r="A478" s="1" t="s">
        <v>1194</v>
      </c>
      <c r="B478" s="1" t="s">
        <v>1194</v>
      </c>
      <c r="C478" s="1" t="s">
        <v>1197</v>
      </c>
      <c r="E478" s="1">
        <v>22701.14</v>
      </c>
      <c r="F478" s="1" t="s">
        <v>754</v>
      </c>
      <c r="G478" s="1">
        <v>708049.37</v>
      </c>
      <c r="I478" s="30">
        <f>SUM($F$5:$F478)-SUM($E$5:$E478)</f>
        <v>708049.37000000011</v>
      </c>
      <c r="J478" s="30">
        <f t="shared" si="7"/>
        <v>0</v>
      </c>
    </row>
    <row r="479" spans="1:10" x14ac:dyDescent="0.75">
      <c r="A479" s="1" t="s">
        <v>1194</v>
      </c>
      <c r="B479" s="1" t="s">
        <v>1194</v>
      </c>
      <c r="C479" s="1" t="s">
        <v>1198</v>
      </c>
      <c r="E479" s="1">
        <v>32199.56</v>
      </c>
      <c r="F479" s="1" t="s">
        <v>754</v>
      </c>
      <c r="G479" s="1">
        <v>675849.81</v>
      </c>
      <c r="I479" s="30">
        <f>SUM($F$5:$F479)-SUM($E$5:$E479)</f>
        <v>675849.81000000052</v>
      </c>
      <c r="J479" s="30">
        <f t="shared" si="7"/>
        <v>0</v>
      </c>
    </row>
    <row r="480" spans="1:10" x14ac:dyDescent="0.75">
      <c r="A480" s="1" t="s">
        <v>1194</v>
      </c>
      <c r="B480" s="1" t="s">
        <v>1194</v>
      </c>
      <c r="C480" s="1" t="s">
        <v>773</v>
      </c>
      <c r="E480" s="1" t="s">
        <v>754</v>
      </c>
      <c r="F480" s="1">
        <v>32658.98</v>
      </c>
      <c r="G480" s="1">
        <v>708508.79</v>
      </c>
      <c r="I480" s="30">
        <f>SUM($F$5:$F480)-SUM($E$5:$E480)</f>
        <v>708508.79000000097</v>
      </c>
      <c r="J480" s="30">
        <f t="shared" si="7"/>
        <v>9.3132257461547852E-10</v>
      </c>
    </row>
    <row r="481" spans="1:10" x14ac:dyDescent="0.75">
      <c r="A481" s="1" t="s">
        <v>1199</v>
      </c>
      <c r="B481" s="1" t="s">
        <v>1199</v>
      </c>
      <c r="C481" s="1" t="s">
        <v>1200</v>
      </c>
      <c r="E481" s="1">
        <v>640.20000000000005</v>
      </c>
      <c r="F481" s="1" t="s">
        <v>754</v>
      </c>
      <c r="G481" s="1">
        <v>707868.59</v>
      </c>
      <c r="I481" s="30">
        <f>SUM($F$5:$F481)-SUM($E$5:$E481)</f>
        <v>707868.59000000078</v>
      </c>
      <c r="J481" s="30">
        <f t="shared" si="7"/>
        <v>0</v>
      </c>
    </row>
    <row r="482" spans="1:10" x14ac:dyDescent="0.75">
      <c r="A482" s="1" t="s">
        <v>1199</v>
      </c>
      <c r="B482" s="1" t="s">
        <v>1199</v>
      </c>
      <c r="C482" s="1" t="s">
        <v>1201</v>
      </c>
      <c r="E482" s="1">
        <v>4156.26</v>
      </c>
      <c r="F482" s="1" t="s">
        <v>754</v>
      </c>
      <c r="G482" s="30">
        <v>703712.33</v>
      </c>
      <c r="I482" s="30">
        <f>SUM($F$5:$F482)-SUM($E$5:$E482)</f>
        <v>703712.33000000101</v>
      </c>
      <c r="J482" s="30">
        <f t="shared" si="7"/>
        <v>1.0477378964424133E-9</v>
      </c>
    </row>
    <row r="483" spans="1:10" x14ac:dyDescent="0.75">
      <c r="A483" s="1" t="s">
        <v>1199</v>
      </c>
      <c r="B483" s="1" t="s">
        <v>1199</v>
      </c>
      <c r="C483" s="1" t="s">
        <v>773</v>
      </c>
      <c r="E483" s="1" t="s">
        <v>754</v>
      </c>
      <c r="F483" s="1">
        <v>2528.6</v>
      </c>
      <c r="G483" s="30">
        <v>706240.93</v>
      </c>
      <c r="I483" s="30">
        <f>SUM($F$5:$F483)-SUM($E$5:$E483)</f>
        <v>706240.93000000063</v>
      </c>
      <c r="J483" s="30">
        <f t="shared" si="7"/>
        <v>0</v>
      </c>
    </row>
    <row r="484" spans="1:10" x14ac:dyDescent="0.75">
      <c r="A484" s="1" t="s">
        <v>1202</v>
      </c>
      <c r="B484" s="1" t="s">
        <v>1202</v>
      </c>
      <c r="C484" s="1" t="s">
        <v>1203</v>
      </c>
      <c r="E484" s="1">
        <v>174.6</v>
      </c>
      <c r="F484" s="1" t="s">
        <v>754</v>
      </c>
      <c r="G484" s="1">
        <v>706066.33</v>
      </c>
      <c r="I484" s="30">
        <f>SUM($F$5:$F484)-SUM($E$5:$E484)</f>
        <v>706066.33000000101</v>
      </c>
      <c r="J484" s="30">
        <f t="shared" si="7"/>
        <v>1.0477378964424133E-9</v>
      </c>
    </row>
    <row r="485" spans="1:10" x14ac:dyDescent="0.75">
      <c r="A485" s="1" t="s">
        <v>1202</v>
      </c>
      <c r="B485" s="1" t="s">
        <v>1202</v>
      </c>
      <c r="C485" s="1" t="s">
        <v>1204</v>
      </c>
      <c r="E485" s="1">
        <v>3388.47</v>
      </c>
      <c r="F485" s="1" t="s">
        <v>754</v>
      </c>
      <c r="G485" s="1">
        <v>702677.86</v>
      </c>
      <c r="I485" s="30">
        <f>SUM($F$5:$F485)-SUM($E$5:$E485)</f>
        <v>702677.86000000127</v>
      </c>
      <c r="J485" s="30">
        <f t="shared" si="7"/>
        <v>1.280568540096283E-9</v>
      </c>
    </row>
    <row r="486" spans="1:10" x14ac:dyDescent="0.75">
      <c r="A486" s="1" t="s">
        <v>1202</v>
      </c>
      <c r="B486" s="1" t="s">
        <v>1202</v>
      </c>
      <c r="C486" s="1" t="s">
        <v>1205</v>
      </c>
      <c r="E486" s="1">
        <v>6200</v>
      </c>
      <c r="F486" s="1" t="s">
        <v>754</v>
      </c>
      <c r="G486" s="1">
        <v>696477.86</v>
      </c>
      <c r="I486" s="30">
        <f>SUM($F$5:$F486)-SUM($E$5:$E486)</f>
        <v>696477.86000000127</v>
      </c>
      <c r="J486" s="30">
        <f t="shared" si="7"/>
        <v>1.280568540096283E-9</v>
      </c>
    </row>
    <row r="487" spans="1:10" x14ac:dyDescent="0.75">
      <c r="A487" s="31" t="s">
        <v>1202</v>
      </c>
      <c r="B487" s="31" t="s">
        <v>1202</v>
      </c>
      <c r="C487" s="1" t="s">
        <v>1206</v>
      </c>
      <c r="E487" s="1">
        <v>16205</v>
      </c>
      <c r="F487" s="1" t="s">
        <v>754</v>
      </c>
      <c r="G487" s="1">
        <v>680272.86</v>
      </c>
      <c r="I487" s="30">
        <f>SUM($F$5:$F487)-SUM($E$5:$E487)</f>
        <v>680272.86000000127</v>
      </c>
      <c r="J487" s="30">
        <f t="shared" si="7"/>
        <v>1.280568540096283E-9</v>
      </c>
    </row>
    <row r="488" spans="1:10" x14ac:dyDescent="0.75">
      <c r="A488" s="31" t="s">
        <v>1202</v>
      </c>
      <c r="B488" s="31" t="s">
        <v>1202</v>
      </c>
      <c r="C488" s="1" t="s">
        <v>773</v>
      </c>
      <c r="E488" s="1" t="s">
        <v>754</v>
      </c>
      <c r="F488" s="1">
        <v>4334.55</v>
      </c>
      <c r="G488" s="1">
        <v>684607.41</v>
      </c>
      <c r="I488" s="30">
        <f>SUM($F$5:$F488)-SUM($E$5:$E488)</f>
        <v>684607.41000000108</v>
      </c>
      <c r="J488" s="30">
        <f t="shared" si="7"/>
        <v>1.0477378964424133E-9</v>
      </c>
    </row>
    <row r="489" spans="1:10" x14ac:dyDescent="0.75">
      <c r="A489" s="31" t="s">
        <v>1207</v>
      </c>
      <c r="B489" s="31" t="s">
        <v>1207</v>
      </c>
      <c r="C489" s="1" t="s">
        <v>1208</v>
      </c>
      <c r="E489" s="1">
        <v>20849.47</v>
      </c>
      <c r="F489" s="1" t="s">
        <v>754</v>
      </c>
      <c r="G489" s="1">
        <v>663757.93999999994</v>
      </c>
      <c r="I489" s="30">
        <f>SUM($F$5:$F489)-SUM($E$5:$E489)</f>
        <v>663757.94000000134</v>
      </c>
      <c r="J489" s="30">
        <f t="shared" si="7"/>
        <v>1.3969838619232178E-9</v>
      </c>
    </row>
    <row r="490" spans="1:10" x14ac:dyDescent="0.75">
      <c r="A490" s="31" t="s">
        <v>1207</v>
      </c>
      <c r="B490" s="31" t="s">
        <v>1207</v>
      </c>
      <c r="C490" s="1" t="s">
        <v>773</v>
      </c>
      <c r="E490" s="1" t="s">
        <v>754</v>
      </c>
      <c r="F490" s="1">
        <v>1501.31</v>
      </c>
      <c r="G490" s="1">
        <v>665259.25</v>
      </c>
      <c r="I490" s="30">
        <f>SUM($F$5:$F490)-SUM($E$5:$E490)</f>
        <v>665259.25000000093</v>
      </c>
      <c r="J490" s="30">
        <f t="shared" si="7"/>
        <v>9.3132257461547852E-10</v>
      </c>
    </row>
    <row r="491" spans="1:10" x14ac:dyDescent="0.75">
      <c r="A491" s="31" t="s">
        <v>1209</v>
      </c>
      <c r="B491" s="31" t="s">
        <v>1209</v>
      </c>
      <c r="C491" s="1" t="s">
        <v>1210</v>
      </c>
      <c r="E491" s="1">
        <v>9271.94</v>
      </c>
      <c r="F491" s="1" t="s">
        <v>754</v>
      </c>
      <c r="G491" s="1">
        <v>655987.31000000006</v>
      </c>
      <c r="I491" s="30">
        <f>SUM($F$5:$F491)-SUM($E$5:$E491)</f>
        <v>655987.31000000052</v>
      </c>
      <c r="J491" s="30">
        <f t="shared" si="7"/>
        <v>0</v>
      </c>
    </row>
    <row r="492" spans="1:10" x14ac:dyDescent="0.75">
      <c r="A492" s="31" t="s">
        <v>1211</v>
      </c>
      <c r="B492" s="31" t="s">
        <v>1211</v>
      </c>
      <c r="C492" s="1" t="s">
        <v>1212</v>
      </c>
      <c r="E492" s="1">
        <v>2220</v>
      </c>
      <c r="F492" s="1" t="s">
        <v>754</v>
      </c>
      <c r="G492" s="1">
        <v>653767.31000000006</v>
      </c>
      <c r="I492" s="30">
        <f>SUM($F$5:$F492)-SUM($E$5:$E492)</f>
        <v>653767.31000000052</v>
      </c>
      <c r="J492" s="30">
        <f t="shared" si="7"/>
        <v>0</v>
      </c>
    </row>
    <row r="493" spans="1:10" x14ac:dyDescent="0.75">
      <c r="A493" s="31" t="s">
        <v>1211</v>
      </c>
      <c r="B493" s="31" t="s">
        <v>1211</v>
      </c>
      <c r="C493" s="1" t="s">
        <v>1213</v>
      </c>
      <c r="E493" s="1">
        <v>1</v>
      </c>
      <c r="F493" s="1" t="s">
        <v>754</v>
      </c>
      <c r="G493" s="1">
        <v>653766.31000000006</v>
      </c>
      <c r="I493" s="30">
        <f>SUM($F$5:$F493)-SUM($E$5:$E493)</f>
        <v>653766.31000000052</v>
      </c>
      <c r="J493" s="30">
        <f t="shared" si="7"/>
        <v>0</v>
      </c>
    </row>
    <row r="494" spans="1:10" x14ac:dyDescent="0.75">
      <c r="A494" s="31" t="s">
        <v>1214</v>
      </c>
      <c r="B494" s="31" t="s">
        <v>1214</v>
      </c>
      <c r="C494" s="1" t="s">
        <v>1215</v>
      </c>
      <c r="E494" s="1">
        <v>1753.76</v>
      </c>
      <c r="F494" s="1" t="s">
        <v>754</v>
      </c>
      <c r="G494" s="1">
        <v>652012.55000000005</v>
      </c>
      <c r="I494" s="30">
        <f>SUM($F$5:$F494)-SUM($E$5:$E494)</f>
        <v>652012.55000000075</v>
      </c>
      <c r="J494" s="30">
        <f t="shared" si="7"/>
        <v>0</v>
      </c>
    </row>
    <row r="495" spans="1:10" x14ac:dyDescent="0.75">
      <c r="A495" s="31" t="s">
        <v>1214</v>
      </c>
      <c r="B495" s="31" t="s">
        <v>1214</v>
      </c>
      <c r="C495" s="1" t="s">
        <v>1216</v>
      </c>
      <c r="E495" s="1">
        <v>2614.15</v>
      </c>
      <c r="F495" s="1" t="s">
        <v>754</v>
      </c>
      <c r="G495" s="1">
        <v>649398.4</v>
      </c>
      <c r="I495" s="30">
        <f>SUM($F$5:$F495)-SUM($E$5:$E495)</f>
        <v>649398.40000000037</v>
      </c>
      <c r="J495" s="30">
        <f t="shared" si="7"/>
        <v>0</v>
      </c>
    </row>
    <row r="496" spans="1:10" x14ac:dyDescent="0.75">
      <c r="A496" s="31" t="s">
        <v>1214</v>
      </c>
      <c r="B496" s="31" t="s">
        <v>1214</v>
      </c>
      <c r="C496" s="1" t="s">
        <v>1217</v>
      </c>
      <c r="E496" s="1">
        <v>25035.91</v>
      </c>
      <c r="F496" s="1" t="s">
        <v>754</v>
      </c>
      <c r="G496" s="1">
        <v>624362.49</v>
      </c>
      <c r="I496" s="30">
        <f>SUM($F$5:$F496)-SUM($E$5:$E496)</f>
        <v>624362.49000000022</v>
      </c>
      <c r="J496" s="30">
        <f t="shared" si="7"/>
        <v>0</v>
      </c>
    </row>
    <row r="497" spans="1:10" x14ac:dyDescent="0.75">
      <c r="A497" s="31" t="s">
        <v>1214</v>
      </c>
      <c r="B497" s="31" t="s">
        <v>1214</v>
      </c>
      <c r="C497" s="1" t="s">
        <v>1218</v>
      </c>
      <c r="E497" s="1">
        <v>250000</v>
      </c>
      <c r="F497" s="1" t="s">
        <v>754</v>
      </c>
      <c r="G497" s="1">
        <v>374362.49</v>
      </c>
      <c r="I497" s="30">
        <f>SUM($F$5:$F497)-SUM($E$5:$E497)</f>
        <v>374362.49000000022</v>
      </c>
      <c r="J497" s="30">
        <f t="shared" si="7"/>
        <v>0</v>
      </c>
    </row>
    <row r="498" spans="1:10" x14ac:dyDescent="0.75">
      <c r="A498" s="31" t="s">
        <v>1214</v>
      </c>
      <c r="B498" s="31" t="s">
        <v>1214</v>
      </c>
      <c r="C498" s="1" t="s">
        <v>773</v>
      </c>
      <c r="E498" s="1" t="s">
        <v>754</v>
      </c>
      <c r="F498" s="1">
        <v>67902.3</v>
      </c>
      <c r="G498" s="1">
        <v>442264.79</v>
      </c>
      <c r="I498" s="30">
        <f>SUM($F$5:$F498)-SUM($E$5:$E498)</f>
        <v>442264.79000000004</v>
      </c>
      <c r="J498" s="30">
        <f t="shared" si="7"/>
        <v>0</v>
      </c>
    </row>
    <row r="499" spans="1:10" x14ac:dyDescent="0.75">
      <c r="A499" s="31" t="s">
        <v>1219</v>
      </c>
      <c r="B499" s="1" t="s">
        <v>1219</v>
      </c>
      <c r="C499" s="1" t="s">
        <v>1220</v>
      </c>
      <c r="E499" s="1">
        <v>9728.7800000000007</v>
      </c>
      <c r="F499" s="1" t="s">
        <v>754</v>
      </c>
      <c r="G499" s="1">
        <v>432536.01</v>
      </c>
      <c r="I499" s="30">
        <f>SUM($F$5:$F499)-SUM($E$5:$E499)</f>
        <v>432536.00999999978</v>
      </c>
      <c r="J499" s="30">
        <f t="shared" si="7"/>
        <v>0</v>
      </c>
    </row>
    <row r="500" spans="1:10" x14ac:dyDescent="0.75">
      <c r="A500" s="31" t="s">
        <v>1219</v>
      </c>
      <c r="B500" s="31" t="s">
        <v>1219</v>
      </c>
      <c r="C500" s="1" t="s">
        <v>1221</v>
      </c>
      <c r="E500" s="1">
        <v>16650</v>
      </c>
      <c r="F500" s="1" t="s">
        <v>754</v>
      </c>
      <c r="G500" s="1">
        <v>415886.01</v>
      </c>
      <c r="I500" s="30">
        <f>SUM($F$5:$F500)-SUM($E$5:$E500)</f>
        <v>415886.00999999978</v>
      </c>
      <c r="J500" s="30">
        <f t="shared" si="7"/>
        <v>0</v>
      </c>
    </row>
    <row r="501" spans="1:10" x14ac:dyDescent="0.75">
      <c r="A501" s="31" t="s">
        <v>1219</v>
      </c>
      <c r="B501" s="31" t="s">
        <v>1219</v>
      </c>
      <c r="C501" s="1" t="s">
        <v>1222</v>
      </c>
      <c r="E501" s="1">
        <v>19381.07</v>
      </c>
      <c r="F501" s="1" t="s">
        <v>754</v>
      </c>
      <c r="G501" s="1">
        <v>396504.94</v>
      </c>
      <c r="I501" s="30">
        <f>SUM($F$5:$F501)-SUM($E$5:$E501)</f>
        <v>396504.93999999948</v>
      </c>
      <c r="J501" s="30">
        <f t="shared" si="7"/>
        <v>-5.2386894822120667E-10</v>
      </c>
    </row>
    <row r="502" spans="1:10" x14ac:dyDescent="0.75">
      <c r="A502" s="31" t="s">
        <v>1219</v>
      </c>
      <c r="B502" s="31" t="s">
        <v>1219</v>
      </c>
      <c r="C502" s="1" t="s">
        <v>1223</v>
      </c>
      <c r="E502" s="1">
        <v>30261.45</v>
      </c>
      <c r="F502" s="1" t="s">
        <v>754</v>
      </c>
      <c r="G502" s="1">
        <v>366243.49</v>
      </c>
      <c r="I502" s="30">
        <f>SUM($F$5:$F502)-SUM($E$5:$E502)</f>
        <v>366243.48999999929</v>
      </c>
      <c r="J502" s="30">
        <f t="shared" si="7"/>
        <v>-6.9849193096160889E-10</v>
      </c>
    </row>
    <row r="503" spans="1:10" x14ac:dyDescent="0.75">
      <c r="A503" s="31" t="s">
        <v>1219</v>
      </c>
      <c r="B503" s="31" t="s">
        <v>1219</v>
      </c>
      <c r="C503" s="1" t="s">
        <v>773</v>
      </c>
      <c r="E503" s="1" t="s">
        <v>754</v>
      </c>
      <c r="F503" s="1">
        <v>145095.47</v>
      </c>
      <c r="G503" s="1">
        <v>511338.96</v>
      </c>
      <c r="I503" s="30">
        <f>SUM($F$5:$F503)-SUM($E$5:$E503)</f>
        <v>511338.95999999903</v>
      </c>
      <c r="J503" s="30">
        <f t="shared" si="7"/>
        <v>-9.8953023552894592E-10</v>
      </c>
    </row>
    <row r="504" spans="1:10" x14ac:dyDescent="0.75">
      <c r="A504" s="31" t="s">
        <v>1224</v>
      </c>
      <c r="B504" s="31" t="s">
        <v>1224</v>
      </c>
      <c r="C504" s="1" t="s">
        <v>1225</v>
      </c>
      <c r="E504" s="1">
        <v>1948.46</v>
      </c>
      <c r="F504" s="1" t="s">
        <v>754</v>
      </c>
      <c r="G504" s="1">
        <v>509390.5</v>
      </c>
      <c r="I504" s="30">
        <f>SUM($F$5:$F504)-SUM($E$5:$E504)</f>
        <v>509390.49999999907</v>
      </c>
      <c r="J504" s="30">
        <f t="shared" si="7"/>
        <v>-9.3132257461547852E-10</v>
      </c>
    </row>
    <row r="505" spans="1:10" x14ac:dyDescent="0.75">
      <c r="A505" s="1" t="s">
        <v>1224</v>
      </c>
      <c r="B505" s="1" t="s">
        <v>1224</v>
      </c>
      <c r="C505" s="1" t="s">
        <v>1226</v>
      </c>
      <c r="E505" s="1">
        <v>3564.1</v>
      </c>
      <c r="F505" s="1" t="s">
        <v>754</v>
      </c>
      <c r="G505" s="1">
        <v>505826.4</v>
      </c>
      <c r="I505" s="30">
        <f>SUM($F$5:$F505)-SUM($E$5:$E505)</f>
        <v>505826.39999999944</v>
      </c>
      <c r="J505" s="30">
        <f t="shared" si="7"/>
        <v>-5.8207660913467407E-10</v>
      </c>
    </row>
    <row r="506" spans="1:10" x14ac:dyDescent="0.75">
      <c r="A506" s="1" t="s">
        <v>1224</v>
      </c>
      <c r="B506" s="1" t="s">
        <v>1224</v>
      </c>
      <c r="C506" s="1" t="s">
        <v>1227</v>
      </c>
      <c r="E506" s="1">
        <v>7469.92</v>
      </c>
      <c r="F506" s="1" t="s">
        <v>754</v>
      </c>
      <c r="G506" s="1">
        <v>498356.47999999998</v>
      </c>
      <c r="I506" s="30">
        <f>SUM($F$5:$F506)-SUM($E$5:$E506)</f>
        <v>498356.47999999952</v>
      </c>
      <c r="J506" s="30">
        <f t="shared" si="7"/>
        <v>-4.6566128730773926E-10</v>
      </c>
    </row>
    <row r="507" spans="1:10" x14ac:dyDescent="0.75">
      <c r="A507" s="1" t="s">
        <v>1224</v>
      </c>
      <c r="B507" s="1" t="s">
        <v>1224</v>
      </c>
      <c r="C507" s="1" t="s">
        <v>1228</v>
      </c>
      <c r="E507" s="1">
        <v>8730</v>
      </c>
      <c r="F507" s="1" t="s">
        <v>754</v>
      </c>
      <c r="G507" s="1">
        <v>489626.48</v>
      </c>
      <c r="I507" s="30">
        <f>SUM($F$5:$F507)-SUM($E$5:$E507)</f>
        <v>489626.47999999952</v>
      </c>
      <c r="J507" s="30">
        <f t="shared" si="7"/>
        <v>-4.6566128730773926E-10</v>
      </c>
    </row>
    <row r="508" spans="1:10" x14ac:dyDescent="0.75">
      <c r="A508" s="1" t="s">
        <v>1224</v>
      </c>
      <c r="B508" s="1" t="s">
        <v>1224</v>
      </c>
      <c r="C508" s="1" t="s">
        <v>1229</v>
      </c>
      <c r="E508" s="1">
        <v>20199.759999999998</v>
      </c>
      <c r="F508" s="1" t="s">
        <v>754</v>
      </c>
      <c r="G508" s="1">
        <v>469426.72</v>
      </c>
      <c r="I508" s="30">
        <f>SUM($F$5:$F508)-SUM($E$5:$E508)</f>
        <v>469426.71999999974</v>
      </c>
      <c r="J508" s="30">
        <f t="shared" si="7"/>
        <v>0</v>
      </c>
    </row>
    <row r="509" spans="1:10" x14ac:dyDescent="0.75">
      <c r="A509" s="1" t="s">
        <v>1224</v>
      </c>
      <c r="B509" s="1" t="s">
        <v>1224</v>
      </c>
      <c r="C509" s="1" t="s">
        <v>1230</v>
      </c>
      <c r="E509" s="1">
        <v>21030.080000000002</v>
      </c>
      <c r="F509" s="1" t="s">
        <v>754</v>
      </c>
      <c r="G509" s="1">
        <v>448396.64</v>
      </c>
      <c r="I509" s="30">
        <f>SUM($F$5:$F509)-SUM($E$5:$E509)</f>
        <v>448396.63999999966</v>
      </c>
      <c r="J509" s="30">
        <f t="shared" si="7"/>
        <v>0</v>
      </c>
    </row>
    <row r="510" spans="1:10" x14ac:dyDescent="0.75">
      <c r="A510" s="1" t="s">
        <v>1224</v>
      </c>
      <c r="B510" s="1" t="s">
        <v>1224</v>
      </c>
      <c r="C510" s="1" t="s">
        <v>1231</v>
      </c>
      <c r="E510" s="1">
        <v>41672.17</v>
      </c>
      <c r="F510" s="1" t="s">
        <v>754</v>
      </c>
      <c r="G510" s="1">
        <v>406724.47</v>
      </c>
      <c r="I510" s="30">
        <f>SUM($F$5:$F510)-SUM($E$5:$E510)</f>
        <v>406724.46999999974</v>
      </c>
      <c r="J510" s="30">
        <f t="shared" si="7"/>
        <v>0</v>
      </c>
    </row>
    <row r="511" spans="1:10" x14ac:dyDescent="0.75">
      <c r="A511" s="1" t="s">
        <v>1224</v>
      </c>
      <c r="B511" s="1" t="s">
        <v>1224</v>
      </c>
      <c r="C511" s="1" t="s">
        <v>773</v>
      </c>
      <c r="E511" s="1" t="s">
        <v>754</v>
      </c>
      <c r="F511" s="1">
        <v>40327.74</v>
      </c>
      <c r="G511" s="1">
        <v>447052.21</v>
      </c>
      <c r="I511" s="30">
        <f>SUM($F$5:$F511)-SUM($E$5:$E511)</f>
        <v>447052.20999999996</v>
      </c>
      <c r="J511" s="30">
        <f t="shared" si="7"/>
        <v>0</v>
      </c>
    </row>
    <row r="512" spans="1:10" x14ac:dyDescent="0.75">
      <c r="A512" s="1" t="s">
        <v>1232</v>
      </c>
      <c r="B512" s="1" t="s">
        <v>1232</v>
      </c>
      <c r="E512" s="1" t="s">
        <v>754</v>
      </c>
      <c r="G512" s="30">
        <v>447052.21</v>
      </c>
      <c r="I512" s="30">
        <f>SUM($F$5:$F512)-SUM($E$5:$E512)</f>
        <v>447052.20999999996</v>
      </c>
      <c r="J512" s="30">
        <f t="shared" si="7"/>
        <v>0</v>
      </c>
    </row>
    <row r="513" spans="1:10" x14ac:dyDescent="0.75">
      <c r="A513" s="1" t="s">
        <v>1233</v>
      </c>
      <c r="B513" s="1" t="s">
        <v>1233</v>
      </c>
      <c r="C513" s="1" t="s">
        <v>1492</v>
      </c>
      <c r="E513" s="30">
        <v>2607.5</v>
      </c>
      <c r="F513" s="1" t="s">
        <v>754</v>
      </c>
      <c r="G513" s="30">
        <v>444444.71</v>
      </c>
      <c r="I513" s="30">
        <f>SUM($F$5:$F513)-SUM($E$5:$E513)</f>
        <v>444444.70999999996</v>
      </c>
      <c r="J513" s="30">
        <f t="shared" si="7"/>
        <v>0</v>
      </c>
    </row>
    <row r="514" spans="1:10" x14ac:dyDescent="0.75">
      <c r="A514" s="1" t="s">
        <v>1233</v>
      </c>
      <c r="B514" s="1" t="s">
        <v>1233</v>
      </c>
      <c r="C514" s="1" t="s">
        <v>1234</v>
      </c>
      <c r="E514" s="30">
        <v>4638.49</v>
      </c>
      <c r="F514" s="1" t="s">
        <v>754</v>
      </c>
      <c r="G514" s="30">
        <v>439806.22</v>
      </c>
      <c r="I514" s="30">
        <f>SUM($F$5:$F514)-SUM($E$5:$E514)</f>
        <v>439806.21999999974</v>
      </c>
      <c r="J514" s="30">
        <f t="shared" si="7"/>
        <v>0</v>
      </c>
    </row>
    <row r="515" spans="1:10" x14ac:dyDescent="0.75">
      <c r="A515" s="1" t="s">
        <v>1233</v>
      </c>
      <c r="B515" s="1" t="s">
        <v>1233</v>
      </c>
      <c r="C515" s="1" t="s">
        <v>1235</v>
      </c>
      <c r="E515" s="30">
        <v>50000</v>
      </c>
      <c r="F515" s="1" t="s">
        <v>754</v>
      </c>
      <c r="G515" s="30">
        <v>389806.22</v>
      </c>
      <c r="I515" s="30">
        <f>SUM($F$5:$F515)-SUM($E$5:$E515)</f>
        <v>389806.21999999974</v>
      </c>
      <c r="J515" s="30">
        <f t="shared" si="7"/>
        <v>0</v>
      </c>
    </row>
    <row r="516" spans="1:10" x14ac:dyDescent="0.75">
      <c r="A516" s="1" t="s">
        <v>1233</v>
      </c>
      <c r="B516" s="1" t="s">
        <v>1233</v>
      </c>
      <c r="C516" s="1" t="s">
        <v>1236</v>
      </c>
      <c r="E516" s="30">
        <v>3120</v>
      </c>
      <c r="F516" s="1" t="s">
        <v>754</v>
      </c>
      <c r="G516" s="30">
        <v>386686.22</v>
      </c>
      <c r="I516" s="30">
        <f>SUM($F$5:$F516)-SUM($E$5:$E516)</f>
        <v>386686.21999999974</v>
      </c>
      <c r="J516" s="30">
        <f t="shared" si="7"/>
        <v>0</v>
      </c>
    </row>
    <row r="517" spans="1:10" x14ac:dyDescent="0.75">
      <c r="A517" s="1" t="s">
        <v>1233</v>
      </c>
      <c r="B517" s="1" t="s">
        <v>1233</v>
      </c>
      <c r="C517" s="1" t="s">
        <v>1237</v>
      </c>
      <c r="E517" s="30">
        <v>11947.3</v>
      </c>
      <c r="F517" s="1" t="s">
        <v>754</v>
      </c>
      <c r="G517" s="30">
        <v>374738.92</v>
      </c>
      <c r="I517" s="30">
        <f>SUM($F$5:$F517)-SUM($E$5:$E517)</f>
        <v>374738.91999999993</v>
      </c>
      <c r="J517" s="30">
        <f t="shared" si="7"/>
        <v>0</v>
      </c>
    </row>
    <row r="518" spans="1:10" x14ac:dyDescent="0.75">
      <c r="A518" s="1" t="s">
        <v>1233</v>
      </c>
      <c r="B518" s="1" t="s">
        <v>1233</v>
      </c>
      <c r="C518" s="1" t="s">
        <v>1238</v>
      </c>
      <c r="E518" s="30">
        <v>13886.1</v>
      </c>
      <c r="F518" s="1" t="s">
        <v>754</v>
      </c>
      <c r="G518" s="30">
        <v>360852.82</v>
      </c>
      <c r="I518" s="30">
        <f>SUM($F$5:$F518)-SUM($E$5:$E518)</f>
        <v>360852.8200000003</v>
      </c>
      <c r="J518" s="30">
        <f t="shared" ref="J518:J581" si="8">I518-G518</f>
        <v>0</v>
      </c>
    </row>
    <row r="519" spans="1:10" x14ac:dyDescent="0.75">
      <c r="A519" s="1" t="s">
        <v>1233</v>
      </c>
      <c r="C519" s="1" t="s">
        <v>773</v>
      </c>
      <c r="E519" s="1" t="s">
        <v>754</v>
      </c>
      <c r="F519" s="1">
        <v>47176.52</v>
      </c>
      <c r="G519" s="1">
        <v>408029.34</v>
      </c>
      <c r="I519" s="30">
        <f>SUM($F$5:$F519)-SUM($E$5:$E519)</f>
        <v>408029.33999999985</v>
      </c>
      <c r="J519" s="30">
        <f t="shared" si="8"/>
        <v>0</v>
      </c>
    </row>
    <row r="520" spans="1:10" x14ac:dyDescent="0.75">
      <c r="A520" s="31">
        <v>43476</v>
      </c>
      <c r="B520" s="31">
        <v>43476</v>
      </c>
      <c r="C520" s="1" t="s">
        <v>1239</v>
      </c>
      <c r="E520" s="1">
        <v>1874.49</v>
      </c>
      <c r="F520" s="1" t="s">
        <v>754</v>
      </c>
      <c r="G520" s="1">
        <v>406154.85</v>
      </c>
      <c r="I520" s="30">
        <f>SUM($F$5:$F520)-SUM($E$5:$E520)</f>
        <v>406154.84999999963</v>
      </c>
      <c r="J520" s="30">
        <f t="shared" si="8"/>
        <v>0</v>
      </c>
    </row>
    <row r="521" spans="1:10" x14ac:dyDescent="0.75">
      <c r="A521" s="31">
        <v>43476</v>
      </c>
      <c r="B521" s="31">
        <v>43476</v>
      </c>
      <c r="C521" s="1" t="s">
        <v>1240</v>
      </c>
      <c r="E521" s="1">
        <v>2425.5</v>
      </c>
      <c r="F521" s="1" t="s">
        <v>754</v>
      </c>
      <c r="G521" s="1">
        <v>403729.35</v>
      </c>
      <c r="I521" s="30">
        <f>SUM($F$5:$F521)-SUM($E$5:$E521)</f>
        <v>403729.34999999963</v>
      </c>
      <c r="J521" s="30">
        <f t="shared" si="8"/>
        <v>0</v>
      </c>
    </row>
    <row r="522" spans="1:10" x14ac:dyDescent="0.75">
      <c r="A522" s="31">
        <v>43476</v>
      </c>
      <c r="B522" s="31">
        <v>43476</v>
      </c>
      <c r="C522" s="1" t="s">
        <v>773</v>
      </c>
      <c r="E522" s="1" t="s">
        <v>754</v>
      </c>
      <c r="F522" s="1">
        <v>832.5</v>
      </c>
      <c r="G522" s="1">
        <v>404561.85</v>
      </c>
      <c r="I522" s="30">
        <f>SUM($F$5:$F522)-SUM($E$5:$E522)</f>
        <v>404561.84999999963</v>
      </c>
      <c r="J522" s="30">
        <f t="shared" si="8"/>
        <v>0</v>
      </c>
    </row>
    <row r="523" spans="1:10" x14ac:dyDescent="0.75">
      <c r="A523" s="31">
        <v>43566</v>
      </c>
      <c r="B523" s="31">
        <v>43566</v>
      </c>
      <c r="C523" s="1" t="s">
        <v>1241</v>
      </c>
      <c r="E523" s="1">
        <v>1105.8</v>
      </c>
      <c r="F523" s="1" t="s">
        <v>754</v>
      </c>
      <c r="G523" s="1">
        <v>403456.05</v>
      </c>
      <c r="I523" s="30">
        <f>SUM($F$5:$F523)-SUM($E$5:$E523)</f>
        <v>403456.04999999981</v>
      </c>
      <c r="J523" s="30">
        <f t="shared" si="8"/>
        <v>0</v>
      </c>
    </row>
    <row r="524" spans="1:10" x14ac:dyDescent="0.75">
      <c r="A524" s="31">
        <v>43566</v>
      </c>
      <c r="B524" s="31">
        <v>43566</v>
      </c>
      <c r="C524" s="1" t="s">
        <v>1242</v>
      </c>
      <c r="E524" s="1">
        <v>2183.62</v>
      </c>
      <c r="F524" s="1" t="s">
        <v>754</v>
      </c>
      <c r="G524" s="1">
        <v>401272.43</v>
      </c>
      <c r="I524" s="30">
        <f>SUM($F$5:$F524)-SUM($E$5:$E524)</f>
        <v>401272.4299999997</v>
      </c>
      <c r="J524" s="30">
        <f t="shared" si="8"/>
        <v>0</v>
      </c>
    </row>
    <row r="525" spans="1:10" x14ac:dyDescent="0.75">
      <c r="A525" s="31">
        <v>43566</v>
      </c>
      <c r="B525" s="31">
        <v>43566</v>
      </c>
      <c r="C525" s="1" t="s">
        <v>1243</v>
      </c>
      <c r="E525" s="1">
        <v>9335.9699999999993</v>
      </c>
      <c r="F525" s="1" t="s">
        <v>754</v>
      </c>
      <c r="G525" s="1">
        <v>391936.46</v>
      </c>
      <c r="I525" s="30">
        <f>SUM($F$5:$F525)-SUM($E$5:$E525)</f>
        <v>391936.45999999996</v>
      </c>
      <c r="J525" s="30">
        <f t="shared" si="8"/>
        <v>0</v>
      </c>
    </row>
    <row r="526" spans="1:10" x14ac:dyDescent="0.75">
      <c r="A526" s="31">
        <v>43566</v>
      </c>
      <c r="B526" s="31">
        <v>43566</v>
      </c>
      <c r="C526" s="1" t="s">
        <v>1244</v>
      </c>
      <c r="E526" s="1">
        <v>9450.6200000000008</v>
      </c>
      <c r="F526" s="1" t="s">
        <v>754</v>
      </c>
      <c r="G526" s="1">
        <v>382485.84</v>
      </c>
      <c r="I526" s="30">
        <f>SUM($F$5:$F526)-SUM($E$5:$E526)</f>
        <v>382485.83999999985</v>
      </c>
      <c r="J526" s="30">
        <f t="shared" si="8"/>
        <v>0</v>
      </c>
    </row>
    <row r="527" spans="1:10" x14ac:dyDescent="0.75">
      <c r="A527" s="31">
        <v>43566</v>
      </c>
      <c r="B527" s="31">
        <v>43566</v>
      </c>
      <c r="C527" s="1" t="s">
        <v>773</v>
      </c>
      <c r="E527" s="1" t="s">
        <v>754</v>
      </c>
      <c r="F527" s="1">
        <v>707460</v>
      </c>
      <c r="G527" s="1">
        <v>1089945.8400000001</v>
      </c>
      <c r="I527" s="30">
        <f>SUM($F$5:$F527)-SUM($E$5:$E527)</f>
        <v>1089945.8399999999</v>
      </c>
      <c r="J527" s="30">
        <f t="shared" si="8"/>
        <v>0</v>
      </c>
    </row>
    <row r="528" spans="1:10" x14ac:dyDescent="0.75">
      <c r="A528" s="31">
        <v>43596</v>
      </c>
      <c r="B528" s="31">
        <v>43596</v>
      </c>
      <c r="C528" s="1" t="s">
        <v>1245</v>
      </c>
      <c r="E528" s="1">
        <v>647.5</v>
      </c>
      <c r="F528" s="1" t="s">
        <v>754</v>
      </c>
      <c r="G528" s="1">
        <v>1089298.3400000001</v>
      </c>
      <c r="I528" s="30">
        <f>SUM($F$5:$F528)-SUM($E$5:$E528)</f>
        <v>1089298.3399999999</v>
      </c>
      <c r="J528" s="30">
        <f t="shared" si="8"/>
        <v>0</v>
      </c>
    </row>
    <row r="529" spans="1:10" x14ac:dyDescent="0.75">
      <c r="A529" s="31">
        <v>43596</v>
      </c>
      <c r="B529" s="31">
        <v>43596</v>
      </c>
      <c r="C529" s="1" t="s">
        <v>1246</v>
      </c>
      <c r="E529" s="1">
        <v>4950.46</v>
      </c>
      <c r="F529" s="1" t="s">
        <v>754</v>
      </c>
      <c r="G529" s="1">
        <v>1084347.8799999999</v>
      </c>
      <c r="I529" s="30">
        <f>SUM($F$5:$F529)-SUM($E$5:$E529)</f>
        <v>1084347.8799999999</v>
      </c>
      <c r="J529" s="30">
        <f t="shared" si="8"/>
        <v>0</v>
      </c>
    </row>
    <row r="530" spans="1:10" x14ac:dyDescent="0.75">
      <c r="A530" s="31">
        <v>43627</v>
      </c>
      <c r="B530" s="31">
        <v>43627</v>
      </c>
      <c r="C530" s="1" t="s">
        <v>773</v>
      </c>
      <c r="E530" s="1" t="s">
        <v>754</v>
      </c>
      <c r="F530" s="1">
        <v>61522.7</v>
      </c>
      <c r="G530" s="1">
        <v>1145870.58</v>
      </c>
      <c r="I530" s="30">
        <f>SUM($F$5:$F530)-SUM($E$5:$E530)</f>
        <v>1145870.58</v>
      </c>
      <c r="J530" s="30">
        <f t="shared" si="8"/>
        <v>0</v>
      </c>
    </row>
    <row r="531" spans="1:10" x14ac:dyDescent="0.75">
      <c r="A531" s="31">
        <v>43657</v>
      </c>
      <c r="B531" s="31">
        <v>43657</v>
      </c>
      <c r="C531" s="1" t="s">
        <v>1247</v>
      </c>
      <c r="E531" s="1">
        <v>80000</v>
      </c>
      <c r="F531" s="1" t="s">
        <v>754</v>
      </c>
      <c r="G531" s="1">
        <v>1065870.58</v>
      </c>
      <c r="I531" s="30">
        <f>SUM($F$5:$F531)-SUM($E$5:$E531)</f>
        <v>1065870.58</v>
      </c>
      <c r="J531" s="30">
        <f t="shared" si="8"/>
        <v>0</v>
      </c>
    </row>
    <row r="532" spans="1:10" x14ac:dyDescent="0.75">
      <c r="A532" s="31">
        <v>43657</v>
      </c>
      <c r="B532" s="31">
        <v>43657</v>
      </c>
      <c r="C532" s="1" t="s">
        <v>1248</v>
      </c>
      <c r="E532" s="1">
        <v>567.21</v>
      </c>
      <c r="F532" s="1" t="s">
        <v>754</v>
      </c>
      <c r="G532" s="1">
        <v>1065303.3700000001</v>
      </c>
      <c r="I532" s="30">
        <f>SUM($F$5:$F532)-SUM($E$5:$E532)</f>
        <v>1065303.3700000001</v>
      </c>
      <c r="J532" s="30">
        <f t="shared" si="8"/>
        <v>0</v>
      </c>
    </row>
    <row r="533" spans="1:10" x14ac:dyDescent="0.75">
      <c r="A533" s="31">
        <v>43657</v>
      </c>
      <c r="B533" s="31">
        <v>43657</v>
      </c>
      <c r="C533" s="1" t="s">
        <v>1249</v>
      </c>
      <c r="E533" s="1">
        <v>2968.56</v>
      </c>
      <c r="F533" s="1" t="s">
        <v>754</v>
      </c>
      <c r="G533" s="1">
        <v>1062334.81</v>
      </c>
      <c r="I533" s="30">
        <f>SUM($F$5:$F533)-SUM($E$5:$E533)</f>
        <v>1062334.8100000005</v>
      </c>
      <c r="J533" s="30">
        <f t="shared" si="8"/>
        <v>0</v>
      </c>
    </row>
    <row r="534" spans="1:10" x14ac:dyDescent="0.75">
      <c r="A534" s="31">
        <v>43657</v>
      </c>
      <c r="B534" s="31">
        <v>43657</v>
      </c>
      <c r="C534" s="1" t="s">
        <v>1250</v>
      </c>
      <c r="E534" s="1">
        <v>3357.66</v>
      </c>
      <c r="F534" s="1" t="s">
        <v>754</v>
      </c>
      <c r="G534" s="1">
        <v>1058977.1499999999</v>
      </c>
      <c r="I534" s="30">
        <f>SUM($F$5:$F534)-SUM($E$5:$E534)</f>
        <v>1058977.1500000004</v>
      </c>
      <c r="J534" s="30">
        <f t="shared" si="8"/>
        <v>0</v>
      </c>
    </row>
    <row r="535" spans="1:10" x14ac:dyDescent="0.75">
      <c r="A535" s="31">
        <v>43657</v>
      </c>
      <c r="B535" s="31">
        <v>43657</v>
      </c>
      <c r="C535" s="1" t="s">
        <v>1251</v>
      </c>
      <c r="E535" s="1">
        <v>4710.32</v>
      </c>
      <c r="F535" s="1" t="s">
        <v>754</v>
      </c>
      <c r="G535" s="1">
        <v>1054266.83</v>
      </c>
      <c r="I535" s="30">
        <f>SUM($F$5:$F535)-SUM($E$5:$E535)</f>
        <v>1054266.83</v>
      </c>
      <c r="J535" s="30">
        <f t="shared" si="8"/>
        <v>0</v>
      </c>
    </row>
    <row r="536" spans="1:10" x14ac:dyDescent="0.75">
      <c r="A536" s="31">
        <v>43657</v>
      </c>
      <c r="B536" s="31">
        <v>43657</v>
      </c>
      <c r="C536" s="1" t="s">
        <v>1252</v>
      </c>
      <c r="E536" s="1">
        <v>10313.33</v>
      </c>
      <c r="F536" s="1" t="s">
        <v>754</v>
      </c>
      <c r="G536" s="1">
        <v>1043953.5</v>
      </c>
      <c r="I536" s="30">
        <f>SUM($F$5:$F536)-SUM($E$5:$E536)</f>
        <v>1043953.5</v>
      </c>
      <c r="J536" s="30">
        <f t="shared" si="8"/>
        <v>0</v>
      </c>
    </row>
    <row r="537" spans="1:10" x14ac:dyDescent="0.75">
      <c r="A537" s="31">
        <v>43657</v>
      </c>
      <c r="B537" s="31">
        <v>43657</v>
      </c>
      <c r="C537" s="1" t="s">
        <v>1253</v>
      </c>
      <c r="E537" s="1" t="s">
        <v>754</v>
      </c>
      <c r="F537" s="1">
        <v>12767.87</v>
      </c>
      <c r="G537" s="1">
        <v>1056721.3700000001</v>
      </c>
      <c r="I537" s="30">
        <f>SUM($F$5:$F537)-SUM($E$5:$E537)</f>
        <v>1056721.3700000001</v>
      </c>
      <c r="J537" s="30">
        <f t="shared" si="8"/>
        <v>0</v>
      </c>
    </row>
    <row r="538" spans="1:10" x14ac:dyDescent="0.75">
      <c r="A538" s="31">
        <v>43688</v>
      </c>
      <c r="B538" s="31">
        <v>43688</v>
      </c>
      <c r="C538" s="1" t="s">
        <v>773</v>
      </c>
      <c r="E538" s="1" t="s">
        <v>754</v>
      </c>
      <c r="F538" s="1">
        <v>71483.360000000001</v>
      </c>
      <c r="G538" s="1">
        <v>1128204.73</v>
      </c>
      <c r="I538" s="30">
        <f>SUM($F$5:$F538)-SUM($E$5:$E538)</f>
        <v>1128204.7300000004</v>
      </c>
      <c r="J538" s="30">
        <f t="shared" si="8"/>
        <v>0</v>
      </c>
    </row>
    <row r="539" spans="1:10" x14ac:dyDescent="0.75">
      <c r="A539" s="31">
        <v>43688</v>
      </c>
      <c r="B539" s="31">
        <v>43688</v>
      </c>
      <c r="C539" s="1" t="s">
        <v>1254</v>
      </c>
      <c r="E539" s="1">
        <v>1796</v>
      </c>
      <c r="F539" s="1" t="s">
        <v>754</v>
      </c>
      <c r="G539" s="1">
        <v>1126408.73</v>
      </c>
      <c r="I539" s="30">
        <f>SUM($F$5:$F539)-SUM($E$5:$E539)</f>
        <v>1126408.7300000004</v>
      </c>
      <c r="J539" s="30">
        <f t="shared" si="8"/>
        <v>0</v>
      </c>
    </row>
    <row r="540" spans="1:10" x14ac:dyDescent="0.75">
      <c r="A540" s="31">
        <v>43688</v>
      </c>
      <c r="B540" s="31">
        <v>43688</v>
      </c>
      <c r="C540" s="1" t="s">
        <v>1255</v>
      </c>
      <c r="E540" s="1">
        <v>449.5</v>
      </c>
      <c r="F540" s="1" t="s">
        <v>754</v>
      </c>
      <c r="G540" s="1">
        <v>1125959.23</v>
      </c>
      <c r="I540" s="30">
        <f>SUM($F$5:$F540)-SUM($E$5:$E540)</f>
        <v>1125959.2300000004</v>
      </c>
      <c r="J540" s="30">
        <f t="shared" si="8"/>
        <v>0</v>
      </c>
    </row>
    <row r="541" spans="1:10" x14ac:dyDescent="0.75">
      <c r="A541" s="31">
        <v>43688</v>
      </c>
      <c r="B541" s="31">
        <v>43688</v>
      </c>
      <c r="C541" s="1" t="s">
        <v>1256</v>
      </c>
      <c r="E541" s="1">
        <v>647.5</v>
      </c>
      <c r="F541" s="1" t="s">
        <v>754</v>
      </c>
      <c r="G541" s="1">
        <v>1125311.73</v>
      </c>
      <c r="I541" s="30">
        <f>SUM($F$5:$F541)-SUM($E$5:$E541)</f>
        <v>1125311.7300000004</v>
      </c>
      <c r="J541" s="30">
        <f t="shared" si="8"/>
        <v>0</v>
      </c>
    </row>
    <row r="542" spans="1:10" x14ac:dyDescent="0.75">
      <c r="A542" s="31">
        <v>43688</v>
      </c>
      <c r="B542" s="31">
        <v>43688</v>
      </c>
      <c r="C542" s="1" t="s">
        <v>1257</v>
      </c>
      <c r="E542" s="1">
        <v>1475.72</v>
      </c>
      <c r="F542" s="1" t="s">
        <v>754</v>
      </c>
      <c r="G542" s="1">
        <v>1123836.01</v>
      </c>
      <c r="I542" s="30">
        <f>SUM($F$5:$F542)-SUM($E$5:$E542)</f>
        <v>1123836.0100000007</v>
      </c>
      <c r="J542" s="30">
        <f t="shared" si="8"/>
        <v>0</v>
      </c>
    </row>
    <row r="543" spans="1:10" x14ac:dyDescent="0.75">
      <c r="A543" s="31">
        <v>43688</v>
      </c>
      <c r="B543" s="31">
        <v>43688</v>
      </c>
      <c r="C543" s="1" t="s">
        <v>1258</v>
      </c>
      <c r="E543" s="1">
        <v>1480</v>
      </c>
      <c r="F543" s="1" t="s">
        <v>754</v>
      </c>
      <c r="G543" s="1">
        <v>1122356.01</v>
      </c>
      <c r="I543" s="30">
        <f>SUM($F$5:$F543)-SUM($E$5:$E543)</f>
        <v>1122356.0100000007</v>
      </c>
      <c r="J543" s="30">
        <f t="shared" si="8"/>
        <v>0</v>
      </c>
    </row>
    <row r="544" spans="1:10" x14ac:dyDescent="0.75">
      <c r="A544" s="31">
        <v>43688</v>
      </c>
      <c r="B544" s="31">
        <v>43688</v>
      </c>
      <c r="C544" s="1" t="s">
        <v>1259</v>
      </c>
      <c r="E544" s="1">
        <v>1850</v>
      </c>
      <c r="F544" s="1" t="s">
        <v>754</v>
      </c>
      <c r="G544" s="1">
        <v>1120506.01</v>
      </c>
      <c r="I544" s="30">
        <f>SUM($F$5:$F544)-SUM($E$5:$E544)</f>
        <v>1120506.0100000007</v>
      </c>
      <c r="J544" s="30">
        <f t="shared" si="8"/>
        <v>0</v>
      </c>
    </row>
    <row r="545" spans="1:10" x14ac:dyDescent="0.75">
      <c r="A545" s="31">
        <v>43688</v>
      </c>
      <c r="B545" s="31">
        <v>43688</v>
      </c>
      <c r="C545" s="1" t="s">
        <v>1260</v>
      </c>
      <c r="E545" s="1">
        <v>1861.5</v>
      </c>
      <c r="F545" s="1" t="s">
        <v>754</v>
      </c>
      <c r="G545" s="1">
        <v>1118644.51</v>
      </c>
      <c r="I545" s="30">
        <f>SUM($F$5:$F545)-SUM($E$5:$E545)</f>
        <v>1118644.5100000007</v>
      </c>
      <c r="J545" s="30">
        <f t="shared" si="8"/>
        <v>0</v>
      </c>
    </row>
    <row r="546" spans="1:10" x14ac:dyDescent="0.75">
      <c r="A546" s="31">
        <v>43688</v>
      </c>
      <c r="B546" s="31">
        <v>43688</v>
      </c>
      <c r="C546" s="1" t="s">
        <v>1261</v>
      </c>
      <c r="E546" s="1">
        <v>2218.87</v>
      </c>
      <c r="F546" s="1" t="s">
        <v>754</v>
      </c>
      <c r="G546" s="1">
        <v>1116425.6399999999</v>
      </c>
      <c r="I546" s="30">
        <f>SUM($F$5:$F546)-SUM($E$5:$E546)</f>
        <v>1116425.6400000006</v>
      </c>
      <c r="J546" s="30">
        <f t="shared" si="8"/>
        <v>0</v>
      </c>
    </row>
    <row r="547" spans="1:10" x14ac:dyDescent="0.75">
      <c r="A547" s="31">
        <v>43688</v>
      </c>
      <c r="B547" s="31">
        <v>43688</v>
      </c>
      <c r="C547" s="1" t="s">
        <v>1262</v>
      </c>
      <c r="E547" s="1">
        <v>2800</v>
      </c>
      <c r="F547" s="1" t="s">
        <v>754</v>
      </c>
      <c r="G547" s="1">
        <v>1113625.6399999999</v>
      </c>
      <c r="I547" s="30">
        <f>SUM($F$5:$F547)-SUM($E$5:$E547)</f>
        <v>1113625.6400000006</v>
      </c>
      <c r="J547" s="30">
        <f t="shared" si="8"/>
        <v>0</v>
      </c>
    </row>
    <row r="548" spans="1:10" x14ac:dyDescent="0.75">
      <c r="A548" s="31">
        <v>43688</v>
      </c>
      <c r="B548" s="31">
        <v>43688</v>
      </c>
      <c r="C548" s="1" t="s">
        <v>1263</v>
      </c>
      <c r="E548" s="1">
        <v>10249.74</v>
      </c>
      <c r="F548" s="1" t="s">
        <v>754</v>
      </c>
      <c r="G548" s="1">
        <v>1103375.8999999999</v>
      </c>
      <c r="I548" s="30">
        <f>SUM($F$5:$F548)-SUM($E$5:$E548)</f>
        <v>1103375.9000000004</v>
      </c>
      <c r="J548" s="30">
        <f t="shared" si="8"/>
        <v>0</v>
      </c>
    </row>
    <row r="549" spans="1:10" x14ac:dyDescent="0.75">
      <c r="A549" s="31">
        <v>43688</v>
      </c>
      <c r="B549" s="31">
        <v>43688</v>
      </c>
      <c r="C549" s="1" t="s">
        <v>1264</v>
      </c>
      <c r="E549" s="1">
        <v>18160.54</v>
      </c>
      <c r="F549" s="1" t="s">
        <v>754</v>
      </c>
      <c r="G549" s="30">
        <v>1085215.3600000001</v>
      </c>
      <c r="I549" s="30">
        <f>SUM($F$5:$F549)-SUM($E$5:$E549)</f>
        <v>1085215.3600000003</v>
      </c>
      <c r="J549" s="30">
        <f t="shared" si="8"/>
        <v>0</v>
      </c>
    </row>
    <row r="550" spans="1:10" x14ac:dyDescent="0.75">
      <c r="A550" s="31">
        <v>43688</v>
      </c>
      <c r="B550" s="31">
        <v>43688</v>
      </c>
      <c r="C550" s="1" t="s">
        <v>1265</v>
      </c>
      <c r="E550" s="30">
        <v>26981.74</v>
      </c>
      <c r="F550" s="1" t="s">
        <v>754</v>
      </c>
      <c r="G550" s="30">
        <v>1058233.6200000001</v>
      </c>
      <c r="I550" s="30">
        <f>SUM($F$5:$F550)-SUM($E$5:$E550)</f>
        <v>1058233.6200000001</v>
      </c>
      <c r="J550" s="30">
        <f t="shared" si="8"/>
        <v>0</v>
      </c>
    </row>
    <row r="551" spans="1:10" x14ac:dyDescent="0.75">
      <c r="A551" s="31">
        <v>43688</v>
      </c>
      <c r="B551" s="31">
        <v>43688</v>
      </c>
      <c r="C551" s="1" t="s">
        <v>1266</v>
      </c>
      <c r="E551" s="30">
        <v>31638.75</v>
      </c>
      <c r="F551" s="1" t="s">
        <v>754</v>
      </c>
      <c r="G551" s="30">
        <v>1026594.87</v>
      </c>
      <c r="I551" s="30">
        <f>SUM($F$5:$F551)-SUM($E$5:$E551)</f>
        <v>1026594.8700000001</v>
      </c>
      <c r="J551" s="30">
        <f t="shared" si="8"/>
        <v>0</v>
      </c>
    </row>
    <row r="552" spans="1:10" x14ac:dyDescent="0.75">
      <c r="A552" s="31">
        <v>43688</v>
      </c>
      <c r="B552" s="31">
        <v>43688</v>
      </c>
      <c r="C552" s="1" t="s">
        <v>1267</v>
      </c>
      <c r="E552" s="30">
        <v>53532.1</v>
      </c>
      <c r="F552" s="1" t="s">
        <v>754</v>
      </c>
      <c r="G552" s="30">
        <v>973062.77</v>
      </c>
      <c r="I552" s="30">
        <f>SUM($F$5:$F552)-SUM($E$5:$E552)</f>
        <v>973062.77000000048</v>
      </c>
      <c r="J552" s="30">
        <f t="shared" si="8"/>
        <v>0</v>
      </c>
    </row>
    <row r="553" spans="1:10" x14ac:dyDescent="0.75">
      <c r="A553" s="31">
        <v>43688</v>
      </c>
      <c r="B553" s="31">
        <v>43688</v>
      </c>
      <c r="C553" s="1" t="s">
        <v>1268</v>
      </c>
      <c r="E553" s="30">
        <v>151307.18</v>
      </c>
      <c r="F553" s="1" t="s">
        <v>754</v>
      </c>
      <c r="G553" s="30">
        <v>821755.59</v>
      </c>
      <c r="I553" s="30">
        <f>SUM($F$5:$F553)-SUM($E$5:$E553)</f>
        <v>821755.59000000078</v>
      </c>
      <c r="J553" s="30">
        <f t="shared" si="8"/>
        <v>0</v>
      </c>
    </row>
    <row r="554" spans="1:10" x14ac:dyDescent="0.75">
      <c r="A554" s="31">
        <v>43688</v>
      </c>
      <c r="B554" s="31">
        <v>43688</v>
      </c>
      <c r="C554" s="1" t="s">
        <v>1269</v>
      </c>
      <c r="E554" s="30">
        <v>335092.86</v>
      </c>
      <c r="F554" s="1" t="s">
        <v>754</v>
      </c>
      <c r="G554" s="30">
        <v>486662.73</v>
      </c>
      <c r="I554" s="30">
        <f>SUM($F$5:$F554)-SUM($E$5:$E554)</f>
        <v>486662.73000000045</v>
      </c>
      <c r="J554" s="30">
        <f t="shared" si="8"/>
        <v>4.6566128730773926E-10</v>
      </c>
    </row>
    <row r="555" spans="1:10" x14ac:dyDescent="0.75">
      <c r="A555" s="31">
        <v>43688</v>
      </c>
      <c r="B555" s="31">
        <v>43688</v>
      </c>
      <c r="C555" s="1" t="s">
        <v>1270</v>
      </c>
      <c r="E555" s="30">
        <v>1621.88</v>
      </c>
      <c r="F555" s="1" t="s">
        <v>754</v>
      </c>
      <c r="G555" s="30">
        <v>485040.85</v>
      </c>
      <c r="I555" s="30">
        <f>SUM($F$5:$F555)-SUM($E$5:$E555)</f>
        <v>485040.85000000056</v>
      </c>
      <c r="J555" s="30">
        <f t="shared" si="8"/>
        <v>5.8207660913467407E-10</v>
      </c>
    </row>
    <row r="556" spans="1:10" x14ac:dyDescent="0.75">
      <c r="A556" s="31">
        <v>43780</v>
      </c>
      <c r="B556" s="31">
        <v>43780</v>
      </c>
      <c r="C556" s="1" t="s">
        <v>1271</v>
      </c>
      <c r="E556" s="1">
        <v>2729</v>
      </c>
      <c r="F556" s="1" t="s">
        <v>754</v>
      </c>
      <c r="G556" s="1">
        <v>482311.85</v>
      </c>
      <c r="I556" s="30">
        <f>SUM($F$5:$F556)-SUM($E$5:$E556)</f>
        <v>482311.85000000056</v>
      </c>
      <c r="J556" s="30">
        <f t="shared" si="8"/>
        <v>5.8207660913467407E-10</v>
      </c>
    </row>
    <row r="557" spans="1:10" x14ac:dyDescent="0.75">
      <c r="A557" s="31">
        <v>43780</v>
      </c>
      <c r="B557" s="31">
        <v>43780</v>
      </c>
      <c r="C557" s="1" t="s">
        <v>1272</v>
      </c>
      <c r="E557" s="1">
        <v>291</v>
      </c>
      <c r="F557" s="1" t="s">
        <v>754</v>
      </c>
      <c r="G557" s="1">
        <v>482020.85</v>
      </c>
      <c r="I557" s="30">
        <f>SUM($F$5:$F557)-SUM($E$5:$E557)</f>
        <v>482020.85000000056</v>
      </c>
      <c r="J557" s="30">
        <f t="shared" si="8"/>
        <v>5.8207660913467407E-10</v>
      </c>
    </row>
    <row r="558" spans="1:10" x14ac:dyDescent="0.75">
      <c r="A558" s="31">
        <v>43780</v>
      </c>
      <c r="B558" s="31">
        <v>43780</v>
      </c>
      <c r="C558" s="1" t="s">
        <v>1273</v>
      </c>
      <c r="E558" s="1">
        <v>1612.14</v>
      </c>
      <c r="F558" s="1" t="s">
        <v>754</v>
      </c>
      <c r="G558" s="1">
        <v>480408.71</v>
      </c>
      <c r="I558" s="30">
        <f>SUM($F$5:$F558)-SUM($E$5:$E558)</f>
        <v>480408.71000000089</v>
      </c>
      <c r="J558" s="30">
        <f t="shared" si="8"/>
        <v>8.7311491370201111E-10</v>
      </c>
    </row>
    <row r="559" spans="1:10" x14ac:dyDescent="0.75">
      <c r="A559" s="31">
        <v>43780</v>
      </c>
      <c r="B559" s="31">
        <v>43780</v>
      </c>
      <c r="C559" s="1" t="s">
        <v>1274</v>
      </c>
      <c r="E559" s="1">
        <v>3330</v>
      </c>
      <c r="F559" s="1" t="s">
        <v>754</v>
      </c>
      <c r="G559" s="1">
        <v>477078.71</v>
      </c>
      <c r="I559" s="30">
        <f>SUM($F$5:$F559)-SUM($E$5:$E559)</f>
        <v>477078.71000000089</v>
      </c>
      <c r="J559" s="30">
        <f t="shared" si="8"/>
        <v>8.7311491370201111E-10</v>
      </c>
    </row>
    <row r="560" spans="1:10" x14ac:dyDescent="0.75">
      <c r="A560" s="31">
        <v>43780</v>
      </c>
      <c r="B560" s="31">
        <v>43780</v>
      </c>
      <c r="C560" s="1" t="s">
        <v>1275</v>
      </c>
      <c r="E560" s="1">
        <v>3845.52</v>
      </c>
      <c r="F560" s="1" t="s">
        <v>754</v>
      </c>
      <c r="G560" s="1">
        <v>473233.19</v>
      </c>
      <c r="I560" s="30">
        <f>SUM($F$5:$F560)-SUM($E$5:$E560)</f>
        <v>473233.19000000134</v>
      </c>
      <c r="J560" s="30">
        <f t="shared" si="8"/>
        <v>1.3387762010097504E-9</v>
      </c>
    </row>
    <row r="561" spans="1:10" x14ac:dyDescent="0.75">
      <c r="A561" s="31">
        <v>43780</v>
      </c>
      <c r="B561" s="31">
        <v>43780</v>
      </c>
      <c r="C561" s="1" t="s">
        <v>1276</v>
      </c>
      <c r="E561" s="1">
        <v>4947</v>
      </c>
      <c r="F561" s="1" t="s">
        <v>754</v>
      </c>
      <c r="G561" s="1">
        <v>468286.19</v>
      </c>
      <c r="I561" s="30">
        <f>SUM($F$5:$F561)-SUM($E$5:$E561)</f>
        <v>468286.19000000134</v>
      </c>
      <c r="J561" s="30">
        <f t="shared" si="8"/>
        <v>1.3387762010097504E-9</v>
      </c>
    </row>
    <row r="562" spans="1:10" x14ac:dyDescent="0.75">
      <c r="A562" s="31">
        <v>43780</v>
      </c>
      <c r="B562" s="31">
        <v>43780</v>
      </c>
      <c r="C562" s="1" t="s">
        <v>1277</v>
      </c>
      <c r="E562" s="1">
        <v>4981.13</v>
      </c>
      <c r="F562" s="1" t="s">
        <v>754</v>
      </c>
      <c r="G562" s="1">
        <v>463305.06</v>
      </c>
      <c r="I562" s="30">
        <f>SUM($F$5:$F562)-SUM($E$5:$E562)</f>
        <v>463305.06000000145</v>
      </c>
      <c r="J562" s="30">
        <f t="shared" si="8"/>
        <v>1.4551915228366852E-9</v>
      </c>
    </row>
    <row r="563" spans="1:10" x14ac:dyDescent="0.75">
      <c r="A563" s="31">
        <v>43780</v>
      </c>
      <c r="B563" s="31">
        <v>43780</v>
      </c>
      <c r="C563" s="1" t="s">
        <v>1278</v>
      </c>
      <c r="E563" s="1">
        <v>6400</v>
      </c>
      <c r="F563" s="1" t="s">
        <v>754</v>
      </c>
      <c r="G563" s="1">
        <v>456905.06</v>
      </c>
      <c r="I563" s="30">
        <f>SUM($F$5:$F563)-SUM($E$5:$E563)</f>
        <v>456905.06000000145</v>
      </c>
      <c r="J563" s="30">
        <f t="shared" si="8"/>
        <v>1.4551915228366852E-9</v>
      </c>
    </row>
    <row r="564" spans="1:10" x14ac:dyDescent="0.75">
      <c r="A564" s="31">
        <v>43780</v>
      </c>
      <c r="B564" s="31">
        <v>43780</v>
      </c>
      <c r="C564" s="1" t="s">
        <v>1279</v>
      </c>
      <c r="E564" s="1">
        <v>7300</v>
      </c>
      <c r="F564" s="1" t="s">
        <v>754</v>
      </c>
      <c r="G564" s="1">
        <v>449605.06</v>
      </c>
      <c r="I564" s="30">
        <f>SUM($F$5:$F564)-SUM($E$5:$E564)</f>
        <v>449605.06000000145</v>
      </c>
      <c r="J564" s="30">
        <f t="shared" si="8"/>
        <v>1.4551915228366852E-9</v>
      </c>
    </row>
    <row r="565" spans="1:10" x14ac:dyDescent="0.75">
      <c r="A565" s="31">
        <v>43780</v>
      </c>
      <c r="B565" s="31">
        <v>43780</v>
      </c>
      <c r="C565" s="1" t="s">
        <v>1280</v>
      </c>
      <c r="E565" s="1">
        <v>10132.16</v>
      </c>
      <c r="F565" s="1" t="s">
        <v>754</v>
      </c>
      <c r="G565" s="1">
        <v>439472.9</v>
      </c>
      <c r="I565" s="30">
        <f>SUM($F$5:$F565)-SUM($E$5:$E565)</f>
        <v>439472.9000000013</v>
      </c>
      <c r="J565" s="30">
        <f t="shared" si="8"/>
        <v>1.280568540096283E-9</v>
      </c>
    </row>
    <row r="566" spans="1:10" x14ac:dyDescent="0.75">
      <c r="A566" s="31">
        <v>43780</v>
      </c>
      <c r="B566" s="31">
        <v>43780</v>
      </c>
      <c r="C566" s="1" t="s">
        <v>1281</v>
      </c>
      <c r="E566" s="1">
        <v>40952.43</v>
      </c>
      <c r="F566" s="1" t="s">
        <v>754</v>
      </c>
      <c r="G566" s="1">
        <v>398520.47</v>
      </c>
      <c r="I566" s="30">
        <f>SUM($F$5:$F566)-SUM($E$5:$E566)</f>
        <v>398520.4700000016</v>
      </c>
      <c r="J566" s="30">
        <f t="shared" si="8"/>
        <v>1.6298145055770874E-9</v>
      </c>
    </row>
    <row r="567" spans="1:10" x14ac:dyDescent="0.75">
      <c r="A567" s="31">
        <v>43780</v>
      </c>
      <c r="B567" s="31">
        <v>43780</v>
      </c>
      <c r="C567" s="1" t="s">
        <v>1282</v>
      </c>
      <c r="E567" s="1" t="s">
        <v>754</v>
      </c>
      <c r="F567" s="1">
        <v>1782200.55</v>
      </c>
      <c r="G567" s="1">
        <v>2180721.02</v>
      </c>
      <c r="I567" s="30">
        <f>SUM($F$5:$F567)-SUM($E$5:$E567)</f>
        <v>2180721.0200000014</v>
      </c>
      <c r="J567" s="30">
        <f t="shared" si="8"/>
        <v>0</v>
      </c>
    </row>
    <row r="568" spans="1:10" x14ac:dyDescent="0.75">
      <c r="A568" s="31">
        <v>43810</v>
      </c>
      <c r="B568" s="31">
        <v>43810</v>
      </c>
      <c r="C568" s="1" t="s">
        <v>773</v>
      </c>
      <c r="E568" s="1" t="s">
        <v>754</v>
      </c>
      <c r="F568" s="1">
        <v>67124.100000000006</v>
      </c>
      <c r="G568" s="1">
        <v>2247845.12</v>
      </c>
      <c r="I568" s="30">
        <f>SUM($F$5:$F568)-SUM($E$5:$E568)</f>
        <v>2247845.120000001</v>
      </c>
      <c r="J568" s="30">
        <f t="shared" si="8"/>
        <v>0</v>
      </c>
    </row>
    <row r="569" spans="1:10" x14ac:dyDescent="0.75">
      <c r="A569" s="31">
        <v>43810</v>
      </c>
      <c r="B569" s="31">
        <v>43810</v>
      </c>
      <c r="C569" s="1" t="s">
        <v>1283</v>
      </c>
      <c r="E569" s="1">
        <v>242.5</v>
      </c>
      <c r="F569" s="1" t="s">
        <v>754</v>
      </c>
      <c r="G569" s="1">
        <v>2247602.62</v>
      </c>
      <c r="I569" s="30">
        <f>SUM($F$5:$F569)-SUM($E$5:$E569)</f>
        <v>2247602.620000001</v>
      </c>
      <c r="J569" s="30">
        <f t="shared" si="8"/>
        <v>0</v>
      </c>
    </row>
    <row r="570" spans="1:10" x14ac:dyDescent="0.75">
      <c r="A570" s="31">
        <v>43810</v>
      </c>
      <c r="B570" s="31">
        <v>43810</v>
      </c>
      <c r="C570" s="1" t="s">
        <v>1284</v>
      </c>
      <c r="E570" s="1">
        <v>952.75</v>
      </c>
      <c r="F570" s="1" t="s">
        <v>754</v>
      </c>
      <c r="G570" s="1">
        <v>2246649.87</v>
      </c>
      <c r="I570" s="30">
        <f>SUM($F$5:$F570)-SUM($E$5:$E570)</f>
        <v>2246649.870000001</v>
      </c>
      <c r="J570" s="30">
        <f t="shared" si="8"/>
        <v>0</v>
      </c>
    </row>
    <row r="571" spans="1:10" x14ac:dyDescent="0.75">
      <c r="A571" s="31">
        <v>43810</v>
      </c>
      <c r="B571" s="31">
        <v>43810</v>
      </c>
      <c r="C571" s="1" t="s">
        <v>1285</v>
      </c>
      <c r="E571" s="1">
        <v>1910.65</v>
      </c>
      <c r="F571" s="1" t="s">
        <v>754</v>
      </c>
      <c r="G571" s="1">
        <v>2244739.2200000002</v>
      </c>
      <c r="I571" s="30">
        <f>SUM($F$5:$F571)-SUM($E$5:$E571)</f>
        <v>2244739.2200000007</v>
      </c>
      <c r="J571" s="30">
        <f t="shared" si="8"/>
        <v>0</v>
      </c>
    </row>
    <row r="572" spans="1:10" x14ac:dyDescent="0.75">
      <c r="A572" s="31">
        <v>43810</v>
      </c>
      <c r="B572" s="31">
        <v>43810</v>
      </c>
      <c r="C572" s="1" t="s">
        <v>1286</v>
      </c>
      <c r="E572" s="1">
        <v>2619</v>
      </c>
      <c r="F572" s="1" t="s">
        <v>754</v>
      </c>
      <c r="G572" s="1">
        <v>2242120.2200000002</v>
      </c>
      <c r="I572" s="30">
        <f>SUM($F$5:$F572)-SUM($E$5:$E572)</f>
        <v>2242120.2200000007</v>
      </c>
      <c r="J572" s="30">
        <f t="shared" si="8"/>
        <v>0</v>
      </c>
    </row>
    <row r="573" spans="1:10" x14ac:dyDescent="0.75">
      <c r="A573" s="31">
        <v>43810</v>
      </c>
      <c r="B573" s="31">
        <v>43810</v>
      </c>
      <c r="C573" s="1" t="s">
        <v>1287</v>
      </c>
      <c r="E573" s="1">
        <v>2910</v>
      </c>
      <c r="F573" s="1" t="s">
        <v>754</v>
      </c>
      <c r="G573" s="1">
        <v>2239210.2200000002</v>
      </c>
      <c r="I573" s="30">
        <f>SUM($F$5:$F573)-SUM($E$5:$E573)</f>
        <v>2239210.2200000007</v>
      </c>
      <c r="J573" s="30">
        <f t="shared" si="8"/>
        <v>0</v>
      </c>
    </row>
    <row r="574" spans="1:10" x14ac:dyDescent="0.75">
      <c r="A574" s="31">
        <v>43810</v>
      </c>
      <c r="B574" s="31">
        <v>43810</v>
      </c>
      <c r="C574" s="1" t="s">
        <v>1288</v>
      </c>
      <c r="E574" s="1">
        <v>3607.5</v>
      </c>
      <c r="F574" s="1" t="s">
        <v>754</v>
      </c>
      <c r="G574" s="1">
        <v>2235602.7200000002</v>
      </c>
      <c r="I574" s="30">
        <f>SUM($F$5:$F574)-SUM($E$5:$E574)</f>
        <v>2235602.7200000007</v>
      </c>
      <c r="J574" s="30">
        <f t="shared" si="8"/>
        <v>0</v>
      </c>
    </row>
    <row r="575" spans="1:10" x14ac:dyDescent="0.75">
      <c r="A575" s="31">
        <v>43810</v>
      </c>
      <c r="B575" s="31">
        <v>43810</v>
      </c>
      <c r="C575" s="1" t="s">
        <v>1289</v>
      </c>
      <c r="E575" s="1">
        <v>15592.51</v>
      </c>
      <c r="F575" s="1" t="s">
        <v>754</v>
      </c>
      <c r="G575" s="1">
        <v>2220010.21</v>
      </c>
      <c r="I575" s="30">
        <f>SUM($F$5:$F575)-SUM($E$5:$E575)</f>
        <v>2220010.2100000009</v>
      </c>
      <c r="J575" s="30">
        <f t="shared" si="8"/>
        <v>0</v>
      </c>
    </row>
    <row r="576" spans="1:10" x14ac:dyDescent="0.75">
      <c r="A576" s="31">
        <v>43810</v>
      </c>
      <c r="B576" s="31">
        <v>43810</v>
      </c>
      <c r="C576" s="1" t="s">
        <v>1290</v>
      </c>
      <c r="E576" s="1">
        <v>1782200.55</v>
      </c>
      <c r="F576" s="1" t="s">
        <v>754</v>
      </c>
      <c r="G576" s="1">
        <v>437809.66</v>
      </c>
      <c r="I576" s="30">
        <f>SUM($F$5:$F576)-SUM($E$5:$E576)</f>
        <v>437809.66000000015</v>
      </c>
      <c r="J576" s="30">
        <f t="shared" si="8"/>
        <v>0</v>
      </c>
    </row>
    <row r="577" spans="1:10" x14ac:dyDescent="0.75">
      <c r="A577" s="31">
        <v>43810</v>
      </c>
      <c r="B577" s="31">
        <v>43810</v>
      </c>
      <c r="C577" s="1" t="s">
        <v>1291</v>
      </c>
      <c r="E577" s="1">
        <v>17161.75</v>
      </c>
      <c r="F577" s="1" t="s">
        <v>754</v>
      </c>
      <c r="G577" s="1">
        <v>420647.91</v>
      </c>
      <c r="I577" s="30">
        <f>SUM($F$5:$F577)-SUM($E$5:$E577)</f>
        <v>420647.91000000015</v>
      </c>
      <c r="J577" s="30">
        <f t="shared" si="8"/>
        <v>0</v>
      </c>
    </row>
    <row r="578" spans="1:10" x14ac:dyDescent="0.75">
      <c r="A578" s="31">
        <v>43810</v>
      </c>
      <c r="B578" s="31">
        <v>43810</v>
      </c>
      <c r="C578" s="1" t="s">
        <v>773</v>
      </c>
      <c r="E578" s="1" t="s">
        <v>754</v>
      </c>
      <c r="F578" s="1">
        <v>41786.26</v>
      </c>
      <c r="G578" s="1">
        <v>462434.17</v>
      </c>
      <c r="I578" s="30">
        <f>SUM($F$5:$F578)-SUM($E$5:$E578)</f>
        <v>462434.16999999993</v>
      </c>
      <c r="J578" s="30">
        <f t="shared" si="8"/>
        <v>0</v>
      </c>
    </row>
    <row r="579" spans="1:10" x14ac:dyDescent="0.75">
      <c r="A579" s="31" t="s">
        <v>1292</v>
      </c>
      <c r="B579" s="31" t="s">
        <v>1292</v>
      </c>
      <c r="C579" s="1" t="s">
        <v>1293</v>
      </c>
      <c r="E579" s="1">
        <v>314.5</v>
      </c>
      <c r="F579" s="1" t="s">
        <v>754</v>
      </c>
      <c r="G579" s="1">
        <v>462119.67</v>
      </c>
      <c r="I579" s="30">
        <f>SUM($F$5:$F579)-SUM($E$5:$E579)</f>
        <v>462119.66999999993</v>
      </c>
      <c r="J579" s="30">
        <f t="shared" si="8"/>
        <v>0</v>
      </c>
    </row>
    <row r="580" spans="1:10" x14ac:dyDescent="0.75">
      <c r="A580" s="31" t="s">
        <v>1292</v>
      </c>
      <c r="B580" s="31" t="s">
        <v>1292</v>
      </c>
      <c r="C580" s="1" t="s">
        <v>1294</v>
      </c>
      <c r="E580" s="1">
        <v>60338.17</v>
      </c>
      <c r="F580" s="1" t="s">
        <v>754</v>
      </c>
      <c r="G580" s="1">
        <v>401781.5</v>
      </c>
      <c r="I580" s="30">
        <f>SUM($F$5:$F580)-SUM($E$5:$E580)</f>
        <v>401781.5</v>
      </c>
      <c r="J580" s="30">
        <f t="shared" si="8"/>
        <v>0</v>
      </c>
    </row>
    <row r="581" spans="1:10" x14ac:dyDescent="0.75">
      <c r="A581" s="31" t="s">
        <v>1292</v>
      </c>
      <c r="B581" s="31" t="s">
        <v>1292</v>
      </c>
      <c r="C581" s="1" t="s">
        <v>1295</v>
      </c>
      <c r="E581" s="1">
        <v>1799.12</v>
      </c>
      <c r="F581" s="1" t="s">
        <v>754</v>
      </c>
      <c r="G581" s="1">
        <v>399982.38</v>
      </c>
      <c r="I581" s="30">
        <f>SUM($F$5:$F581)-SUM($E$5:$E581)</f>
        <v>399982.38000000082</v>
      </c>
      <c r="J581" s="30">
        <f t="shared" si="8"/>
        <v>8.149072527885437E-10</v>
      </c>
    </row>
    <row r="582" spans="1:10" x14ac:dyDescent="0.75">
      <c r="A582" s="31" t="s">
        <v>1296</v>
      </c>
      <c r="B582" s="31" t="s">
        <v>1296</v>
      </c>
      <c r="C582" s="1" t="s">
        <v>1297</v>
      </c>
      <c r="E582" s="1">
        <v>2209.41</v>
      </c>
      <c r="F582" s="1" t="s">
        <v>754</v>
      </c>
      <c r="G582" s="1">
        <v>397772.97</v>
      </c>
      <c r="I582" s="30">
        <f>SUM($F$5:$F582)-SUM($E$5:$E582)</f>
        <v>397772.97000000067</v>
      </c>
      <c r="J582" s="30">
        <f t="shared" ref="J582:J645" si="9">I582-G582</f>
        <v>6.9849193096160889E-10</v>
      </c>
    </row>
    <row r="583" spans="1:10" x14ac:dyDescent="0.75">
      <c r="A583" s="31" t="s">
        <v>1296</v>
      </c>
      <c r="B583" s="31" t="s">
        <v>1296</v>
      </c>
      <c r="C583" s="1" t="s">
        <v>1298</v>
      </c>
      <c r="E583" s="1">
        <v>4218</v>
      </c>
      <c r="F583" s="1" t="s">
        <v>754</v>
      </c>
      <c r="G583" s="1">
        <v>393554.97</v>
      </c>
      <c r="I583" s="30">
        <f>SUM($F$5:$F583)-SUM($E$5:$E583)</f>
        <v>393554.97000000067</v>
      </c>
      <c r="J583" s="30">
        <f t="shared" si="9"/>
        <v>6.9849193096160889E-10</v>
      </c>
    </row>
    <row r="584" spans="1:10" x14ac:dyDescent="0.75">
      <c r="A584" s="31" t="s">
        <v>1296</v>
      </c>
      <c r="B584" s="1" t="s">
        <v>1296</v>
      </c>
      <c r="C584" s="1" t="s">
        <v>1299</v>
      </c>
      <c r="E584" s="1">
        <v>4268</v>
      </c>
      <c r="F584" s="1" t="s">
        <v>754</v>
      </c>
      <c r="G584" s="1">
        <v>389286.97</v>
      </c>
      <c r="I584" s="30">
        <f>SUM($F$5:$F584)-SUM($E$5:$E584)</f>
        <v>389286.97000000067</v>
      </c>
      <c r="J584" s="30">
        <f t="shared" si="9"/>
        <v>6.9849193096160889E-10</v>
      </c>
    </row>
    <row r="585" spans="1:10" x14ac:dyDescent="0.75">
      <c r="A585" s="31" t="s">
        <v>1296</v>
      </c>
      <c r="B585" s="31" t="s">
        <v>1296</v>
      </c>
      <c r="C585" s="1" t="s">
        <v>773</v>
      </c>
      <c r="E585" s="1" t="s">
        <v>754</v>
      </c>
      <c r="F585" s="1">
        <v>57741.06</v>
      </c>
      <c r="G585" s="1">
        <v>447028.03</v>
      </c>
      <c r="I585" s="30">
        <f>SUM($F$5:$F585)-SUM($E$5:$E585)</f>
        <v>447028.03000000119</v>
      </c>
      <c r="J585" s="30">
        <f t="shared" si="9"/>
        <v>1.1641532182693481E-9</v>
      </c>
    </row>
    <row r="586" spans="1:10" x14ac:dyDescent="0.75">
      <c r="A586" s="31" t="s">
        <v>1300</v>
      </c>
      <c r="B586" s="31" t="s">
        <v>1300</v>
      </c>
      <c r="C586" s="1" t="s">
        <v>1301</v>
      </c>
      <c r="E586" s="1">
        <v>1633.85</v>
      </c>
      <c r="F586" s="1" t="s">
        <v>754</v>
      </c>
      <c r="G586" s="1">
        <v>445394.18</v>
      </c>
      <c r="I586" s="30">
        <f>SUM($F$5:$F586)-SUM($E$5:$E586)</f>
        <v>445394.18000000156</v>
      </c>
      <c r="J586" s="30">
        <f t="shared" si="9"/>
        <v>1.57160684466362E-9</v>
      </c>
    </row>
    <row r="587" spans="1:10" x14ac:dyDescent="0.75">
      <c r="A587" s="31" t="s">
        <v>1300</v>
      </c>
      <c r="B587" s="31" t="s">
        <v>1300</v>
      </c>
      <c r="C587" s="1" t="s">
        <v>1302</v>
      </c>
      <c r="E587" s="1">
        <v>8923.7199999999993</v>
      </c>
      <c r="F587" s="1" t="s">
        <v>754</v>
      </c>
      <c r="G587" s="1">
        <v>436470.46</v>
      </c>
      <c r="I587" s="30">
        <f>SUM($F$5:$F587)-SUM($E$5:$E587)</f>
        <v>436470.46000000089</v>
      </c>
      <c r="J587" s="30">
        <f t="shared" si="9"/>
        <v>8.7311491370201111E-10</v>
      </c>
    </row>
    <row r="588" spans="1:10" x14ac:dyDescent="0.75">
      <c r="A588" s="31" t="s">
        <v>1300</v>
      </c>
      <c r="B588" s="31" t="s">
        <v>1300</v>
      </c>
      <c r="C588" s="1" t="s">
        <v>1303</v>
      </c>
      <c r="E588" s="1">
        <v>4935.01</v>
      </c>
      <c r="F588" s="1" t="s">
        <v>754</v>
      </c>
      <c r="G588" s="1">
        <v>431535.45</v>
      </c>
      <c r="I588" s="30">
        <f>SUM($F$5:$F588)-SUM($E$5:$E588)</f>
        <v>431535.45000000112</v>
      </c>
      <c r="J588" s="30">
        <f t="shared" si="9"/>
        <v>1.1059455573558807E-9</v>
      </c>
    </row>
    <row r="589" spans="1:10" x14ac:dyDescent="0.75">
      <c r="A589" s="31" t="s">
        <v>1300</v>
      </c>
      <c r="B589" s="31" t="s">
        <v>1300</v>
      </c>
      <c r="C589" s="1" t="s">
        <v>1304</v>
      </c>
      <c r="E589" s="1">
        <v>9408.99</v>
      </c>
      <c r="F589" s="1" t="s">
        <v>754</v>
      </c>
      <c r="G589" s="1">
        <v>422126.46</v>
      </c>
      <c r="I589" s="30">
        <f>SUM($F$5:$F589)-SUM($E$5:$E589)</f>
        <v>422126.46000000089</v>
      </c>
      <c r="J589" s="30">
        <f t="shared" si="9"/>
        <v>8.7311491370201111E-10</v>
      </c>
    </row>
    <row r="590" spans="1:10" x14ac:dyDescent="0.75">
      <c r="A590" s="31" t="s">
        <v>1300</v>
      </c>
      <c r="B590" s="31" t="s">
        <v>1300</v>
      </c>
      <c r="C590" s="1" t="s">
        <v>1305</v>
      </c>
      <c r="E590" s="1">
        <v>15870.34</v>
      </c>
      <c r="F590" s="1" t="s">
        <v>754</v>
      </c>
      <c r="G590" s="1">
        <v>406256.12</v>
      </c>
      <c r="I590" s="30">
        <f>SUM($F$5:$F590)-SUM($E$5:$E590)</f>
        <v>406256.12000000104</v>
      </c>
      <c r="J590" s="30">
        <f t="shared" si="9"/>
        <v>1.0477378964424133E-9</v>
      </c>
    </row>
    <row r="591" spans="1:10" x14ac:dyDescent="0.75">
      <c r="A591" s="31" t="s">
        <v>1300</v>
      </c>
      <c r="B591" s="31" t="s">
        <v>1300</v>
      </c>
      <c r="C591" s="1" t="s">
        <v>773</v>
      </c>
      <c r="E591" s="1" t="s">
        <v>754</v>
      </c>
      <c r="F591" s="1">
        <v>247692.33</v>
      </c>
      <c r="G591" s="1">
        <v>653948.44999999995</v>
      </c>
      <c r="I591" s="30">
        <f>SUM($F$5:$F591)-SUM($E$5:$E591)</f>
        <v>653948.45000000112</v>
      </c>
      <c r="J591" s="30">
        <f t="shared" si="9"/>
        <v>1.1641532182693481E-9</v>
      </c>
    </row>
    <row r="592" spans="1:10" x14ac:dyDescent="0.75">
      <c r="A592" s="31" t="s">
        <v>1306</v>
      </c>
      <c r="B592" s="31" t="s">
        <v>1306</v>
      </c>
      <c r="C592" s="1" t="s">
        <v>1307</v>
      </c>
      <c r="E592" s="1">
        <v>1</v>
      </c>
      <c r="F592" s="1" t="s">
        <v>754</v>
      </c>
      <c r="G592" s="1">
        <v>653947.44999999995</v>
      </c>
      <c r="I592" s="30">
        <f>SUM($F$5:$F592)-SUM($E$5:$E592)</f>
        <v>653947.45000000112</v>
      </c>
      <c r="J592" s="30">
        <f t="shared" si="9"/>
        <v>1.1641532182693481E-9</v>
      </c>
    </row>
    <row r="593" spans="1:10" x14ac:dyDescent="0.75">
      <c r="A593" s="31" t="s">
        <v>1306</v>
      </c>
      <c r="B593" s="31" t="s">
        <v>1306</v>
      </c>
      <c r="C593" s="1" t="s">
        <v>1308</v>
      </c>
      <c r="E593" s="1">
        <v>314.5</v>
      </c>
      <c r="F593" s="1" t="s">
        <v>754</v>
      </c>
      <c r="G593" s="1">
        <v>653632.94999999995</v>
      </c>
      <c r="I593" s="30">
        <f>SUM($F$5:$F593)-SUM($E$5:$E593)</f>
        <v>653632.95000000112</v>
      </c>
      <c r="J593" s="30">
        <f t="shared" si="9"/>
        <v>1.1641532182693481E-9</v>
      </c>
    </row>
    <row r="594" spans="1:10" x14ac:dyDescent="0.75">
      <c r="A594" s="31" t="s">
        <v>1306</v>
      </c>
      <c r="B594" s="31" t="s">
        <v>1306</v>
      </c>
      <c r="C594" s="1" t="s">
        <v>1309</v>
      </c>
      <c r="E594" s="1">
        <v>950.6</v>
      </c>
      <c r="F594" s="1" t="s">
        <v>754</v>
      </c>
      <c r="G594" s="1">
        <v>652682.35</v>
      </c>
      <c r="I594" s="30">
        <f>SUM($F$5:$F594)-SUM($E$5:$E594)</f>
        <v>652682.35000000149</v>
      </c>
      <c r="J594" s="30">
        <f t="shared" si="9"/>
        <v>1.5133991837501526E-9</v>
      </c>
    </row>
    <row r="595" spans="1:10" x14ac:dyDescent="0.75">
      <c r="A595" s="31" t="s">
        <v>1306</v>
      </c>
      <c r="B595" s="31" t="s">
        <v>1306</v>
      </c>
      <c r="C595" s="1" t="s">
        <v>1310</v>
      </c>
      <c r="E595" s="1">
        <v>1800</v>
      </c>
      <c r="F595" s="1" t="s">
        <v>754</v>
      </c>
      <c r="G595" s="1">
        <v>650882.35</v>
      </c>
      <c r="I595" s="30">
        <f>SUM($F$5:$F595)-SUM($E$5:$E595)</f>
        <v>650882.35000000149</v>
      </c>
      <c r="J595" s="30">
        <f t="shared" si="9"/>
        <v>1.5133991837501526E-9</v>
      </c>
    </row>
    <row r="596" spans="1:10" x14ac:dyDescent="0.75">
      <c r="A596" s="31" t="s">
        <v>1306</v>
      </c>
      <c r="B596" s="31" t="s">
        <v>1306</v>
      </c>
      <c r="C596" s="1" t="s">
        <v>1311</v>
      </c>
      <c r="E596" s="1">
        <v>2078.13</v>
      </c>
      <c r="F596" s="1" t="s">
        <v>754</v>
      </c>
      <c r="G596" s="1">
        <v>648804.22</v>
      </c>
      <c r="I596" s="30">
        <f>SUM($F$5:$F596)-SUM($E$5:$E596)</f>
        <v>648804.22000000067</v>
      </c>
      <c r="J596" s="30">
        <f t="shared" si="9"/>
        <v>0</v>
      </c>
    </row>
    <row r="597" spans="1:10" x14ac:dyDescent="0.75">
      <c r="A597" s="31" t="s">
        <v>1306</v>
      </c>
      <c r="B597" s="1" t="s">
        <v>1306</v>
      </c>
      <c r="C597" s="1" t="s">
        <v>1312</v>
      </c>
      <c r="E597" s="1">
        <v>4311.57</v>
      </c>
      <c r="F597" s="1" t="s">
        <v>754</v>
      </c>
      <c r="G597" s="1">
        <v>644492.65</v>
      </c>
      <c r="I597" s="30">
        <f>SUM($F$5:$F597)-SUM($E$5:$E597)</f>
        <v>644492.65000000037</v>
      </c>
      <c r="J597" s="30">
        <f t="shared" si="9"/>
        <v>0</v>
      </c>
    </row>
    <row r="598" spans="1:10" x14ac:dyDescent="0.75">
      <c r="A598" s="31" t="s">
        <v>1306</v>
      </c>
      <c r="B598" s="31" t="s">
        <v>1306</v>
      </c>
      <c r="C598" s="1" t="s">
        <v>1313</v>
      </c>
      <c r="E598" s="1">
        <v>10233.5</v>
      </c>
      <c r="F598" s="1" t="s">
        <v>754</v>
      </c>
      <c r="G598" s="1">
        <v>634259.15</v>
      </c>
      <c r="I598" s="30">
        <f>SUM($F$5:$F598)-SUM($E$5:$E598)</f>
        <v>634259.15000000037</v>
      </c>
      <c r="J598" s="30">
        <f t="shared" si="9"/>
        <v>0</v>
      </c>
    </row>
    <row r="599" spans="1:10" x14ac:dyDescent="0.75">
      <c r="A599" s="31" t="s">
        <v>1306</v>
      </c>
      <c r="B599" s="31" t="s">
        <v>1306</v>
      </c>
      <c r="C599" s="1" t="s">
        <v>1314</v>
      </c>
      <c r="E599" s="1">
        <v>15128.61</v>
      </c>
      <c r="F599" s="1" t="s">
        <v>754</v>
      </c>
      <c r="G599" s="1">
        <v>619130.54</v>
      </c>
      <c r="I599" s="30">
        <f>SUM($F$5:$F599)-SUM($E$5:$E599)</f>
        <v>619130.54000000097</v>
      </c>
      <c r="J599" s="30">
        <f t="shared" si="9"/>
        <v>9.3132257461547852E-10</v>
      </c>
    </row>
    <row r="600" spans="1:10" x14ac:dyDescent="0.75">
      <c r="A600" s="31" t="s">
        <v>1306</v>
      </c>
      <c r="B600" s="31" t="s">
        <v>1306</v>
      </c>
      <c r="C600" s="1" t="s">
        <v>1315</v>
      </c>
      <c r="E600" s="1">
        <v>18076.240000000002</v>
      </c>
      <c r="F600" s="1" t="s">
        <v>754</v>
      </c>
      <c r="G600" s="1">
        <v>601054.30000000005</v>
      </c>
      <c r="I600" s="30">
        <f>SUM($F$5:$F600)-SUM($E$5:$E600)</f>
        <v>601054.30000000075</v>
      </c>
      <c r="J600" s="30">
        <f t="shared" si="9"/>
        <v>0</v>
      </c>
    </row>
    <row r="601" spans="1:10" x14ac:dyDescent="0.75">
      <c r="A601" s="31" t="s">
        <v>1306</v>
      </c>
      <c r="B601" s="31" t="s">
        <v>1306</v>
      </c>
      <c r="C601" s="1" t="s">
        <v>1316</v>
      </c>
      <c r="E601" s="1">
        <v>21394.94</v>
      </c>
      <c r="F601" s="1" t="s">
        <v>754</v>
      </c>
      <c r="G601" s="1">
        <v>579659.36</v>
      </c>
      <c r="I601" s="30">
        <f>SUM($F$5:$F601)-SUM($E$5:$E601)</f>
        <v>579659.36000000127</v>
      </c>
      <c r="J601" s="30">
        <f t="shared" si="9"/>
        <v>1.280568540096283E-9</v>
      </c>
    </row>
    <row r="602" spans="1:10" x14ac:dyDescent="0.75">
      <c r="A602" s="31" t="s">
        <v>1306</v>
      </c>
      <c r="B602" s="31" t="s">
        <v>1306</v>
      </c>
      <c r="C602" s="1" t="s">
        <v>1317</v>
      </c>
      <c r="E602" s="1">
        <v>37737.15</v>
      </c>
      <c r="F602" s="1" t="s">
        <v>754</v>
      </c>
      <c r="G602" s="1">
        <v>541922.21</v>
      </c>
      <c r="I602" s="30">
        <f>SUM($F$5:$F602)-SUM($E$5:$E602)</f>
        <v>541922.21000000089</v>
      </c>
      <c r="J602" s="30">
        <f t="shared" si="9"/>
        <v>9.3132257461547852E-10</v>
      </c>
    </row>
    <row r="603" spans="1:10" x14ac:dyDescent="0.75">
      <c r="A603" s="31" t="s">
        <v>1306</v>
      </c>
      <c r="B603" s="31" t="s">
        <v>1306</v>
      </c>
      <c r="C603" s="1" t="s">
        <v>1318</v>
      </c>
      <c r="E603" s="1" t="s">
        <v>754</v>
      </c>
      <c r="F603" s="1">
        <v>100.09</v>
      </c>
      <c r="G603" s="1">
        <v>542022.30000000005</v>
      </c>
      <c r="I603" s="30">
        <f>SUM($F$5:$F603)-SUM($E$5:$E603)</f>
        <v>542022.30000000075</v>
      </c>
      <c r="J603" s="30">
        <f t="shared" si="9"/>
        <v>0</v>
      </c>
    </row>
    <row r="604" spans="1:10" x14ac:dyDescent="0.75">
      <c r="A604" s="31" t="s">
        <v>1319</v>
      </c>
      <c r="B604" s="31" t="s">
        <v>1319</v>
      </c>
      <c r="C604" s="1" t="s">
        <v>1253</v>
      </c>
      <c r="E604" s="1" t="s">
        <v>754</v>
      </c>
      <c r="F604" s="1">
        <v>36139.99</v>
      </c>
      <c r="G604" s="1">
        <v>578162.29</v>
      </c>
      <c r="I604" s="30">
        <f>SUM($F$5:$F604)-SUM($E$5:$E604)</f>
        <v>578162.29000000097</v>
      </c>
      <c r="J604" s="30">
        <f t="shared" si="9"/>
        <v>9.3132257461547852E-10</v>
      </c>
    </row>
    <row r="605" spans="1:10" x14ac:dyDescent="0.75">
      <c r="A605" s="31" t="s">
        <v>1319</v>
      </c>
      <c r="B605" s="31" t="s">
        <v>1319</v>
      </c>
      <c r="C605" s="1" t="s">
        <v>773</v>
      </c>
      <c r="E605" s="1" t="s">
        <v>754</v>
      </c>
      <c r="F605" s="1">
        <v>70832.5</v>
      </c>
      <c r="G605" s="1">
        <v>648994.79</v>
      </c>
      <c r="I605" s="30">
        <f>SUM($F$5:$F605)-SUM($E$5:$E605)</f>
        <v>648994.79000000097</v>
      </c>
      <c r="J605" s="30">
        <f t="shared" si="9"/>
        <v>9.3132257461547852E-10</v>
      </c>
    </row>
    <row r="606" spans="1:10" x14ac:dyDescent="0.75">
      <c r="A606" s="31" t="s">
        <v>1319</v>
      </c>
      <c r="B606" s="31" t="s">
        <v>1319</v>
      </c>
      <c r="C606" s="1" t="s">
        <v>1320</v>
      </c>
      <c r="E606" s="1">
        <v>100.09</v>
      </c>
      <c r="F606" s="1" t="s">
        <v>754</v>
      </c>
      <c r="G606" s="1">
        <v>648894.69999999995</v>
      </c>
      <c r="I606" s="30">
        <f>SUM($F$5:$F606)-SUM($E$5:$E606)</f>
        <v>648894.70000000112</v>
      </c>
      <c r="J606" s="30">
        <f t="shared" si="9"/>
        <v>1.1641532182693481E-9</v>
      </c>
    </row>
    <row r="607" spans="1:10" x14ac:dyDescent="0.75">
      <c r="A607" s="31" t="s">
        <v>1319</v>
      </c>
      <c r="B607" s="31" t="s">
        <v>1319</v>
      </c>
      <c r="C607" s="1" t="s">
        <v>1321</v>
      </c>
      <c r="E607" s="1">
        <v>699.03</v>
      </c>
      <c r="F607" s="1" t="s">
        <v>754</v>
      </c>
      <c r="G607" s="1">
        <v>648195.67000000004</v>
      </c>
      <c r="I607" s="30">
        <f>SUM($F$5:$F607)-SUM($E$5:$E607)</f>
        <v>648195.67000000179</v>
      </c>
      <c r="J607" s="30">
        <f t="shared" si="9"/>
        <v>1.7462298274040222E-9</v>
      </c>
    </row>
    <row r="608" spans="1:10" x14ac:dyDescent="0.75">
      <c r="A608" s="31" t="s">
        <v>1319</v>
      </c>
      <c r="B608" s="31" t="s">
        <v>1319</v>
      </c>
      <c r="C608" s="1" t="s">
        <v>1322</v>
      </c>
      <c r="E608" s="1">
        <v>1322.21</v>
      </c>
      <c r="F608" s="1" t="s">
        <v>754</v>
      </c>
      <c r="G608" s="1">
        <v>646873.46</v>
      </c>
      <c r="I608" s="30">
        <f>SUM($F$5:$F608)-SUM($E$5:$E608)</f>
        <v>646873.46000000089</v>
      </c>
      <c r="J608" s="30">
        <f t="shared" si="9"/>
        <v>9.3132257461547852E-10</v>
      </c>
    </row>
    <row r="609" spans="1:10" x14ac:dyDescent="0.75">
      <c r="A609" s="31" t="s">
        <v>1319</v>
      </c>
      <c r="B609" s="31" t="s">
        <v>1319</v>
      </c>
      <c r="C609" s="1" t="s">
        <v>1323</v>
      </c>
      <c r="E609" s="1">
        <v>1570</v>
      </c>
      <c r="F609" s="1" t="s">
        <v>754</v>
      </c>
      <c r="G609" s="1">
        <v>645303.46</v>
      </c>
      <c r="I609" s="30">
        <f>SUM($F$5:$F609)-SUM($E$5:$E609)</f>
        <v>645303.46000000089</v>
      </c>
      <c r="J609" s="30">
        <f t="shared" si="9"/>
        <v>9.3132257461547852E-10</v>
      </c>
    </row>
    <row r="610" spans="1:10" x14ac:dyDescent="0.75">
      <c r="A610" s="31" t="s">
        <v>1319</v>
      </c>
      <c r="B610" s="1" t="s">
        <v>1319</v>
      </c>
      <c r="C610" s="1" t="s">
        <v>1324</v>
      </c>
      <c r="E610" s="1">
        <v>5746.28</v>
      </c>
      <c r="F610" s="1" t="s">
        <v>754</v>
      </c>
      <c r="G610" s="1">
        <v>639557.18000000005</v>
      </c>
      <c r="I610" s="30">
        <f>SUM($F$5:$F610)-SUM($E$5:$E610)</f>
        <v>639557.18000000156</v>
      </c>
      <c r="J610" s="30">
        <f t="shared" si="9"/>
        <v>1.5133991837501526E-9</v>
      </c>
    </row>
    <row r="611" spans="1:10" x14ac:dyDescent="0.75">
      <c r="A611" s="31" t="s">
        <v>1319</v>
      </c>
      <c r="B611" s="31" t="s">
        <v>1319</v>
      </c>
      <c r="C611" s="1" t="s">
        <v>1325</v>
      </c>
      <c r="E611" s="1">
        <v>17698.62</v>
      </c>
      <c r="F611" s="1" t="s">
        <v>754</v>
      </c>
      <c r="G611" s="1">
        <v>621858.56000000006</v>
      </c>
      <c r="I611" s="30">
        <f>SUM($F$5:$F611)-SUM($E$5:$E611)</f>
        <v>621858.56000000238</v>
      </c>
      <c r="J611" s="30">
        <f t="shared" si="9"/>
        <v>2.3283064365386963E-9</v>
      </c>
    </row>
    <row r="612" spans="1:10" x14ac:dyDescent="0.75">
      <c r="A612" s="31" t="s">
        <v>1319</v>
      </c>
      <c r="B612" s="31" t="s">
        <v>1319</v>
      </c>
      <c r="C612" s="1" t="s">
        <v>1326</v>
      </c>
      <c r="E612" s="1">
        <v>18025.88</v>
      </c>
      <c r="F612" s="1" t="s">
        <v>754</v>
      </c>
      <c r="G612" s="1">
        <v>603832.68000000005</v>
      </c>
      <c r="I612" s="30">
        <f>SUM($F$5:$F612)-SUM($E$5:$E612)</f>
        <v>603832.68000000156</v>
      </c>
      <c r="J612" s="30">
        <f t="shared" si="9"/>
        <v>1.5133991837501526E-9</v>
      </c>
    </row>
    <row r="613" spans="1:10" x14ac:dyDescent="0.75">
      <c r="A613" s="31" t="s">
        <v>1319</v>
      </c>
      <c r="B613" s="31" t="s">
        <v>1319</v>
      </c>
      <c r="C613" s="1" t="s">
        <v>1327</v>
      </c>
      <c r="E613" s="1">
        <v>31135.24</v>
      </c>
      <c r="F613" s="1" t="s">
        <v>754</v>
      </c>
      <c r="G613" s="1">
        <v>572697.43999999994</v>
      </c>
      <c r="I613" s="30">
        <f>SUM($F$5:$F613)-SUM($E$5:$E613)</f>
        <v>572697.44000000134</v>
      </c>
      <c r="J613" s="30">
        <f t="shared" si="9"/>
        <v>1.3969838619232178E-9</v>
      </c>
    </row>
    <row r="614" spans="1:10" x14ac:dyDescent="0.75">
      <c r="A614" s="31" t="s">
        <v>1319</v>
      </c>
      <c r="B614" s="31" t="s">
        <v>1319</v>
      </c>
      <c r="C614" s="1" t="s">
        <v>1328</v>
      </c>
      <c r="E614" s="1">
        <v>12</v>
      </c>
      <c r="F614" s="1" t="s">
        <v>754</v>
      </c>
      <c r="G614" s="1">
        <v>572685.43999999994</v>
      </c>
      <c r="I614" s="30">
        <f>SUM($F$5:$F614)-SUM($E$5:$E614)</f>
        <v>572685.44000000134</v>
      </c>
      <c r="J614" s="30">
        <f t="shared" si="9"/>
        <v>1.3969838619232178E-9</v>
      </c>
    </row>
    <row r="615" spans="1:10" x14ac:dyDescent="0.75">
      <c r="A615" s="31" t="s">
        <v>1319</v>
      </c>
      <c r="B615" s="31" t="s">
        <v>1319</v>
      </c>
      <c r="C615" s="1" t="s">
        <v>773</v>
      </c>
      <c r="E615" s="1" t="s">
        <v>754</v>
      </c>
      <c r="F615" s="1">
        <v>17821</v>
      </c>
      <c r="G615" s="1">
        <v>590506.43999999994</v>
      </c>
      <c r="I615" s="30">
        <f>SUM($F$5:$F615)-SUM($E$5:$E615)</f>
        <v>590506.44000000134</v>
      </c>
      <c r="J615" s="30">
        <f t="shared" si="9"/>
        <v>1.3969838619232178E-9</v>
      </c>
    </row>
    <row r="616" spans="1:10" x14ac:dyDescent="0.75">
      <c r="A616" s="31" t="s">
        <v>1329</v>
      </c>
      <c r="B616" s="31" t="s">
        <v>1329</v>
      </c>
      <c r="C616" s="1" t="s">
        <v>1330</v>
      </c>
      <c r="E616" s="1">
        <v>4389.04</v>
      </c>
      <c r="F616" s="1" t="s">
        <v>754</v>
      </c>
      <c r="G616" s="1">
        <v>586117.4</v>
      </c>
      <c r="I616" s="30">
        <f>SUM($F$5:$F616)-SUM($E$5:$E616)</f>
        <v>586117.40000000224</v>
      </c>
      <c r="J616" s="30">
        <f t="shared" si="9"/>
        <v>2.2118911147117615E-9</v>
      </c>
    </row>
    <row r="617" spans="1:10" x14ac:dyDescent="0.75">
      <c r="A617" s="31" t="s">
        <v>1329</v>
      </c>
      <c r="B617" s="31" t="s">
        <v>1329</v>
      </c>
      <c r="C617" s="1" t="s">
        <v>1331</v>
      </c>
      <c r="E617" s="1">
        <v>6317.74</v>
      </c>
      <c r="F617" s="1" t="s">
        <v>754</v>
      </c>
      <c r="G617" s="1">
        <v>579799.66</v>
      </c>
      <c r="I617" s="30">
        <f>SUM($F$5:$F617)-SUM($E$5:$E617)</f>
        <v>579799.66000000201</v>
      </c>
      <c r="J617" s="30">
        <f t="shared" si="9"/>
        <v>1.9790604710578918E-9</v>
      </c>
    </row>
    <row r="618" spans="1:10" x14ac:dyDescent="0.75">
      <c r="A618" s="31" t="s">
        <v>1329</v>
      </c>
      <c r="B618" s="31" t="s">
        <v>1329</v>
      </c>
      <c r="C618" s="1" t="s">
        <v>1332</v>
      </c>
      <c r="E618" s="1">
        <v>6456</v>
      </c>
      <c r="F618" s="1" t="s">
        <v>754</v>
      </c>
      <c r="G618" s="1">
        <v>573343.66</v>
      </c>
      <c r="I618" s="30">
        <f>SUM($F$5:$F618)-SUM($E$5:$E618)</f>
        <v>573343.66000000201</v>
      </c>
      <c r="J618" s="30">
        <f t="shared" si="9"/>
        <v>1.9790604710578918E-9</v>
      </c>
    </row>
    <row r="619" spans="1:10" x14ac:dyDescent="0.75">
      <c r="A619" s="31" t="s">
        <v>1329</v>
      </c>
      <c r="B619" s="31" t="s">
        <v>1329</v>
      </c>
      <c r="C619" s="1" t="s">
        <v>1333</v>
      </c>
      <c r="E619" s="1">
        <v>10350.540000000001</v>
      </c>
      <c r="F619" s="1" t="s">
        <v>754</v>
      </c>
      <c r="G619" s="1">
        <v>562993.12</v>
      </c>
      <c r="I619" s="30">
        <f>SUM($F$5:$F619)-SUM($E$5:$E619)</f>
        <v>562993.12000000291</v>
      </c>
      <c r="J619" s="30">
        <f t="shared" si="9"/>
        <v>2.9103830456733704E-9</v>
      </c>
    </row>
    <row r="620" spans="1:10" x14ac:dyDescent="0.75">
      <c r="A620" s="31" t="s">
        <v>1329</v>
      </c>
      <c r="B620" s="31" t="s">
        <v>1329</v>
      </c>
      <c r="C620" s="1" t="s">
        <v>773</v>
      </c>
      <c r="E620" s="1" t="s">
        <v>754</v>
      </c>
      <c r="F620" s="1">
        <v>12424.4</v>
      </c>
      <c r="G620" s="1">
        <v>575417.52</v>
      </c>
      <c r="I620" s="30">
        <f>SUM($F$5:$F620)-SUM($E$5:$E620)</f>
        <v>575417.52000000328</v>
      </c>
      <c r="J620" s="30">
        <f t="shared" si="9"/>
        <v>3.2596290111541748E-9</v>
      </c>
    </row>
    <row r="621" spans="1:10" x14ac:dyDescent="0.75">
      <c r="A621" s="31" t="s">
        <v>1334</v>
      </c>
      <c r="B621" s="31" t="s">
        <v>1334</v>
      </c>
      <c r="C621" s="1" t="s">
        <v>1335</v>
      </c>
      <c r="E621" s="1">
        <v>2138.85</v>
      </c>
      <c r="F621" s="1" t="s">
        <v>754</v>
      </c>
      <c r="G621" s="1">
        <v>573278.67000000004</v>
      </c>
      <c r="I621" s="30">
        <f>SUM($F$5:$F621)-SUM($E$5:$E621)</f>
        <v>573278.67000000365</v>
      </c>
      <c r="J621" s="30">
        <f t="shared" si="9"/>
        <v>3.6088749766349792E-9</v>
      </c>
    </row>
    <row r="622" spans="1:10" x14ac:dyDescent="0.75">
      <c r="A622" s="1" t="s">
        <v>1334</v>
      </c>
      <c r="B622" s="1" t="s">
        <v>1334</v>
      </c>
      <c r="C622" s="1" t="s">
        <v>1336</v>
      </c>
      <c r="E622" s="1">
        <v>2182.5</v>
      </c>
      <c r="F622" s="1" t="s">
        <v>754</v>
      </c>
      <c r="G622" s="1">
        <v>571096.17000000004</v>
      </c>
      <c r="I622" s="30">
        <f>SUM($F$5:$F622)-SUM($E$5:$E622)</f>
        <v>571096.17000000365</v>
      </c>
      <c r="J622" s="30">
        <f t="shared" si="9"/>
        <v>3.6088749766349792E-9</v>
      </c>
    </row>
    <row r="623" spans="1:10" x14ac:dyDescent="0.75">
      <c r="A623" s="1" t="s">
        <v>1334</v>
      </c>
      <c r="B623" s="1" t="s">
        <v>1334</v>
      </c>
      <c r="C623" s="1" t="s">
        <v>1337</v>
      </c>
      <c r="E623" s="1">
        <v>9913.2900000000009</v>
      </c>
      <c r="F623" s="1" t="s">
        <v>754</v>
      </c>
      <c r="G623" s="1">
        <v>561182.88</v>
      </c>
      <c r="I623" s="30">
        <f>SUM($F$5:$F623)-SUM($E$5:$E623)</f>
        <v>561182.88000000454</v>
      </c>
      <c r="J623" s="30">
        <f t="shared" si="9"/>
        <v>4.5401975512504578E-9</v>
      </c>
    </row>
    <row r="624" spans="1:10" x14ac:dyDescent="0.75">
      <c r="A624" s="1" t="s">
        <v>1334</v>
      </c>
      <c r="B624" s="1" t="s">
        <v>1334</v>
      </c>
      <c r="C624" s="1" t="s">
        <v>1338</v>
      </c>
      <c r="E624" s="1">
        <v>24094.16</v>
      </c>
      <c r="F624" s="1" t="s">
        <v>754</v>
      </c>
      <c r="G624" s="1">
        <v>537088.72</v>
      </c>
      <c r="I624" s="30">
        <f>SUM($F$5:$F624)-SUM($E$5:$E624)</f>
        <v>537088.7200000044</v>
      </c>
      <c r="J624" s="30">
        <f t="shared" si="9"/>
        <v>4.4237822294235229E-9</v>
      </c>
    </row>
    <row r="625" spans="1:10" x14ac:dyDescent="0.75">
      <c r="A625" s="1" t="s">
        <v>1334</v>
      </c>
      <c r="B625" s="1" t="s">
        <v>1334</v>
      </c>
      <c r="C625" s="1" t="s">
        <v>1339</v>
      </c>
      <c r="E625" s="1">
        <v>1931.82</v>
      </c>
      <c r="F625" s="1" t="s">
        <v>754</v>
      </c>
      <c r="G625" s="1">
        <v>535156.9</v>
      </c>
      <c r="I625" s="30">
        <f>SUM($F$5:$F625)-SUM($E$5:$E625)</f>
        <v>535156.9000000041</v>
      </c>
      <c r="J625" s="30">
        <f t="shared" si="9"/>
        <v>4.0745362639427185E-9</v>
      </c>
    </row>
    <row r="626" spans="1:10" x14ac:dyDescent="0.75">
      <c r="A626" s="1" t="s">
        <v>1334</v>
      </c>
      <c r="B626" s="1" t="s">
        <v>1334</v>
      </c>
      <c r="C626" s="1" t="s">
        <v>1340</v>
      </c>
      <c r="E626" s="1">
        <v>2354.36</v>
      </c>
      <c r="F626" s="1" t="s">
        <v>754</v>
      </c>
      <c r="G626" s="1">
        <v>532802.54</v>
      </c>
      <c r="I626" s="30">
        <f>SUM($F$5:$F626)-SUM($E$5:$E626)</f>
        <v>532802.54000000469</v>
      </c>
      <c r="J626" s="30">
        <f t="shared" si="9"/>
        <v>4.6566128730773926E-9</v>
      </c>
    </row>
    <row r="627" spans="1:10" x14ac:dyDescent="0.75">
      <c r="A627" s="1" t="s">
        <v>1334</v>
      </c>
      <c r="B627" s="1" t="s">
        <v>1334</v>
      </c>
      <c r="C627" s="1" t="s">
        <v>1341</v>
      </c>
      <c r="E627" s="1">
        <v>2572.8200000000002</v>
      </c>
      <c r="F627" s="1" t="s">
        <v>754</v>
      </c>
      <c r="G627" s="1">
        <v>530229.72</v>
      </c>
      <c r="I627" s="30">
        <f>SUM($F$5:$F627)-SUM($E$5:$E627)</f>
        <v>530229.7200000044</v>
      </c>
      <c r="J627" s="30">
        <f t="shared" si="9"/>
        <v>4.4237822294235229E-9</v>
      </c>
    </row>
    <row r="628" spans="1:10" x14ac:dyDescent="0.75">
      <c r="A628" s="1" t="s">
        <v>1342</v>
      </c>
      <c r="B628" s="1" t="s">
        <v>1342</v>
      </c>
      <c r="C628" s="1" t="s">
        <v>773</v>
      </c>
      <c r="E628" s="1" t="s">
        <v>754</v>
      </c>
      <c r="F628" s="1">
        <v>43506.09</v>
      </c>
      <c r="G628" s="1">
        <v>573735.81000000006</v>
      </c>
      <c r="I628" s="30">
        <f>SUM($F$5:$F628)-SUM($E$5:$E628)</f>
        <v>573735.81000000425</v>
      </c>
      <c r="J628" s="30">
        <f t="shared" si="9"/>
        <v>4.1909515857696533E-9</v>
      </c>
    </row>
    <row r="629" spans="1:10" x14ac:dyDescent="0.75">
      <c r="A629" s="1" t="s">
        <v>1342</v>
      </c>
      <c r="B629" s="1" t="s">
        <v>1342</v>
      </c>
      <c r="C629" s="1" t="s">
        <v>773</v>
      </c>
      <c r="E629" s="1" t="s">
        <v>754</v>
      </c>
      <c r="F629" s="1">
        <v>134125.06</v>
      </c>
      <c r="G629" s="1">
        <v>707860.87</v>
      </c>
      <c r="I629" s="30">
        <f>SUM($F$5:$F629)-SUM($E$5:$E629)</f>
        <v>707860.87000000477</v>
      </c>
      <c r="J629" s="30">
        <f t="shared" si="9"/>
        <v>4.7730281949043274E-9</v>
      </c>
    </row>
    <row r="630" spans="1:10" x14ac:dyDescent="0.75">
      <c r="A630" s="1" t="s">
        <v>1343</v>
      </c>
      <c r="B630" s="1" t="s">
        <v>1343</v>
      </c>
      <c r="C630" s="1" t="s">
        <v>1344</v>
      </c>
      <c r="E630" s="1">
        <v>1710</v>
      </c>
      <c r="F630" s="1" t="s">
        <v>754</v>
      </c>
      <c r="G630" s="1">
        <v>706150.87</v>
      </c>
      <c r="I630" s="30">
        <f>SUM($F$5:$F630)-SUM($E$5:$E630)</f>
        <v>706150.87000000477</v>
      </c>
      <c r="J630" s="30">
        <f t="shared" si="9"/>
        <v>4.7730281949043274E-9</v>
      </c>
    </row>
    <row r="631" spans="1:10" x14ac:dyDescent="0.75">
      <c r="A631" s="1" t="s">
        <v>1343</v>
      </c>
      <c r="B631" s="1" t="s">
        <v>1343</v>
      </c>
      <c r="C631" s="1" t="s">
        <v>773</v>
      </c>
      <c r="E631" s="1" t="s">
        <v>754</v>
      </c>
      <c r="F631" s="1">
        <v>68399.66</v>
      </c>
      <c r="G631" s="1">
        <v>774550.53</v>
      </c>
      <c r="I631" s="30">
        <f>SUM($F$5:$F631)-SUM($E$5:$E631)</f>
        <v>774550.53000000492</v>
      </c>
      <c r="J631" s="30">
        <f t="shared" si="9"/>
        <v>4.8894435167312622E-9</v>
      </c>
    </row>
    <row r="632" spans="1:10" x14ac:dyDescent="0.75">
      <c r="A632" s="1" t="s">
        <v>1345</v>
      </c>
      <c r="B632" s="1" t="s">
        <v>1345</v>
      </c>
      <c r="C632" s="1" t="s">
        <v>1346</v>
      </c>
      <c r="E632" s="1">
        <v>2329.61</v>
      </c>
      <c r="F632" s="1" t="s">
        <v>754</v>
      </c>
      <c r="G632" s="1">
        <v>772220.92</v>
      </c>
      <c r="I632" s="30">
        <f>SUM($F$5:$F632)-SUM($E$5:$E632)</f>
        <v>772220.92000000551</v>
      </c>
      <c r="J632" s="30">
        <f t="shared" si="9"/>
        <v>5.4715201258659363E-9</v>
      </c>
    </row>
    <row r="633" spans="1:10" x14ac:dyDescent="0.75">
      <c r="A633" s="1" t="s">
        <v>1345</v>
      </c>
      <c r="B633" s="1" t="s">
        <v>1345</v>
      </c>
      <c r="C633" s="1" t="s">
        <v>1347</v>
      </c>
      <c r="E633" s="1">
        <v>3406.67</v>
      </c>
      <c r="F633" s="1" t="s">
        <v>754</v>
      </c>
      <c r="G633" s="1">
        <v>768814.25</v>
      </c>
      <c r="I633" s="30">
        <f>SUM($F$5:$F633)-SUM($E$5:$E633)</f>
        <v>768814.25000000559</v>
      </c>
      <c r="J633" s="30">
        <f t="shared" si="9"/>
        <v>5.5879354476928711E-9</v>
      </c>
    </row>
    <row r="634" spans="1:10" x14ac:dyDescent="0.75">
      <c r="A634" s="1" t="s">
        <v>1345</v>
      </c>
      <c r="B634" s="1" t="s">
        <v>1345</v>
      </c>
      <c r="C634" s="1" t="s">
        <v>1348</v>
      </c>
      <c r="E634" s="1">
        <v>20595.8</v>
      </c>
      <c r="F634" s="1" t="s">
        <v>754</v>
      </c>
      <c r="G634" s="1">
        <v>748218.45</v>
      </c>
      <c r="I634" s="30">
        <f>SUM($F$5:$F634)-SUM($E$5:$E634)</f>
        <v>748218.45000000484</v>
      </c>
      <c r="J634" s="30">
        <f t="shared" si="9"/>
        <v>4.8894435167312622E-9</v>
      </c>
    </row>
    <row r="635" spans="1:10" x14ac:dyDescent="0.75">
      <c r="A635" s="1" t="s">
        <v>1345</v>
      </c>
      <c r="B635" s="1" t="s">
        <v>1345</v>
      </c>
      <c r="C635" s="1" t="s">
        <v>1339</v>
      </c>
      <c r="E635" s="1">
        <v>1339.04</v>
      </c>
      <c r="F635" s="1" t="s">
        <v>754</v>
      </c>
      <c r="G635" s="1">
        <v>746879.41</v>
      </c>
      <c r="I635" s="30">
        <f>SUM($F$5:$F635)-SUM($E$5:$E635)</f>
        <v>746879.41000000574</v>
      </c>
      <c r="J635" s="30">
        <f t="shared" si="9"/>
        <v>5.7043507695198059E-9</v>
      </c>
    </row>
    <row r="636" spans="1:10" x14ac:dyDescent="0.75">
      <c r="A636" s="1" t="s">
        <v>1345</v>
      </c>
      <c r="B636" s="1" t="s">
        <v>1345</v>
      </c>
      <c r="C636" s="1" t="s">
        <v>1349</v>
      </c>
      <c r="E636" s="1">
        <v>864.27</v>
      </c>
      <c r="F636" s="1" t="s">
        <v>754</v>
      </c>
      <c r="G636" s="1">
        <v>746015.14</v>
      </c>
      <c r="I636" s="30">
        <f>SUM($F$5:$F636)-SUM($E$5:$E636)</f>
        <v>746015.14000000618</v>
      </c>
      <c r="J636" s="30">
        <f t="shared" si="9"/>
        <v>6.1700120568275452E-9</v>
      </c>
    </row>
    <row r="637" spans="1:10" x14ac:dyDescent="0.75">
      <c r="A637" s="1" t="s">
        <v>1345</v>
      </c>
      <c r="B637" s="1" t="s">
        <v>1345</v>
      </c>
      <c r="C637" s="1" t="s">
        <v>1350</v>
      </c>
      <c r="E637" s="1">
        <v>7930.64</v>
      </c>
      <c r="F637" s="1" t="s">
        <v>754</v>
      </c>
      <c r="G637" s="1">
        <v>738084.5</v>
      </c>
      <c r="I637" s="30">
        <f>SUM($F$5:$F637)-SUM($E$5:$E637)</f>
        <v>738084.50000000559</v>
      </c>
      <c r="J637" s="30">
        <f t="shared" si="9"/>
        <v>5.5879354476928711E-9</v>
      </c>
    </row>
    <row r="638" spans="1:10" x14ac:dyDescent="0.75">
      <c r="A638" s="1" t="s">
        <v>1345</v>
      </c>
      <c r="B638" s="1" t="s">
        <v>1345</v>
      </c>
      <c r="C638" s="1" t="s">
        <v>773</v>
      </c>
      <c r="E638" s="1" t="s">
        <v>754</v>
      </c>
      <c r="F638" s="1">
        <v>411651.24</v>
      </c>
      <c r="G638" s="1">
        <v>1149735.74</v>
      </c>
      <c r="I638" s="30">
        <f>SUM($F$5:$F638)-SUM($E$5:$E638)</f>
        <v>1149735.7400000058</v>
      </c>
      <c r="J638" s="30">
        <f t="shared" si="9"/>
        <v>5.8207660913467407E-9</v>
      </c>
    </row>
    <row r="639" spans="1:10" x14ac:dyDescent="0.75">
      <c r="A639" s="1" t="s">
        <v>1351</v>
      </c>
      <c r="B639" s="1" t="s">
        <v>1351</v>
      </c>
      <c r="C639" s="1" t="s">
        <v>1352</v>
      </c>
      <c r="E639" s="1">
        <v>800</v>
      </c>
      <c r="F639" s="1" t="s">
        <v>754</v>
      </c>
      <c r="G639" s="1">
        <v>1148935.74</v>
      </c>
      <c r="I639" s="30">
        <f>SUM($F$5:$F639)-SUM($E$5:$E639)</f>
        <v>1148935.7400000058</v>
      </c>
      <c r="J639" s="30">
        <f t="shared" si="9"/>
        <v>5.8207660913467407E-9</v>
      </c>
    </row>
    <row r="640" spans="1:10" x14ac:dyDescent="0.75">
      <c r="A640" s="1" t="s">
        <v>1351</v>
      </c>
      <c r="B640" s="1" t="s">
        <v>1351</v>
      </c>
      <c r="C640" s="1" t="s">
        <v>1353</v>
      </c>
      <c r="E640" s="1">
        <v>886.49</v>
      </c>
      <c r="F640" s="1" t="s">
        <v>754</v>
      </c>
      <c r="G640" s="1">
        <v>1148049.25</v>
      </c>
      <c r="I640" s="30">
        <f>SUM($F$5:$F640)-SUM($E$5:$E640)</f>
        <v>1148049.2500000056</v>
      </c>
      <c r="J640" s="30">
        <f t="shared" si="9"/>
        <v>5.5879354476928711E-9</v>
      </c>
    </row>
    <row r="641" spans="1:10" x14ac:dyDescent="0.75">
      <c r="A641" s="1" t="s">
        <v>1351</v>
      </c>
      <c r="B641" s="1" t="s">
        <v>1351</v>
      </c>
      <c r="C641" s="1" t="s">
        <v>1354</v>
      </c>
      <c r="E641" s="1">
        <v>900</v>
      </c>
      <c r="F641" s="1" t="s">
        <v>754</v>
      </c>
      <c r="G641" s="1">
        <v>1147149.25</v>
      </c>
      <c r="I641" s="30">
        <f>SUM($F$5:$F641)-SUM($E$5:$E641)</f>
        <v>1147149.2500000056</v>
      </c>
      <c r="J641" s="30">
        <f t="shared" si="9"/>
        <v>5.5879354476928711E-9</v>
      </c>
    </row>
    <row r="642" spans="1:10" x14ac:dyDescent="0.75">
      <c r="A642" s="1" t="s">
        <v>1351</v>
      </c>
      <c r="B642" s="1" t="s">
        <v>1351</v>
      </c>
      <c r="C642" s="1" t="s">
        <v>1355</v>
      </c>
      <c r="E642" s="1">
        <v>2182.48</v>
      </c>
      <c r="F642" s="1" t="s">
        <v>754</v>
      </c>
      <c r="G642" s="1">
        <v>1144966.77</v>
      </c>
      <c r="I642" s="30">
        <f>SUM($F$5:$F642)-SUM($E$5:$E642)</f>
        <v>1144966.7700000051</v>
      </c>
      <c r="J642" s="30">
        <f t="shared" si="9"/>
        <v>5.1222741603851318E-9</v>
      </c>
    </row>
    <row r="643" spans="1:10" x14ac:dyDescent="0.75">
      <c r="A643" s="1" t="s">
        <v>1351</v>
      </c>
      <c r="B643" s="1" t="s">
        <v>1351</v>
      </c>
      <c r="C643" s="1" t="s">
        <v>1356</v>
      </c>
      <c r="E643" s="1">
        <v>5200</v>
      </c>
      <c r="F643" s="1" t="s">
        <v>754</v>
      </c>
      <c r="G643" s="1">
        <v>1139766.77</v>
      </c>
      <c r="I643" s="30">
        <f>SUM($F$5:$F643)-SUM($E$5:$E643)</f>
        <v>1139766.7700000051</v>
      </c>
      <c r="J643" s="30">
        <f t="shared" si="9"/>
        <v>5.1222741603851318E-9</v>
      </c>
    </row>
    <row r="644" spans="1:10" x14ac:dyDescent="0.75">
      <c r="A644" s="1" t="s">
        <v>1351</v>
      </c>
      <c r="B644" s="1" t="s">
        <v>1351</v>
      </c>
      <c r="C644" s="1" t="s">
        <v>1357</v>
      </c>
      <c r="E644" s="1">
        <v>5891.99</v>
      </c>
      <c r="F644" s="1" t="s">
        <v>754</v>
      </c>
      <c r="G644" s="1">
        <v>1133874.78</v>
      </c>
      <c r="I644" s="30">
        <f>SUM($F$5:$F644)-SUM($E$5:$E644)</f>
        <v>1133874.7800000049</v>
      </c>
      <c r="J644" s="30">
        <f t="shared" si="9"/>
        <v>4.8894435167312622E-9</v>
      </c>
    </row>
    <row r="645" spans="1:10" x14ac:dyDescent="0.75">
      <c r="A645" s="1" t="s">
        <v>1351</v>
      </c>
      <c r="B645" s="1" t="s">
        <v>1351</v>
      </c>
      <c r="C645" s="1" t="s">
        <v>1358</v>
      </c>
      <c r="E645" s="1">
        <v>2211.6</v>
      </c>
      <c r="F645" s="1" t="s">
        <v>754</v>
      </c>
      <c r="G645" s="1">
        <v>1131663.18</v>
      </c>
      <c r="I645" s="30">
        <f>SUM($F$5:$F645)-SUM($E$5:$E645)</f>
        <v>1131663.1800000053</v>
      </c>
      <c r="J645" s="30">
        <f t="shared" si="9"/>
        <v>5.3551048040390015E-9</v>
      </c>
    </row>
    <row r="646" spans="1:10" x14ac:dyDescent="0.75">
      <c r="A646" s="1" t="s">
        <v>1351</v>
      </c>
      <c r="B646" s="1" t="s">
        <v>1351</v>
      </c>
      <c r="C646" s="1" t="s">
        <v>1359</v>
      </c>
      <c r="E646" s="1">
        <v>8856.1</v>
      </c>
      <c r="F646" s="1" t="s">
        <v>754</v>
      </c>
      <c r="G646" s="1">
        <v>1122807.08</v>
      </c>
      <c r="I646" s="30">
        <f>SUM($F$5:$F646)-SUM($E$5:$E646)</f>
        <v>1122807.0800000057</v>
      </c>
      <c r="J646" s="30">
        <f t="shared" ref="J646:J709" si="10">I646-G646</f>
        <v>5.5879354476928711E-9</v>
      </c>
    </row>
    <row r="647" spans="1:10" x14ac:dyDescent="0.75">
      <c r="A647" s="1" t="s">
        <v>1351</v>
      </c>
      <c r="B647" s="1" t="s">
        <v>1351</v>
      </c>
      <c r="C647" s="1" t="s">
        <v>1360</v>
      </c>
      <c r="E647" s="1">
        <v>8907.15</v>
      </c>
      <c r="F647" s="1" t="s">
        <v>754</v>
      </c>
      <c r="G647" s="1">
        <v>1113899.93</v>
      </c>
      <c r="I647" s="30">
        <f>SUM($F$5:$F647)-SUM($E$5:$E647)</f>
        <v>1113899.9300000053</v>
      </c>
      <c r="J647" s="30">
        <f t="shared" si="10"/>
        <v>5.3551048040390015E-9</v>
      </c>
    </row>
    <row r="648" spans="1:10" x14ac:dyDescent="0.75">
      <c r="A648" s="1" t="s">
        <v>1351</v>
      </c>
      <c r="B648" s="1" t="s">
        <v>1351</v>
      </c>
      <c r="C648" s="1" t="s">
        <v>773</v>
      </c>
      <c r="E648" s="1" t="s">
        <v>754</v>
      </c>
      <c r="F648" s="1">
        <v>80279.03</v>
      </c>
      <c r="G648" s="1">
        <v>1194178.96</v>
      </c>
      <c r="I648" s="30">
        <f>SUM($F$5:$F648)-SUM($E$5:$E648)</f>
        <v>1194178.9600000046</v>
      </c>
      <c r="J648" s="30">
        <f t="shared" si="10"/>
        <v>4.6566128730773926E-9</v>
      </c>
    </row>
    <row r="649" spans="1:10" x14ac:dyDescent="0.75">
      <c r="A649" s="1" t="s">
        <v>1361</v>
      </c>
      <c r="B649" s="1" t="s">
        <v>1361</v>
      </c>
      <c r="C649" s="1" t="s">
        <v>1362</v>
      </c>
      <c r="E649" s="1">
        <v>1796.78</v>
      </c>
      <c r="F649" s="1" t="s">
        <v>754</v>
      </c>
      <c r="G649" s="1">
        <v>1192382.18</v>
      </c>
      <c r="I649" s="30">
        <f>SUM($F$5:$F649)-SUM($E$5:$E649)</f>
        <v>1192382.1800000053</v>
      </c>
      <c r="J649" s="30">
        <f t="shared" si="10"/>
        <v>5.3551048040390015E-9</v>
      </c>
    </row>
    <row r="650" spans="1:10" x14ac:dyDescent="0.75">
      <c r="A650" s="1" t="s">
        <v>1361</v>
      </c>
      <c r="B650" s="1" t="s">
        <v>1361</v>
      </c>
      <c r="C650" s="1" t="s">
        <v>1363</v>
      </c>
      <c r="E650" s="1">
        <v>1999.41</v>
      </c>
      <c r="F650" s="1" t="s">
        <v>754</v>
      </c>
      <c r="G650" s="1">
        <v>1190382.77</v>
      </c>
      <c r="I650" s="30">
        <f>SUM($F$5:$F650)-SUM($E$5:$E650)</f>
        <v>1190382.7700000051</v>
      </c>
      <c r="J650" s="30">
        <f t="shared" si="10"/>
        <v>5.1222741603851318E-9</v>
      </c>
    </row>
    <row r="651" spans="1:10" x14ac:dyDescent="0.75">
      <c r="A651" s="1" t="s">
        <v>1361</v>
      </c>
      <c r="B651" s="1" t="s">
        <v>1361</v>
      </c>
      <c r="C651" s="1" t="s">
        <v>1364</v>
      </c>
      <c r="E651" s="1">
        <v>2280</v>
      </c>
      <c r="F651" s="1" t="s">
        <v>754</v>
      </c>
      <c r="G651" s="1">
        <v>1188102.77</v>
      </c>
      <c r="I651" s="30">
        <f>SUM($F$5:$F651)-SUM($E$5:$E651)</f>
        <v>1188102.7700000051</v>
      </c>
      <c r="J651" s="30">
        <f t="shared" si="10"/>
        <v>5.1222741603851318E-9</v>
      </c>
    </row>
    <row r="652" spans="1:10" x14ac:dyDescent="0.75">
      <c r="A652" s="1" t="s">
        <v>1361</v>
      </c>
      <c r="B652" s="1" t="s">
        <v>1361</v>
      </c>
      <c r="C652" s="1" t="s">
        <v>773</v>
      </c>
      <c r="E652" s="1" t="s">
        <v>754</v>
      </c>
      <c r="F652" s="1">
        <v>34915.43</v>
      </c>
      <c r="G652" s="1">
        <v>1223018.2</v>
      </c>
      <c r="I652" s="30">
        <f>SUM($F$5:$F652)-SUM($E$5:$E652)</f>
        <v>1223018.2000000048</v>
      </c>
      <c r="J652" s="30">
        <f t="shared" si="10"/>
        <v>4.8894435167312622E-9</v>
      </c>
    </row>
    <row r="653" spans="1:10" x14ac:dyDescent="0.75">
      <c r="A653" s="1" t="s">
        <v>1365</v>
      </c>
      <c r="B653" s="1" t="s">
        <v>1365</v>
      </c>
      <c r="C653" s="1" t="s">
        <v>1366</v>
      </c>
      <c r="E653" s="1">
        <v>636.5</v>
      </c>
      <c r="F653" s="1" t="s">
        <v>754</v>
      </c>
      <c r="G653" s="1">
        <v>1222381.7</v>
      </c>
      <c r="I653" s="30">
        <f>SUM($F$5:$F653)-SUM($E$5:$E653)</f>
        <v>1222381.7000000048</v>
      </c>
      <c r="J653" s="30">
        <f t="shared" si="10"/>
        <v>4.8894435167312622E-9</v>
      </c>
    </row>
    <row r="654" spans="1:10" x14ac:dyDescent="0.75">
      <c r="A654" s="1" t="s">
        <v>1365</v>
      </c>
      <c r="B654" s="1" t="s">
        <v>1365</v>
      </c>
      <c r="C654" s="1" t="s">
        <v>1367</v>
      </c>
      <c r="E654" s="1">
        <v>2025</v>
      </c>
      <c r="F654" s="1" t="s">
        <v>754</v>
      </c>
      <c r="G654" s="1">
        <v>1220356.7</v>
      </c>
      <c r="I654" s="30">
        <f>SUM($F$5:$F654)-SUM($E$5:$E654)</f>
        <v>1220356.7000000048</v>
      </c>
      <c r="J654" s="30">
        <f t="shared" si="10"/>
        <v>4.8894435167312622E-9</v>
      </c>
    </row>
    <row r="655" spans="1:10" x14ac:dyDescent="0.75">
      <c r="A655" s="1" t="s">
        <v>1365</v>
      </c>
      <c r="B655" s="1" t="s">
        <v>1365</v>
      </c>
      <c r="C655" s="1" t="s">
        <v>1368</v>
      </c>
      <c r="E655" s="1">
        <v>2856.4</v>
      </c>
      <c r="F655" s="1" t="s">
        <v>754</v>
      </c>
      <c r="G655" s="1">
        <v>1217500.3</v>
      </c>
      <c r="I655" s="30">
        <f>SUM($F$5:$F655)-SUM($E$5:$E655)</f>
        <v>1217500.3000000045</v>
      </c>
      <c r="J655" s="30">
        <f t="shared" si="10"/>
        <v>4.4237822294235229E-9</v>
      </c>
    </row>
    <row r="656" spans="1:10" x14ac:dyDescent="0.75">
      <c r="A656" s="1" t="s">
        <v>1365</v>
      </c>
      <c r="B656" s="1" t="s">
        <v>1365</v>
      </c>
      <c r="C656" s="1" t="s">
        <v>1369</v>
      </c>
      <c r="E656" s="1">
        <v>6231.65</v>
      </c>
      <c r="F656" s="1" t="s">
        <v>754</v>
      </c>
      <c r="G656" s="1">
        <v>1211268.6499999999</v>
      </c>
      <c r="I656" s="30">
        <f>SUM($F$5:$F656)-SUM($E$5:$E656)</f>
        <v>1211268.6500000041</v>
      </c>
      <c r="J656" s="30">
        <f t="shared" si="10"/>
        <v>4.1909515857696533E-9</v>
      </c>
    </row>
    <row r="657" spans="1:10" x14ac:dyDescent="0.75">
      <c r="A657" s="1" t="s">
        <v>1365</v>
      </c>
      <c r="B657" s="1" t="s">
        <v>1365</v>
      </c>
      <c r="C657" s="1" t="s">
        <v>1370</v>
      </c>
      <c r="E657" s="1">
        <v>7307.82</v>
      </c>
      <c r="F657" s="1" t="s">
        <v>754</v>
      </c>
      <c r="G657" s="1">
        <v>1203960.83</v>
      </c>
      <c r="I657" s="30">
        <f>SUM($F$5:$F657)-SUM($E$5:$E657)</f>
        <v>1203960.8300000038</v>
      </c>
      <c r="J657" s="30">
        <f t="shared" si="10"/>
        <v>3.7252902984619141E-9</v>
      </c>
    </row>
    <row r="658" spans="1:10" x14ac:dyDescent="0.75">
      <c r="A658" s="1" t="s">
        <v>1365</v>
      </c>
      <c r="B658" s="1" t="s">
        <v>1365</v>
      </c>
      <c r="C658" s="1" t="s">
        <v>1371</v>
      </c>
      <c r="E658" s="1">
        <v>13650</v>
      </c>
      <c r="F658" s="1" t="s">
        <v>754</v>
      </c>
      <c r="G658" s="1">
        <v>1190310.83</v>
      </c>
      <c r="I658" s="30">
        <f>SUM($F$5:$F658)-SUM($E$5:$E658)</f>
        <v>1190310.8300000038</v>
      </c>
      <c r="J658" s="30">
        <f t="shared" si="10"/>
        <v>3.7252902984619141E-9</v>
      </c>
    </row>
    <row r="659" spans="1:10" x14ac:dyDescent="0.75">
      <c r="A659" s="1" t="s">
        <v>1365</v>
      </c>
      <c r="B659" s="1" t="s">
        <v>1365</v>
      </c>
      <c r="C659" s="1" t="s">
        <v>1372</v>
      </c>
      <c r="E659" s="1">
        <v>13837.47</v>
      </c>
      <c r="F659" s="1" t="s">
        <v>754</v>
      </c>
      <c r="G659" s="1">
        <v>1176473.3600000001</v>
      </c>
      <c r="I659" s="30">
        <f>SUM($F$5:$F659)-SUM($E$5:$E659)</f>
        <v>1176473.3600000031</v>
      </c>
      <c r="J659" s="30">
        <f t="shared" si="10"/>
        <v>3.0267983675003052E-9</v>
      </c>
    </row>
    <row r="660" spans="1:10" x14ac:dyDescent="0.75">
      <c r="A660" s="1" t="s">
        <v>1365</v>
      </c>
      <c r="B660" s="1" t="s">
        <v>1365</v>
      </c>
      <c r="C660" s="1" t="s">
        <v>1373</v>
      </c>
      <c r="E660" s="1">
        <v>18152.2</v>
      </c>
      <c r="F660" s="1" t="s">
        <v>754</v>
      </c>
      <c r="G660" s="1">
        <v>1158321.1599999999</v>
      </c>
      <c r="I660" s="30">
        <f>SUM($F$5:$F660)-SUM($E$5:$E660)</f>
        <v>1158321.1600000039</v>
      </c>
      <c r="J660" s="30">
        <f t="shared" si="10"/>
        <v>3.9581209421157837E-9</v>
      </c>
    </row>
    <row r="661" spans="1:10" x14ac:dyDescent="0.75">
      <c r="A661" s="1" t="s">
        <v>1365</v>
      </c>
      <c r="B661" s="1" t="s">
        <v>1365</v>
      </c>
      <c r="C661" s="1" t="s">
        <v>1374</v>
      </c>
      <c r="E661" s="1">
        <v>18906.23</v>
      </c>
      <c r="F661" s="1" t="s">
        <v>754</v>
      </c>
      <c r="G661" s="1">
        <v>1139414.93</v>
      </c>
      <c r="I661" s="30">
        <f>SUM($F$5:$F661)-SUM($E$5:$E661)</f>
        <v>1139414.9300000034</v>
      </c>
      <c r="J661" s="30">
        <f t="shared" si="10"/>
        <v>3.4924596548080444E-9</v>
      </c>
    </row>
    <row r="662" spans="1:10" x14ac:dyDescent="0.75">
      <c r="A662" s="1" t="s">
        <v>1365</v>
      </c>
      <c r="B662" s="1" t="s">
        <v>1365</v>
      </c>
      <c r="C662" s="1" t="s">
        <v>1375</v>
      </c>
      <c r="E662" s="1">
        <v>18925.5</v>
      </c>
      <c r="F662" s="1" t="s">
        <v>754</v>
      </c>
      <c r="G662" s="1">
        <v>1120489.43</v>
      </c>
      <c r="I662" s="30">
        <f>SUM($F$5:$F662)-SUM($E$5:$E662)</f>
        <v>1120489.4300000034</v>
      </c>
      <c r="J662" s="30">
        <f t="shared" si="10"/>
        <v>3.4924596548080444E-9</v>
      </c>
    </row>
    <row r="663" spans="1:10" x14ac:dyDescent="0.75">
      <c r="A663" s="1" t="s">
        <v>1365</v>
      </c>
      <c r="B663" s="1" t="s">
        <v>1365</v>
      </c>
      <c r="F663" s="1" t="s">
        <v>754</v>
      </c>
      <c r="G663" s="30">
        <v>1120489.43</v>
      </c>
      <c r="I663" s="30">
        <f>SUM($F$5:$F663)-SUM($E$5:$E663)</f>
        <v>1120489.4300000034</v>
      </c>
      <c r="J663" s="30">
        <f t="shared" si="10"/>
        <v>3.4924596548080444E-9</v>
      </c>
    </row>
    <row r="664" spans="1:10" x14ac:dyDescent="0.75">
      <c r="A664" s="1" t="s">
        <v>1376</v>
      </c>
      <c r="B664" s="1" t="s">
        <v>1376</v>
      </c>
      <c r="C664" s="1" t="s">
        <v>1339</v>
      </c>
      <c r="E664" s="1">
        <v>131.71</v>
      </c>
      <c r="F664" s="1" t="s">
        <v>754</v>
      </c>
      <c r="G664" s="30">
        <v>1120357.72</v>
      </c>
      <c r="I664" s="30">
        <f>SUM($F$5:$F664)-SUM($E$5:$E664)</f>
        <v>1120357.7200000025</v>
      </c>
      <c r="J664" s="30">
        <f t="shared" si="10"/>
        <v>2.5611370801925659E-9</v>
      </c>
    </row>
    <row r="665" spans="1:10" x14ac:dyDescent="0.75">
      <c r="A665" s="1" t="s">
        <v>1376</v>
      </c>
      <c r="B665" s="1" t="s">
        <v>1376</v>
      </c>
      <c r="C665" s="1" t="s">
        <v>1339</v>
      </c>
      <c r="E665" s="30">
        <v>16000</v>
      </c>
      <c r="F665" s="1" t="s">
        <v>754</v>
      </c>
      <c r="G665" s="30">
        <v>1104357.72</v>
      </c>
      <c r="I665" s="30">
        <f>SUM($F$5:$F665)-SUM($E$5:$E665)</f>
        <v>1104357.7200000025</v>
      </c>
      <c r="J665" s="30">
        <f t="shared" si="10"/>
        <v>2.5611370801925659E-9</v>
      </c>
    </row>
    <row r="666" spans="1:10" x14ac:dyDescent="0.75">
      <c r="A666" s="1" t="s">
        <v>1376</v>
      </c>
      <c r="C666" s="1" t="s">
        <v>773</v>
      </c>
      <c r="E666" s="1" t="s">
        <v>754</v>
      </c>
      <c r="F666" s="1">
        <v>54746.45</v>
      </c>
      <c r="G666" s="1">
        <v>1159104.17</v>
      </c>
      <c r="I666" s="30">
        <f>SUM($F$5:$F666)-SUM($E$5:$E666)</f>
        <v>1159104.1700000018</v>
      </c>
      <c r="J666" s="30">
        <f t="shared" si="10"/>
        <v>1.862645149230957E-9</v>
      </c>
    </row>
    <row r="667" spans="1:10" x14ac:dyDescent="0.75">
      <c r="A667" s="31">
        <v>43508</v>
      </c>
      <c r="B667" s="31">
        <v>43508</v>
      </c>
      <c r="C667" s="1" t="s">
        <v>1377</v>
      </c>
      <c r="E667" s="1">
        <v>178220.55</v>
      </c>
      <c r="F667" s="1" t="s">
        <v>754</v>
      </c>
      <c r="G667" s="1">
        <v>980883.62</v>
      </c>
      <c r="I667" s="30">
        <f>SUM($F$5:$F667)-SUM($E$5:$E667)</f>
        <v>980883.62000000104</v>
      </c>
      <c r="J667" s="30">
        <f t="shared" si="10"/>
        <v>1.0477378964424133E-9</v>
      </c>
    </row>
    <row r="668" spans="1:10" x14ac:dyDescent="0.75">
      <c r="A668" s="31">
        <v>43508</v>
      </c>
      <c r="B668" s="31">
        <v>43508</v>
      </c>
      <c r="C668" s="1" t="s">
        <v>1378</v>
      </c>
      <c r="E668" s="1">
        <v>3616.2</v>
      </c>
      <c r="F668" s="1" t="s">
        <v>754</v>
      </c>
      <c r="G668" s="1">
        <v>977267.42</v>
      </c>
      <c r="I668" s="30">
        <f>SUM($F$5:$F668)-SUM($E$5:$E668)</f>
        <v>977267.42000000179</v>
      </c>
      <c r="J668" s="30">
        <f t="shared" si="10"/>
        <v>1.7462298274040222E-9</v>
      </c>
    </row>
    <row r="669" spans="1:10" x14ac:dyDescent="0.75">
      <c r="A669" s="31">
        <v>43508</v>
      </c>
      <c r="B669" s="31">
        <v>43508</v>
      </c>
      <c r="C669" s="1" t="s">
        <v>1379</v>
      </c>
      <c r="E669" s="1">
        <v>13669.34</v>
      </c>
      <c r="F669" s="1" t="s">
        <v>754</v>
      </c>
      <c r="G669" s="1">
        <v>963598.08</v>
      </c>
      <c r="I669" s="30">
        <f>SUM($F$5:$F669)-SUM($E$5:$E669)</f>
        <v>963598.08000000194</v>
      </c>
      <c r="J669" s="30">
        <f t="shared" si="10"/>
        <v>1.9790604710578918E-9</v>
      </c>
    </row>
    <row r="670" spans="1:10" x14ac:dyDescent="0.75">
      <c r="A670" s="31">
        <v>43508</v>
      </c>
      <c r="B670" s="31">
        <v>43508</v>
      </c>
      <c r="C670" s="1" t="s">
        <v>1380</v>
      </c>
      <c r="E670" s="1">
        <v>17705.060000000001</v>
      </c>
      <c r="F670" s="1" t="s">
        <v>754</v>
      </c>
      <c r="G670" s="1">
        <v>945893.02</v>
      </c>
      <c r="I670" s="30">
        <f>SUM($F$5:$F670)-SUM($E$5:$E670)</f>
        <v>945893.02000000142</v>
      </c>
      <c r="J670" s="30">
        <f t="shared" si="10"/>
        <v>1.3969838619232178E-9</v>
      </c>
    </row>
    <row r="671" spans="1:10" x14ac:dyDescent="0.75">
      <c r="A671" s="31">
        <v>43508</v>
      </c>
      <c r="B671" s="31">
        <v>43508</v>
      </c>
      <c r="C671" s="1" t="s">
        <v>1381</v>
      </c>
      <c r="E671" s="1">
        <v>31470.639999999999</v>
      </c>
      <c r="F671" s="1" t="s">
        <v>754</v>
      </c>
      <c r="G671" s="1">
        <v>914422.38</v>
      </c>
      <c r="I671" s="30">
        <f>SUM($F$5:$F671)-SUM($E$5:$E671)</f>
        <v>914422.38000000082</v>
      </c>
      <c r="J671" s="30">
        <f t="shared" si="10"/>
        <v>0</v>
      </c>
    </row>
    <row r="672" spans="1:10" x14ac:dyDescent="0.75">
      <c r="A672" s="31">
        <v>43508</v>
      </c>
      <c r="B672" s="31">
        <v>43508</v>
      </c>
      <c r="C672" s="1" t="s">
        <v>1382</v>
      </c>
      <c r="E672" s="1">
        <v>34532.5</v>
      </c>
      <c r="F672" s="1" t="s">
        <v>754</v>
      </c>
      <c r="G672" s="1">
        <v>879889.88</v>
      </c>
      <c r="I672" s="30">
        <f>SUM($F$5:$F672)-SUM($E$5:$E672)</f>
        <v>879889.88000000082</v>
      </c>
      <c r="J672" s="30">
        <f t="shared" si="10"/>
        <v>0</v>
      </c>
    </row>
    <row r="673" spans="1:10" x14ac:dyDescent="0.75">
      <c r="A673" s="31">
        <v>43508</v>
      </c>
      <c r="B673" s="31">
        <v>43508</v>
      </c>
      <c r="C673" s="1" t="s">
        <v>773</v>
      </c>
      <c r="E673" s="1" t="s">
        <v>754</v>
      </c>
      <c r="F673" s="1">
        <v>72236.98</v>
      </c>
      <c r="G673" s="1">
        <v>952126.86</v>
      </c>
      <c r="I673" s="30">
        <f>SUM($F$5:$F673)-SUM($E$5:$E673)</f>
        <v>952126.86000000127</v>
      </c>
      <c r="J673" s="30">
        <f t="shared" si="10"/>
        <v>1.280568540096283E-9</v>
      </c>
    </row>
    <row r="674" spans="1:10" x14ac:dyDescent="0.75">
      <c r="A674" s="31">
        <v>43536</v>
      </c>
      <c r="B674" s="31">
        <v>43536</v>
      </c>
      <c r="C674" s="1" t="s">
        <v>1383</v>
      </c>
      <c r="E674" s="1">
        <v>1120</v>
      </c>
      <c r="F674" s="1" t="s">
        <v>754</v>
      </c>
      <c r="G674" s="1">
        <v>951006.86</v>
      </c>
      <c r="I674" s="30">
        <f>SUM($F$5:$F674)-SUM($E$5:$E674)</f>
        <v>951006.86000000127</v>
      </c>
      <c r="J674" s="30">
        <f t="shared" si="10"/>
        <v>1.280568540096283E-9</v>
      </c>
    </row>
    <row r="675" spans="1:10" x14ac:dyDescent="0.75">
      <c r="A675" s="31">
        <v>43536</v>
      </c>
      <c r="B675" s="31">
        <v>43536</v>
      </c>
      <c r="C675" s="1" t="s">
        <v>1384</v>
      </c>
      <c r="E675" s="1">
        <v>1300</v>
      </c>
      <c r="F675" s="1" t="s">
        <v>754</v>
      </c>
      <c r="G675" s="1">
        <v>949706.86</v>
      </c>
      <c r="I675" s="30">
        <f>SUM($F$5:$F675)-SUM($E$5:$E675)</f>
        <v>949706.86000000127</v>
      </c>
      <c r="J675" s="30">
        <f t="shared" si="10"/>
        <v>1.280568540096283E-9</v>
      </c>
    </row>
    <row r="676" spans="1:10" x14ac:dyDescent="0.75">
      <c r="A676" s="31">
        <v>43536</v>
      </c>
      <c r="B676" s="31">
        <v>43536</v>
      </c>
      <c r="C676" s="1" t="s">
        <v>1385</v>
      </c>
      <c r="E676" s="1">
        <v>1920</v>
      </c>
      <c r="F676" s="1" t="s">
        <v>754</v>
      </c>
      <c r="G676" s="1">
        <v>947786.86</v>
      </c>
      <c r="I676" s="30">
        <f>SUM($F$5:$F676)-SUM($E$5:$E676)</f>
        <v>947786.86000000127</v>
      </c>
      <c r="J676" s="30">
        <f t="shared" si="10"/>
        <v>1.280568540096283E-9</v>
      </c>
    </row>
    <row r="677" spans="1:10" x14ac:dyDescent="0.75">
      <c r="A677" s="31">
        <v>43536</v>
      </c>
      <c r="B677" s="31">
        <v>43536</v>
      </c>
      <c r="C677" s="1" t="s">
        <v>1386</v>
      </c>
      <c r="E677" s="1">
        <v>943.5</v>
      </c>
      <c r="F677" s="1" t="s">
        <v>754</v>
      </c>
      <c r="G677" s="1">
        <v>946843.36</v>
      </c>
      <c r="I677" s="30">
        <f>SUM($F$5:$F677)-SUM($E$5:$E677)</f>
        <v>946843.36000000127</v>
      </c>
      <c r="J677" s="30">
        <f t="shared" si="10"/>
        <v>1.280568540096283E-9</v>
      </c>
    </row>
    <row r="678" spans="1:10" x14ac:dyDescent="0.75">
      <c r="A678" s="31">
        <v>43536</v>
      </c>
      <c r="B678" s="31">
        <v>43536</v>
      </c>
      <c r="C678" s="1" t="s">
        <v>1387</v>
      </c>
      <c r="E678" s="1">
        <v>1288.31</v>
      </c>
      <c r="F678" s="1" t="s">
        <v>754</v>
      </c>
      <c r="G678" s="1">
        <v>945555.05</v>
      </c>
      <c r="I678" s="30">
        <f>SUM($F$5:$F678)-SUM($E$5:$E678)</f>
        <v>945555.05000000075</v>
      </c>
      <c r="J678" s="30">
        <f t="shared" si="10"/>
        <v>0</v>
      </c>
    </row>
    <row r="679" spans="1:10" x14ac:dyDescent="0.75">
      <c r="A679" s="31">
        <v>43536</v>
      </c>
      <c r="B679" s="31">
        <v>43536</v>
      </c>
      <c r="C679" s="1" t="s">
        <v>1388</v>
      </c>
      <c r="E679" s="1">
        <v>1713.09</v>
      </c>
      <c r="F679" s="1" t="s">
        <v>754</v>
      </c>
      <c r="G679" s="1">
        <v>943841.96</v>
      </c>
      <c r="I679" s="30">
        <f>SUM($F$5:$F679)-SUM($E$5:$E679)</f>
        <v>943841.96000000089</v>
      </c>
      <c r="J679" s="30">
        <f t="shared" si="10"/>
        <v>9.3132257461547852E-10</v>
      </c>
    </row>
    <row r="680" spans="1:10" x14ac:dyDescent="0.75">
      <c r="A680" s="31">
        <v>43536</v>
      </c>
      <c r="B680" s="31">
        <v>43536</v>
      </c>
      <c r="C680" s="1" t="s">
        <v>1389</v>
      </c>
      <c r="E680" s="1">
        <v>9579.2000000000007</v>
      </c>
      <c r="F680" s="1" t="s">
        <v>754</v>
      </c>
      <c r="G680" s="1">
        <v>934262.76</v>
      </c>
      <c r="I680" s="30">
        <f>SUM($F$5:$F680)-SUM($E$5:$E680)</f>
        <v>934262.76000000164</v>
      </c>
      <c r="J680" s="30">
        <f t="shared" si="10"/>
        <v>1.6298145055770874E-9</v>
      </c>
    </row>
    <row r="681" spans="1:10" x14ac:dyDescent="0.75">
      <c r="A681" s="31">
        <v>43536</v>
      </c>
      <c r="B681" s="31">
        <v>43536</v>
      </c>
      <c r="C681" s="1" t="s">
        <v>773</v>
      </c>
      <c r="E681" s="1" t="s">
        <v>754</v>
      </c>
      <c r="F681" s="1">
        <v>9911.31</v>
      </c>
      <c r="G681" s="1">
        <v>944174.07</v>
      </c>
      <c r="I681" s="30">
        <f>SUM($F$5:$F681)-SUM($E$5:$E681)</f>
        <v>944174.07000000216</v>
      </c>
      <c r="J681" s="30">
        <f t="shared" si="10"/>
        <v>2.2118911147117615E-9</v>
      </c>
    </row>
    <row r="682" spans="1:10" x14ac:dyDescent="0.75">
      <c r="A682" s="31">
        <v>43567</v>
      </c>
      <c r="B682" s="31">
        <v>43567</v>
      </c>
      <c r="C682" s="1" t="s">
        <v>1390</v>
      </c>
      <c r="E682" s="1">
        <v>824.5</v>
      </c>
      <c r="F682" s="1" t="s">
        <v>754</v>
      </c>
      <c r="G682" s="1">
        <v>943349.57</v>
      </c>
      <c r="I682" s="30">
        <f>SUM($F$5:$F682)-SUM($E$5:$E682)</f>
        <v>943349.57000000216</v>
      </c>
      <c r="J682" s="30">
        <f t="shared" si="10"/>
        <v>2.2118911147117615E-9</v>
      </c>
    </row>
    <row r="683" spans="1:10" x14ac:dyDescent="0.75">
      <c r="A683" s="31">
        <v>43567</v>
      </c>
      <c r="B683" s="31">
        <v>43567</v>
      </c>
      <c r="C683" s="1" t="s">
        <v>1391</v>
      </c>
      <c r="E683" s="1">
        <v>3395</v>
      </c>
      <c r="F683" s="1" t="s">
        <v>754</v>
      </c>
      <c r="G683" s="1">
        <v>939954.57</v>
      </c>
      <c r="I683" s="30">
        <f>SUM($F$5:$F683)-SUM($E$5:$E683)</f>
        <v>939954.57000000216</v>
      </c>
      <c r="J683" s="30">
        <f t="shared" si="10"/>
        <v>2.2118911147117615E-9</v>
      </c>
    </row>
    <row r="684" spans="1:10" x14ac:dyDescent="0.75">
      <c r="A684" s="31">
        <v>43567</v>
      </c>
      <c r="B684" s="31">
        <v>43567</v>
      </c>
      <c r="C684" s="1" t="s">
        <v>1392</v>
      </c>
      <c r="E684" s="1">
        <v>6760.9</v>
      </c>
      <c r="F684" s="1" t="s">
        <v>754</v>
      </c>
      <c r="G684" s="1">
        <v>933193.67</v>
      </c>
      <c r="I684" s="30">
        <f>SUM($F$5:$F684)-SUM($E$5:$E684)</f>
        <v>933193.67000000179</v>
      </c>
      <c r="J684" s="30">
        <f t="shared" si="10"/>
        <v>1.7462298274040222E-9</v>
      </c>
    </row>
    <row r="685" spans="1:10" x14ac:dyDescent="0.75">
      <c r="A685" s="31">
        <v>43567</v>
      </c>
      <c r="B685" s="31">
        <v>43567</v>
      </c>
      <c r="C685" s="1" t="s">
        <v>1393</v>
      </c>
      <c r="E685" s="1">
        <v>11072.25</v>
      </c>
      <c r="F685" s="1" t="s">
        <v>754</v>
      </c>
      <c r="G685" s="1">
        <v>922121.42</v>
      </c>
      <c r="I685" s="30">
        <f>SUM($F$5:$F685)-SUM($E$5:$E685)</f>
        <v>922121.42000000179</v>
      </c>
      <c r="J685" s="30">
        <f t="shared" si="10"/>
        <v>1.7462298274040222E-9</v>
      </c>
    </row>
    <row r="686" spans="1:10" x14ac:dyDescent="0.75">
      <c r="A686" s="31">
        <v>43567</v>
      </c>
      <c r="B686" s="31">
        <v>43567</v>
      </c>
      <c r="C686" s="1" t="s">
        <v>1394</v>
      </c>
      <c r="E686" s="1">
        <v>28898.71</v>
      </c>
      <c r="F686" s="1" t="s">
        <v>754</v>
      </c>
      <c r="G686" s="1">
        <v>893222.71</v>
      </c>
      <c r="I686" s="30">
        <f>SUM($F$5:$F686)-SUM($E$5:$E686)</f>
        <v>893222.71000000089</v>
      </c>
      <c r="J686" s="30">
        <f t="shared" si="10"/>
        <v>9.3132257461547852E-10</v>
      </c>
    </row>
    <row r="687" spans="1:10" x14ac:dyDescent="0.75">
      <c r="A687" s="31">
        <v>43567</v>
      </c>
      <c r="B687" s="31">
        <v>43567</v>
      </c>
      <c r="C687" s="1" t="s">
        <v>1395</v>
      </c>
      <c r="E687" s="1">
        <v>32775.06</v>
      </c>
      <c r="F687" s="1" t="s">
        <v>754</v>
      </c>
      <c r="G687" s="1">
        <v>860447.65</v>
      </c>
      <c r="I687" s="30">
        <f>SUM($F$5:$F687)-SUM($E$5:$E687)</f>
        <v>860447.65000000037</v>
      </c>
      <c r="J687" s="30">
        <f t="shared" si="10"/>
        <v>0</v>
      </c>
    </row>
    <row r="688" spans="1:10" x14ac:dyDescent="0.75">
      <c r="A688" s="31">
        <v>43567</v>
      </c>
      <c r="B688" s="31">
        <v>43567</v>
      </c>
      <c r="C688" s="1" t="s">
        <v>1396</v>
      </c>
      <c r="E688" s="1">
        <v>38490.57</v>
      </c>
      <c r="F688" s="1" t="s">
        <v>754</v>
      </c>
      <c r="G688" s="1">
        <v>821957.08</v>
      </c>
      <c r="I688" s="30">
        <f>SUM($F$5:$F688)-SUM($E$5:$E688)</f>
        <v>821957.08000000007</v>
      </c>
      <c r="J688" s="30">
        <f t="shared" si="10"/>
        <v>0</v>
      </c>
    </row>
    <row r="689" spans="1:10" x14ac:dyDescent="0.75">
      <c r="A689" s="31">
        <v>43567</v>
      </c>
      <c r="B689" s="31">
        <v>43567</v>
      </c>
      <c r="C689" s="1" t="s">
        <v>1397</v>
      </c>
      <c r="E689" s="1">
        <v>48252.21</v>
      </c>
      <c r="F689" s="1" t="s">
        <v>754</v>
      </c>
      <c r="G689" s="1">
        <v>773704.87</v>
      </c>
      <c r="I689" s="30">
        <f>SUM($F$5:$F689)-SUM($E$5:$E689)</f>
        <v>773704.86999999918</v>
      </c>
      <c r="J689" s="30">
        <f t="shared" si="10"/>
        <v>0</v>
      </c>
    </row>
    <row r="690" spans="1:10" x14ac:dyDescent="0.75">
      <c r="A690" s="31">
        <v>43567</v>
      </c>
      <c r="B690" s="31">
        <v>43567</v>
      </c>
      <c r="C690" s="1" t="s">
        <v>1339</v>
      </c>
      <c r="E690" s="1">
        <v>7069.8</v>
      </c>
      <c r="F690" s="1" t="s">
        <v>754</v>
      </c>
      <c r="G690" s="1">
        <v>766635.07</v>
      </c>
      <c r="I690" s="30">
        <f>SUM($F$5:$F690)-SUM($E$5:$E690)</f>
        <v>766635.06999999844</v>
      </c>
      <c r="J690" s="30">
        <f t="shared" si="10"/>
        <v>-1.5133991837501526E-9</v>
      </c>
    </row>
    <row r="691" spans="1:10" x14ac:dyDescent="0.75">
      <c r="A691" s="31">
        <v>43567</v>
      </c>
      <c r="B691" s="31">
        <v>43567</v>
      </c>
      <c r="C691" s="1" t="s">
        <v>1398</v>
      </c>
      <c r="E691" s="1">
        <v>864.27</v>
      </c>
      <c r="F691" s="1" t="s">
        <v>754</v>
      </c>
      <c r="G691" s="1">
        <v>765770.8</v>
      </c>
      <c r="I691" s="30">
        <f>SUM($F$5:$F691)-SUM($E$5:$E691)</f>
        <v>765770.79999999888</v>
      </c>
      <c r="J691" s="30">
        <f t="shared" si="10"/>
        <v>-1.1641532182693481E-9</v>
      </c>
    </row>
    <row r="692" spans="1:10" x14ac:dyDescent="0.75">
      <c r="A692" s="31">
        <v>43567</v>
      </c>
      <c r="B692" s="31">
        <v>43567</v>
      </c>
      <c r="C692" s="1" t="s">
        <v>1399</v>
      </c>
      <c r="E692" s="1">
        <v>10313.33</v>
      </c>
      <c r="F692" s="1" t="s">
        <v>754</v>
      </c>
      <c r="G692" s="1">
        <v>755457.47</v>
      </c>
      <c r="I692" s="30">
        <f>SUM($F$5:$F692)-SUM($E$5:$E692)</f>
        <v>755457.46999999881</v>
      </c>
      <c r="J692" s="30">
        <f t="shared" si="10"/>
        <v>-1.1641532182693481E-9</v>
      </c>
    </row>
    <row r="693" spans="1:10" x14ac:dyDescent="0.75">
      <c r="A693" s="31">
        <v>43567</v>
      </c>
      <c r="B693" s="31">
        <v>43567</v>
      </c>
      <c r="C693" s="1" t="s">
        <v>773</v>
      </c>
      <c r="E693" s="1" t="s">
        <v>754</v>
      </c>
      <c r="F693" s="1">
        <v>9059.1</v>
      </c>
      <c r="G693" s="1">
        <v>764516.57</v>
      </c>
      <c r="I693" s="30">
        <f>SUM($F$5:$F693)-SUM($E$5:$E693)</f>
        <v>764516.56999999844</v>
      </c>
      <c r="J693" s="30">
        <f t="shared" si="10"/>
        <v>-1.5133991837501526E-9</v>
      </c>
    </row>
    <row r="694" spans="1:10" x14ac:dyDescent="0.75">
      <c r="A694" s="31">
        <v>43597</v>
      </c>
      <c r="B694" s="31">
        <v>43597</v>
      </c>
      <c r="C694" s="1" t="s">
        <v>1400</v>
      </c>
      <c r="E694" s="1">
        <v>1661.39</v>
      </c>
      <c r="F694" s="1" t="s">
        <v>754</v>
      </c>
      <c r="G694" s="1">
        <v>762855.18</v>
      </c>
      <c r="I694" s="30">
        <f>SUM($F$5:$F694)-SUM($E$5:$E694)</f>
        <v>762855.17999999784</v>
      </c>
      <c r="J694" s="30">
        <f t="shared" si="10"/>
        <v>-2.2118911147117615E-9</v>
      </c>
    </row>
    <row r="695" spans="1:10" x14ac:dyDescent="0.75">
      <c r="A695" s="31">
        <v>43597</v>
      </c>
      <c r="B695" s="31">
        <v>43597</v>
      </c>
      <c r="C695" s="1" t="s">
        <v>1401</v>
      </c>
      <c r="E695" s="1">
        <v>525.47</v>
      </c>
      <c r="F695" s="1" t="s">
        <v>754</v>
      </c>
      <c r="G695" s="1">
        <v>762329.71</v>
      </c>
      <c r="I695" s="30">
        <f>SUM($F$5:$F695)-SUM($E$5:$E695)</f>
        <v>762329.70999999717</v>
      </c>
      <c r="J695" s="30">
        <f t="shared" si="10"/>
        <v>-2.7939677238464355E-9</v>
      </c>
    </row>
    <row r="696" spans="1:10" x14ac:dyDescent="0.75">
      <c r="A696" s="31">
        <v>43597</v>
      </c>
      <c r="B696" s="31">
        <v>43597</v>
      </c>
      <c r="C696" s="1" t="s">
        <v>1402</v>
      </c>
      <c r="E696" s="1">
        <v>1829.87</v>
      </c>
      <c r="F696" s="1" t="s">
        <v>754</v>
      </c>
      <c r="G696" s="1">
        <v>760499.84</v>
      </c>
      <c r="I696" s="30">
        <f>SUM($F$5:$F696)-SUM($E$5:$E696)</f>
        <v>760499.83999999799</v>
      </c>
      <c r="J696" s="30">
        <f t="shared" si="10"/>
        <v>-1.9790604710578918E-9</v>
      </c>
    </row>
    <row r="697" spans="1:10" x14ac:dyDescent="0.75">
      <c r="A697" s="31">
        <v>43597</v>
      </c>
      <c r="B697" s="31">
        <v>43597</v>
      </c>
      <c r="C697" s="1" t="s">
        <v>1403</v>
      </c>
      <c r="E697" s="1">
        <v>2425.5</v>
      </c>
      <c r="F697" s="1" t="s">
        <v>754</v>
      </c>
      <c r="G697" s="1">
        <v>758074.34</v>
      </c>
      <c r="I697" s="30">
        <f>SUM($F$5:$F697)-SUM($E$5:$E697)</f>
        <v>758074.33999999799</v>
      </c>
      <c r="J697" s="30">
        <f t="shared" si="10"/>
        <v>-1.9790604710578918E-9</v>
      </c>
    </row>
    <row r="698" spans="1:10" x14ac:dyDescent="0.75">
      <c r="A698" s="31">
        <v>43597</v>
      </c>
      <c r="B698" s="31">
        <v>43597</v>
      </c>
      <c r="C698" s="1" t="s">
        <v>1404</v>
      </c>
      <c r="E698" s="1">
        <v>2451.25</v>
      </c>
      <c r="F698" s="1" t="s">
        <v>754</v>
      </c>
      <c r="G698" s="1">
        <v>755623.09</v>
      </c>
      <c r="I698" s="30">
        <f>SUM($F$5:$F698)-SUM($E$5:$E698)</f>
        <v>755623.08999999799</v>
      </c>
      <c r="J698" s="30">
        <f t="shared" si="10"/>
        <v>-1.9790604710578918E-9</v>
      </c>
    </row>
    <row r="699" spans="1:10" x14ac:dyDescent="0.75">
      <c r="A699" s="31">
        <v>43597</v>
      </c>
      <c r="B699" s="31">
        <v>43597</v>
      </c>
      <c r="C699" s="1" t="s">
        <v>1405</v>
      </c>
      <c r="E699" s="1">
        <v>8617.14</v>
      </c>
      <c r="F699" s="1" t="s">
        <v>754</v>
      </c>
      <c r="G699" s="1">
        <v>747005.95</v>
      </c>
      <c r="I699" s="30">
        <f>SUM($F$5:$F699)-SUM($E$5:$E699)</f>
        <v>747005.94999999739</v>
      </c>
      <c r="J699" s="30">
        <f t="shared" si="10"/>
        <v>-2.5611370801925659E-9</v>
      </c>
    </row>
    <row r="700" spans="1:10" x14ac:dyDescent="0.75">
      <c r="A700" s="31">
        <v>43597</v>
      </c>
      <c r="B700" s="31">
        <v>43597</v>
      </c>
      <c r="C700" s="1" t="s">
        <v>1406</v>
      </c>
      <c r="E700" s="1">
        <v>64275.75</v>
      </c>
      <c r="F700" s="1" t="s">
        <v>754</v>
      </c>
      <c r="G700" s="1">
        <v>682730.2</v>
      </c>
      <c r="I700" s="30">
        <f>SUM($F$5:$F700)-SUM($E$5:$E700)</f>
        <v>682730.19999999739</v>
      </c>
      <c r="J700" s="30">
        <f t="shared" si="10"/>
        <v>-2.5611370801925659E-9</v>
      </c>
    </row>
    <row r="701" spans="1:10" x14ac:dyDescent="0.75">
      <c r="A701" s="31">
        <v>43597</v>
      </c>
      <c r="B701" s="31">
        <v>43597</v>
      </c>
      <c r="C701" s="1" t="s">
        <v>1407</v>
      </c>
      <c r="E701" s="1">
        <v>155676.20000000001</v>
      </c>
      <c r="F701" s="1" t="s">
        <v>754</v>
      </c>
      <c r="G701" s="1">
        <v>527054</v>
      </c>
      <c r="I701" s="30">
        <f>SUM($F$5:$F701)-SUM($E$5:$E701)</f>
        <v>527053.99999999814</v>
      </c>
      <c r="J701" s="30">
        <f t="shared" si="10"/>
        <v>-1.862645149230957E-9</v>
      </c>
    </row>
    <row r="702" spans="1:10" x14ac:dyDescent="0.75">
      <c r="A702" s="31">
        <v>43597</v>
      </c>
      <c r="B702" s="31">
        <v>43597</v>
      </c>
      <c r="C702" s="1" t="s">
        <v>1408</v>
      </c>
      <c r="E702" s="1">
        <v>359805.48</v>
      </c>
      <c r="F702" s="1" t="s">
        <v>754</v>
      </c>
      <c r="G702" s="1">
        <v>167248.51999999999</v>
      </c>
      <c r="I702" s="30">
        <f>SUM($F$5:$F702)-SUM($E$5:$E702)</f>
        <v>167248.51999999769</v>
      </c>
      <c r="J702" s="30">
        <f t="shared" si="10"/>
        <v>-2.2992026060819626E-9</v>
      </c>
    </row>
    <row r="703" spans="1:10" x14ac:dyDescent="0.75">
      <c r="A703" s="31">
        <v>43597</v>
      </c>
      <c r="B703" s="31">
        <v>43597</v>
      </c>
      <c r="C703" s="1" t="s">
        <v>773</v>
      </c>
      <c r="E703" s="1" t="s">
        <v>754</v>
      </c>
      <c r="F703" s="1">
        <v>70014.12</v>
      </c>
      <c r="G703" s="1">
        <v>237262.64</v>
      </c>
      <c r="I703" s="30">
        <f>SUM($F$5:$F703)-SUM($E$5:$E703)</f>
        <v>237262.63999999687</v>
      </c>
      <c r="J703" s="30">
        <f t="shared" si="10"/>
        <v>-3.14321368932724E-9</v>
      </c>
    </row>
    <row r="704" spans="1:10" x14ac:dyDescent="0.75">
      <c r="A704" s="31">
        <v>43720</v>
      </c>
      <c r="B704" s="31">
        <v>43720</v>
      </c>
      <c r="C704" s="1" t="s">
        <v>1409</v>
      </c>
      <c r="E704" s="1">
        <v>686.25</v>
      </c>
      <c r="F704" s="1" t="s">
        <v>754</v>
      </c>
      <c r="G704" s="1">
        <v>236576.39</v>
      </c>
      <c r="I704" s="30">
        <f>SUM($F$5:$F704)-SUM($E$5:$E704)</f>
        <v>236576.38999999687</v>
      </c>
      <c r="J704" s="30">
        <f t="shared" si="10"/>
        <v>-3.14321368932724E-9</v>
      </c>
    </row>
    <row r="705" spans="1:10" x14ac:dyDescent="0.75">
      <c r="A705" s="31">
        <v>43720</v>
      </c>
      <c r="B705" s="31">
        <v>43720</v>
      </c>
      <c r="C705" s="1" t="s">
        <v>1410</v>
      </c>
      <c r="E705" s="1">
        <v>883.79</v>
      </c>
      <c r="F705" s="1" t="s">
        <v>754</v>
      </c>
      <c r="G705" s="1">
        <v>235692.6</v>
      </c>
      <c r="I705" s="30">
        <f>SUM($F$5:$F705)-SUM($E$5:$E705)</f>
        <v>235692.59999999776</v>
      </c>
      <c r="J705" s="30">
        <f t="shared" si="10"/>
        <v>-2.2409949451684952E-9</v>
      </c>
    </row>
    <row r="706" spans="1:10" x14ac:dyDescent="0.75">
      <c r="A706" s="31">
        <v>43720</v>
      </c>
      <c r="B706" s="31">
        <v>43720</v>
      </c>
      <c r="C706" s="1" t="s">
        <v>1411</v>
      </c>
      <c r="E706" s="1">
        <v>2176.38</v>
      </c>
      <c r="F706" s="1" t="s">
        <v>754</v>
      </c>
      <c r="G706" s="1">
        <v>233516.22</v>
      </c>
      <c r="I706" s="30">
        <f>SUM($F$5:$F706)-SUM($E$5:$E706)</f>
        <v>233516.21999999695</v>
      </c>
      <c r="J706" s="30">
        <f t="shared" si="10"/>
        <v>-3.0559021979570389E-9</v>
      </c>
    </row>
    <row r="707" spans="1:10" x14ac:dyDescent="0.75">
      <c r="A707" s="31">
        <v>43720</v>
      </c>
      <c r="B707" s="31">
        <v>43720</v>
      </c>
      <c r="C707" s="1" t="s">
        <v>1412</v>
      </c>
      <c r="E707" s="1">
        <v>3412.4</v>
      </c>
      <c r="F707" s="1" t="s">
        <v>754</v>
      </c>
      <c r="G707" s="1">
        <v>230103.82</v>
      </c>
      <c r="I707" s="30">
        <f>SUM($F$5:$F707)-SUM($E$5:$E707)</f>
        <v>230103.81999999657</v>
      </c>
      <c r="J707" s="30">
        <f t="shared" si="10"/>
        <v>-3.434251993894577E-9</v>
      </c>
    </row>
    <row r="708" spans="1:10" x14ac:dyDescent="0.75">
      <c r="A708" s="31">
        <v>43720</v>
      </c>
      <c r="B708" s="31">
        <v>43720</v>
      </c>
      <c r="C708" s="1" t="s">
        <v>1413</v>
      </c>
      <c r="E708" s="1">
        <v>33617.82</v>
      </c>
      <c r="F708" s="1" t="s">
        <v>754</v>
      </c>
      <c r="G708" s="1">
        <v>196486</v>
      </c>
      <c r="I708" s="30">
        <f>SUM($F$5:$F708)-SUM($E$5:$E708)</f>
        <v>196485.99999999627</v>
      </c>
      <c r="J708" s="30">
        <f t="shared" si="10"/>
        <v>-3.7252902984619141E-9</v>
      </c>
    </row>
    <row r="709" spans="1:10" x14ac:dyDescent="0.75">
      <c r="A709" s="31">
        <v>43720</v>
      </c>
      <c r="B709" s="31">
        <v>43720</v>
      </c>
      <c r="C709" s="1" t="s">
        <v>773</v>
      </c>
      <c r="E709" s="1" t="s">
        <v>754</v>
      </c>
      <c r="F709" s="1">
        <v>21228.7</v>
      </c>
      <c r="G709" s="1">
        <v>217714.7</v>
      </c>
      <c r="I709" s="30">
        <f>SUM($F$5:$F709)-SUM($E$5:$E709)</f>
        <v>217714.69999999553</v>
      </c>
      <c r="J709" s="30">
        <f t="shared" si="10"/>
        <v>-4.4819898903369904E-9</v>
      </c>
    </row>
    <row r="710" spans="1:10" x14ac:dyDescent="0.75">
      <c r="A710" s="31">
        <v>43750</v>
      </c>
      <c r="B710" s="31">
        <v>43750</v>
      </c>
      <c r="C710" s="1" t="s">
        <v>1414</v>
      </c>
      <c r="E710" s="1">
        <v>433.2</v>
      </c>
      <c r="F710" s="1" t="s">
        <v>754</v>
      </c>
      <c r="G710" s="1">
        <v>217281.5</v>
      </c>
      <c r="I710" s="30">
        <f>SUM($F$5:$F710)-SUM($E$5:$E710)</f>
        <v>217281.49999999627</v>
      </c>
      <c r="J710" s="30">
        <f t="shared" ref="J710:J773" si="11">I710-G710</f>
        <v>-3.7252902984619141E-9</v>
      </c>
    </row>
    <row r="711" spans="1:10" x14ac:dyDescent="0.75">
      <c r="A711" s="31">
        <v>43750</v>
      </c>
      <c r="B711" s="31">
        <v>43750</v>
      </c>
      <c r="C711" s="1" t="s">
        <v>1415</v>
      </c>
      <c r="E711" s="1">
        <v>6658.01</v>
      </c>
      <c r="F711" s="1" t="s">
        <v>754</v>
      </c>
      <c r="G711" s="1">
        <v>210623.49</v>
      </c>
      <c r="I711" s="30">
        <f>SUM($F$5:$F711)-SUM($E$5:$E711)</f>
        <v>210623.4899999965</v>
      </c>
      <c r="J711" s="30">
        <f t="shared" si="11"/>
        <v>-3.4924596548080444E-9</v>
      </c>
    </row>
    <row r="712" spans="1:10" x14ac:dyDescent="0.75">
      <c r="A712" s="31">
        <v>43750</v>
      </c>
      <c r="B712" s="31">
        <v>43750</v>
      </c>
      <c r="C712" s="1" t="s">
        <v>773</v>
      </c>
      <c r="E712" s="1" t="s">
        <v>754</v>
      </c>
      <c r="F712" s="1">
        <v>59706.05</v>
      </c>
      <c r="G712" s="30">
        <v>270329.53999999998</v>
      </c>
      <c r="I712" s="30">
        <f>SUM($F$5:$F712)-SUM($E$5:$E712)</f>
        <v>270329.53999999724</v>
      </c>
      <c r="J712" s="30">
        <f t="shared" si="11"/>
        <v>-2.7357600629329681E-9</v>
      </c>
    </row>
    <row r="713" spans="1:10" x14ac:dyDescent="0.75">
      <c r="A713" s="31">
        <v>43781</v>
      </c>
      <c r="B713" s="31">
        <v>43781</v>
      </c>
      <c r="C713" s="1" t="s">
        <v>773</v>
      </c>
      <c r="E713" s="1" t="s">
        <v>754</v>
      </c>
      <c r="F713" s="1">
        <v>89232.04</v>
      </c>
      <c r="G713" s="30">
        <v>359561.58</v>
      </c>
      <c r="I713" s="30">
        <f>SUM($F$5:$F713)-SUM($E$5:$E713)</f>
        <v>359561.57999999635</v>
      </c>
      <c r="J713" s="30">
        <f t="shared" si="11"/>
        <v>-3.6670826375484467E-9</v>
      </c>
    </row>
    <row r="714" spans="1:10" x14ac:dyDescent="0.75">
      <c r="A714" s="31">
        <v>43811</v>
      </c>
      <c r="B714" s="31">
        <v>43811</v>
      </c>
      <c r="C714" s="1" t="s">
        <v>1416</v>
      </c>
      <c r="E714" s="30">
        <v>4594</v>
      </c>
      <c r="F714" s="1" t="s">
        <v>754</v>
      </c>
      <c r="G714" s="30">
        <v>354967.58</v>
      </c>
      <c r="I714" s="30">
        <f>SUM($F$5:$F714)-SUM($E$5:$E714)</f>
        <v>354967.57999999635</v>
      </c>
      <c r="J714" s="30">
        <f t="shared" si="11"/>
        <v>-3.6670826375484467E-9</v>
      </c>
    </row>
    <row r="715" spans="1:10" x14ac:dyDescent="0.75">
      <c r="A715" s="31">
        <v>43811</v>
      </c>
      <c r="B715" s="31">
        <v>43811</v>
      </c>
      <c r="C715" s="1" t="s">
        <v>1339</v>
      </c>
      <c r="E715" s="1">
        <v>18848.12</v>
      </c>
      <c r="F715" s="1" t="s">
        <v>754</v>
      </c>
      <c r="G715" s="1">
        <v>336119.46</v>
      </c>
      <c r="I715" s="30">
        <f>SUM($F$5:$F715)-SUM($E$5:$E715)</f>
        <v>336119.45999999717</v>
      </c>
      <c r="J715" s="30">
        <f t="shared" si="11"/>
        <v>-2.852175384759903E-9</v>
      </c>
    </row>
    <row r="716" spans="1:10" x14ac:dyDescent="0.75">
      <c r="A716" s="31">
        <v>43811</v>
      </c>
      <c r="B716" s="31">
        <v>43811</v>
      </c>
      <c r="C716" s="1" t="s">
        <v>773</v>
      </c>
      <c r="E716" s="1" t="s">
        <v>754</v>
      </c>
      <c r="F716" s="1">
        <v>4613.1000000000004</v>
      </c>
      <c r="G716" s="1">
        <v>340732.56</v>
      </c>
      <c r="I716" s="30">
        <f>SUM($F$5:$F716)-SUM($E$5:$E716)</f>
        <v>340732.5599999968</v>
      </c>
      <c r="J716" s="30">
        <f t="shared" si="11"/>
        <v>-3.2014213502407074E-9</v>
      </c>
    </row>
    <row r="717" spans="1:10" x14ac:dyDescent="0.75">
      <c r="A717" s="1" t="s">
        <v>1417</v>
      </c>
      <c r="B717" s="1" t="s">
        <v>1417</v>
      </c>
      <c r="C717" s="1" t="s">
        <v>1418</v>
      </c>
      <c r="E717" s="1">
        <v>1481.75</v>
      </c>
      <c r="F717" s="1" t="s">
        <v>754</v>
      </c>
      <c r="G717" s="1">
        <v>339250.81</v>
      </c>
      <c r="I717" s="30">
        <f>SUM($F$5:$F717)-SUM($E$5:$E717)</f>
        <v>339250.8099999968</v>
      </c>
      <c r="J717" s="30">
        <f t="shared" si="11"/>
        <v>-3.2014213502407074E-9</v>
      </c>
    </row>
    <row r="718" spans="1:10" x14ac:dyDescent="0.75">
      <c r="A718" s="31" t="s">
        <v>1417</v>
      </c>
      <c r="B718" s="31" t="s">
        <v>1417</v>
      </c>
      <c r="C718" s="1" t="s">
        <v>1419</v>
      </c>
      <c r="E718" s="1">
        <v>2910</v>
      </c>
      <c r="F718" s="1" t="s">
        <v>754</v>
      </c>
      <c r="G718" s="1">
        <v>336340.81</v>
      </c>
      <c r="I718" s="30">
        <f>SUM($F$5:$F718)-SUM($E$5:$E718)</f>
        <v>336340.8099999968</v>
      </c>
      <c r="J718" s="30">
        <f t="shared" si="11"/>
        <v>-3.2014213502407074E-9</v>
      </c>
    </row>
    <row r="719" spans="1:10" x14ac:dyDescent="0.75">
      <c r="A719" s="31" t="s">
        <v>1417</v>
      </c>
      <c r="B719" s="31" t="s">
        <v>1417</v>
      </c>
      <c r="C719" s="1" t="s">
        <v>773</v>
      </c>
      <c r="E719" s="1" t="s">
        <v>754</v>
      </c>
      <c r="F719" s="1">
        <v>162120.01999999999</v>
      </c>
      <c r="G719" s="1">
        <v>498460.83</v>
      </c>
      <c r="I719" s="30">
        <f>SUM($F$5:$F719)-SUM($E$5:$E719)</f>
        <v>498460.82999999635</v>
      </c>
      <c r="J719" s="30">
        <f t="shared" si="11"/>
        <v>-3.6670826375484467E-9</v>
      </c>
    </row>
    <row r="720" spans="1:10" x14ac:dyDescent="0.75">
      <c r="A720" s="31" t="s">
        <v>1420</v>
      </c>
      <c r="B720" s="31" t="s">
        <v>1420</v>
      </c>
      <c r="C720" s="1" t="s">
        <v>1421</v>
      </c>
      <c r="E720" s="1">
        <v>718.67</v>
      </c>
      <c r="F720" s="1" t="s">
        <v>754</v>
      </c>
      <c r="G720" s="1">
        <v>497742.16</v>
      </c>
      <c r="I720" s="30">
        <f>SUM($F$5:$F720)-SUM($E$5:$E720)</f>
        <v>497742.15999999642</v>
      </c>
      <c r="J720" s="30">
        <f t="shared" si="11"/>
        <v>-3.5506673157215118E-9</v>
      </c>
    </row>
    <row r="721" spans="1:10" x14ac:dyDescent="0.75">
      <c r="A721" s="31" t="s">
        <v>1420</v>
      </c>
      <c r="B721" s="31" t="s">
        <v>1420</v>
      </c>
      <c r="C721" s="1" t="s">
        <v>1422</v>
      </c>
      <c r="E721" s="1">
        <v>1800</v>
      </c>
      <c r="F721" s="1" t="s">
        <v>754</v>
      </c>
      <c r="G721" s="1">
        <v>495942.16</v>
      </c>
      <c r="I721" s="30">
        <f>SUM($F$5:$F721)-SUM($E$5:$E721)</f>
        <v>495942.15999999642</v>
      </c>
      <c r="J721" s="30">
        <f t="shared" si="11"/>
        <v>-3.5506673157215118E-9</v>
      </c>
    </row>
    <row r="722" spans="1:10" x14ac:dyDescent="0.75">
      <c r="A722" s="31" t="s">
        <v>1420</v>
      </c>
      <c r="B722" s="31" t="s">
        <v>1420</v>
      </c>
      <c r="C722" s="1" t="s">
        <v>1423</v>
      </c>
      <c r="E722" s="1">
        <v>2405</v>
      </c>
      <c r="F722" s="1" t="s">
        <v>754</v>
      </c>
      <c r="G722" s="1">
        <v>493537.16</v>
      </c>
      <c r="I722" s="30">
        <f>SUM($F$5:$F722)-SUM($E$5:$E722)</f>
        <v>493537.15999999642</v>
      </c>
      <c r="J722" s="30">
        <f t="shared" si="11"/>
        <v>-3.5506673157215118E-9</v>
      </c>
    </row>
    <row r="723" spans="1:10" x14ac:dyDescent="0.75">
      <c r="A723" s="31" t="s">
        <v>1420</v>
      </c>
      <c r="B723" s="31" t="s">
        <v>1420</v>
      </c>
      <c r="C723" s="1" t="s">
        <v>1424</v>
      </c>
      <c r="E723" s="1">
        <v>3191.25</v>
      </c>
      <c r="F723" s="1" t="s">
        <v>754</v>
      </c>
      <c r="G723" s="1">
        <v>490345.91</v>
      </c>
      <c r="I723" s="30">
        <f>SUM($F$5:$F723)-SUM($E$5:$E723)</f>
        <v>490345.90999999642</v>
      </c>
      <c r="J723" s="30">
        <f t="shared" si="11"/>
        <v>-3.5506673157215118E-9</v>
      </c>
    </row>
    <row r="724" spans="1:10" x14ac:dyDescent="0.75">
      <c r="A724" s="31" t="s">
        <v>1420</v>
      </c>
      <c r="B724" s="31" t="s">
        <v>1420</v>
      </c>
      <c r="C724" s="1" t="s">
        <v>1425</v>
      </c>
      <c r="E724" s="1">
        <v>3880</v>
      </c>
      <c r="F724" s="1" t="s">
        <v>754</v>
      </c>
      <c r="G724" s="1">
        <v>486465.91</v>
      </c>
      <c r="I724" s="30">
        <f>SUM($F$5:$F724)-SUM($E$5:$E724)</f>
        <v>486465.90999999642</v>
      </c>
      <c r="J724" s="30">
        <f t="shared" si="11"/>
        <v>-3.5506673157215118E-9</v>
      </c>
    </row>
    <row r="725" spans="1:10" x14ac:dyDescent="0.75">
      <c r="A725" s="31" t="s">
        <v>1420</v>
      </c>
      <c r="B725" s="31" t="s">
        <v>1420</v>
      </c>
      <c r="C725" s="1" t="s">
        <v>1426</v>
      </c>
      <c r="E725" s="1">
        <v>4390.2299999999996</v>
      </c>
      <c r="F725" s="1" t="s">
        <v>754</v>
      </c>
      <c r="G725" s="1">
        <v>482075.68</v>
      </c>
      <c r="I725" s="30">
        <f>SUM($F$5:$F725)-SUM($E$5:$E725)</f>
        <v>482075.67999999598</v>
      </c>
      <c r="J725" s="30">
        <f t="shared" si="11"/>
        <v>-4.0163286030292511E-9</v>
      </c>
    </row>
    <row r="726" spans="1:10" x14ac:dyDescent="0.75">
      <c r="A726" s="31" t="s">
        <v>1420</v>
      </c>
      <c r="B726" s="31" t="s">
        <v>1420</v>
      </c>
      <c r="C726" s="1" t="s">
        <v>773</v>
      </c>
      <c r="E726" s="1" t="s">
        <v>754</v>
      </c>
      <c r="F726" s="1">
        <v>197915.73</v>
      </c>
      <c r="G726" s="1">
        <v>679991.41</v>
      </c>
      <c r="I726" s="30">
        <f>SUM($F$5:$F726)-SUM($E$5:$E726)</f>
        <v>679991.40999999642</v>
      </c>
      <c r="J726" s="30">
        <f t="shared" si="11"/>
        <v>-3.6088749766349792E-9</v>
      </c>
    </row>
    <row r="727" spans="1:10" x14ac:dyDescent="0.75">
      <c r="A727" s="31" t="s">
        <v>1427</v>
      </c>
      <c r="B727" s="31" t="s">
        <v>1427</v>
      </c>
      <c r="C727" s="1" t="s">
        <v>1428</v>
      </c>
      <c r="E727" s="1">
        <v>1304.25</v>
      </c>
      <c r="F727" s="1" t="s">
        <v>754</v>
      </c>
      <c r="G727" s="1">
        <v>678687.16</v>
      </c>
      <c r="I727" s="30">
        <f>SUM($F$5:$F727)-SUM($E$5:$E727)</f>
        <v>678687.15999999642</v>
      </c>
      <c r="J727" s="30">
        <f t="shared" si="11"/>
        <v>-3.6088749766349792E-9</v>
      </c>
    </row>
    <row r="728" spans="1:10" x14ac:dyDescent="0.75">
      <c r="A728" s="31" t="s">
        <v>1427</v>
      </c>
      <c r="B728" s="31" t="s">
        <v>1427</v>
      </c>
      <c r="C728" s="1" t="s">
        <v>1429</v>
      </c>
      <c r="E728" s="1">
        <v>2324.27</v>
      </c>
      <c r="F728" s="1" t="s">
        <v>754</v>
      </c>
      <c r="G728" s="1">
        <v>676362.89</v>
      </c>
      <c r="I728" s="30">
        <f>SUM($F$5:$F728)-SUM($E$5:$E728)</f>
        <v>676362.88999999687</v>
      </c>
      <c r="J728" s="30">
        <f t="shared" si="11"/>
        <v>-3.14321368932724E-9</v>
      </c>
    </row>
    <row r="729" spans="1:10" x14ac:dyDescent="0.75">
      <c r="A729" s="31" t="s">
        <v>1427</v>
      </c>
      <c r="B729" s="31" t="s">
        <v>1427</v>
      </c>
      <c r="C729" s="1" t="s">
        <v>1430</v>
      </c>
      <c r="E729" s="1">
        <v>2418.87</v>
      </c>
      <c r="F729" s="1" t="s">
        <v>754</v>
      </c>
      <c r="G729" s="1">
        <v>673944.02</v>
      </c>
      <c r="I729" s="30">
        <f>SUM($F$5:$F729)-SUM($E$5:$E729)</f>
        <v>673944.01999999769</v>
      </c>
      <c r="J729" s="30">
        <f t="shared" si="11"/>
        <v>-2.3283064365386963E-9</v>
      </c>
    </row>
    <row r="730" spans="1:10" x14ac:dyDescent="0.75">
      <c r="A730" s="31" t="s">
        <v>1427</v>
      </c>
      <c r="B730" s="1" t="s">
        <v>1427</v>
      </c>
      <c r="C730" s="1" t="s">
        <v>1431</v>
      </c>
      <c r="E730" s="1">
        <v>3498.34</v>
      </c>
      <c r="F730" s="1" t="s">
        <v>754</v>
      </c>
      <c r="G730" s="1">
        <v>670445.68000000005</v>
      </c>
      <c r="I730" s="30">
        <f>SUM($F$5:$F730)-SUM($E$5:$E730)</f>
        <v>670445.67999999784</v>
      </c>
      <c r="J730" s="30">
        <f t="shared" si="11"/>
        <v>-2.2118911147117615E-9</v>
      </c>
    </row>
    <row r="731" spans="1:10" x14ac:dyDescent="0.75">
      <c r="A731" s="31" t="s">
        <v>1427</v>
      </c>
      <c r="B731" s="31" t="s">
        <v>1427</v>
      </c>
      <c r="C731" s="1" t="s">
        <v>1432</v>
      </c>
      <c r="E731" s="1">
        <v>3675.41</v>
      </c>
      <c r="F731" s="1" t="s">
        <v>754</v>
      </c>
      <c r="G731" s="1">
        <v>666770.27</v>
      </c>
      <c r="I731" s="30">
        <f>SUM($F$5:$F731)-SUM($E$5:$E731)</f>
        <v>666770.26999999769</v>
      </c>
      <c r="J731" s="30">
        <f t="shared" si="11"/>
        <v>-2.3283064365386963E-9</v>
      </c>
    </row>
    <row r="732" spans="1:10" x14ac:dyDescent="0.75">
      <c r="A732" s="31" t="s">
        <v>1427</v>
      </c>
      <c r="B732" s="31" t="s">
        <v>1427</v>
      </c>
      <c r="C732" s="1" t="s">
        <v>1433</v>
      </c>
      <c r="E732" s="1">
        <v>4683.42</v>
      </c>
      <c r="F732" s="1" t="s">
        <v>754</v>
      </c>
      <c r="G732" s="1">
        <v>662086.85</v>
      </c>
      <c r="I732" s="30">
        <f>SUM($F$5:$F732)-SUM($E$5:$E732)</f>
        <v>662086.84999999776</v>
      </c>
      <c r="J732" s="30">
        <f t="shared" si="11"/>
        <v>-2.2118911147117615E-9</v>
      </c>
    </row>
    <row r="733" spans="1:10" x14ac:dyDescent="0.75">
      <c r="A733" s="31" t="s">
        <v>1427</v>
      </c>
      <c r="B733" s="31" t="s">
        <v>1427</v>
      </c>
      <c r="C733" s="1" t="s">
        <v>1434</v>
      </c>
      <c r="E733" s="1">
        <v>26572.18</v>
      </c>
      <c r="F733" s="1" t="s">
        <v>754</v>
      </c>
      <c r="G733" s="1">
        <v>635514.67000000004</v>
      </c>
      <c r="I733" s="30">
        <f>SUM($F$5:$F733)-SUM($E$5:$E733)</f>
        <v>635514.66999999806</v>
      </c>
      <c r="J733" s="30">
        <f t="shared" si="11"/>
        <v>-1.9790604710578918E-9</v>
      </c>
    </row>
    <row r="734" spans="1:10" x14ac:dyDescent="0.75">
      <c r="A734" s="31" t="s">
        <v>1427</v>
      </c>
      <c r="B734" s="31" t="s">
        <v>1427</v>
      </c>
      <c r="C734" s="1" t="s">
        <v>1435</v>
      </c>
      <c r="E734" s="1">
        <v>198899.66</v>
      </c>
      <c r="F734" s="1" t="s">
        <v>754</v>
      </c>
      <c r="G734" s="1">
        <v>436615.01</v>
      </c>
      <c r="I734" s="30">
        <f>SUM($F$5:$F734)-SUM($E$5:$E734)</f>
        <v>436615.00999999791</v>
      </c>
      <c r="J734" s="30">
        <f t="shared" si="11"/>
        <v>-2.0954757928848267E-9</v>
      </c>
    </row>
    <row r="735" spans="1:10" x14ac:dyDescent="0.75">
      <c r="A735" s="31" t="s">
        <v>1427</v>
      </c>
      <c r="B735" s="31" t="s">
        <v>1427</v>
      </c>
      <c r="C735" s="1" t="s">
        <v>1436</v>
      </c>
      <c r="E735" s="1">
        <v>712.5</v>
      </c>
      <c r="F735" s="1" t="s">
        <v>754</v>
      </c>
      <c r="G735" s="1">
        <v>435902.51</v>
      </c>
      <c r="I735" s="30">
        <f>SUM($F$5:$F735)-SUM($E$5:$E735)</f>
        <v>435902.50999999791</v>
      </c>
      <c r="J735" s="30">
        <f t="shared" si="11"/>
        <v>-2.0954757928848267E-9</v>
      </c>
    </row>
    <row r="736" spans="1:10" x14ac:dyDescent="0.75">
      <c r="A736" s="31" t="s">
        <v>1437</v>
      </c>
      <c r="B736" s="31" t="s">
        <v>1437</v>
      </c>
      <c r="C736" s="1" t="s">
        <v>1438</v>
      </c>
      <c r="E736" s="1">
        <v>1235</v>
      </c>
      <c r="F736" s="1" t="s">
        <v>754</v>
      </c>
      <c r="G736" s="1">
        <v>434667.51</v>
      </c>
      <c r="I736" s="30">
        <f>SUM($F$5:$F736)-SUM($E$5:$E736)</f>
        <v>434667.50999999791</v>
      </c>
      <c r="J736" s="30">
        <f t="shared" si="11"/>
        <v>-2.0954757928848267E-9</v>
      </c>
    </row>
    <row r="737" spans="1:10" x14ac:dyDescent="0.75">
      <c r="A737" s="31" t="s">
        <v>1437</v>
      </c>
      <c r="B737" s="31" t="s">
        <v>1437</v>
      </c>
      <c r="C737" s="1" t="s">
        <v>1439</v>
      </c>
      <c r="E737" s="1">
        <v>24240.77</v>
      </c>
      <c r="F737" s="1" t="s">
        <v>754</v>
      </c>
      <c r="G737" s="1">
        <v>410426.74</v>
      </c>
      <c r="I737" s="30">
        <f>SUM($F$5:$F737)-SUM($E$5:$E737)</f>
        <v>410426.73999999836</v>
      </c>
      <c r="J737" s="30">
        <f t="shared" si="11"/>
        <v>-1.6298145055770874E-9</v>
      </c>
    </row>
    <row r="738" spans="1:10" x14ac:dyDescent="0.75">
      <c r="A738" s="31" t="s">
        <v>1437</v>
      </c>
      <c r="B738" s="31" t="s">
        <v>1437</v>
      </c>
      <c r="C738" s="1" t="s">
        <v>1440</v>
      </c>
      <c r="E738" s="1">
        <v>32564.48</v>
      </c>
      <c r="F738" s="1" t="s">
        <v>754</v>
      </c>
      <c r="G738" s="1">
        <v>377862.26</v>
      </c>
      <c r="I738" s="30">
        <f>SUM($F$5:$F738)-SUM($E$5:$E738)</f>
        <v>377862.25999999791</v>
      </c>
      <c r="J738" s="30">
        <f t="shared" si="11"/>
        <v>-2.0954757928848267E-9</v>
      </c>
    </row>
    <row r="739" spans="1:10" x14ac:dyDescent="0.75">
      <c r="A739" s="31" t="s">
        <v>1437</v>
      </c>
      <c r="B739" s="31" t="s">
        <v>1437</v>
      </c>
      <c r="C739" s="1" t="s">
        <v>1339</v>
      </c>
      <c r="E739" s="1">
        <v>20834.95</v>
      </c>
      <c r="F739" s="1" t="s">
        <v>754</v>
      </c>
      <c r="G739" s="1">
        <v>357027.31</v>
      </c>
      <c r="I739" s="30">
        <f>SUM($F$5:$F739)-SUM($E$5:$E739)</f>
        <v>357027.30999999866</v>
      </c>
      <c r="J739" s="30">
        <f t="shared" si="11"/>
        <v>-1.3387762010097504E-9</v>
      </c>
    </row>
    <row r="740" spans="1:10" x14ac:dyDescent="0.75">
      <c r="A740" s="31" t="s">
        <v>1437</v>
      </c>
      <c r="B740" s="31" t="s">
        <v>1437</v>
      </c>
      <c r="C740" s="1" t="s">
        <v>773</v>
      </c>
      <c r="E740" s="1" t="s">
        <v>754</v>
      </c>
      <c r="F740" s="1">
        <v>4375.46</v>
      </c>
      <c r="G740" s="1">
        <v>361402.77</v>
      </c>
      <c r="I740" s="30">
        <f>SUM($F$5:$F740)-SUM($E$5:$E740)</f>
        <v>361402.76999999955</v>
      </c>
      <c r="J740" s="30">
        <f t="shared" si="11"/>
        <v>-4.6566128730773926E-10</v>
      </c>
    </row>
    <row r="741" spans="1:10" x14ac:dyDescent="0.75">
      <c r="A741" s="31" t="s">
        <v>1441</v>
      </c>
      <c r="B741" s="31" t="s">
        <v>1441</v>
      </c>
      <c r="C741" s="1" t="s">
        <v>1442</v>
      </c>
      <c r="E741" s="1">
        <v>5520.34</v>
      </c>
      <c r="F741" s="1" t="s">
        <v>754</v>
      </c>
      <c r="G741" s="1">
        <v>355882.43</v>
      </c>
      <c r="I741" s="30">
        <f>SUM($F$5:$F741)-SUM($E$5:$E741)</f>
        <v>355882.4299999997</v>
      </c>
      <c r="J741" s="30">
        <f t="shared" si="11"/>
        <v>0</v>
      </c>
    </row>
    <row r="742" spans="1:10" x14ac:dyDescent="0.75">
      <c r="A742" s="31" t="s">
        <v>1441</v>
      </c>
      <c r="B742" s="31" t="s">
        <v>1441</v>
      </c>
      <c r="C742" s="1" t="s">
        <v>1443</v>
      </c>
      <c r="E742" s="1">
        <v>9253.7999999999993</v>
      </c>
      <c r="F742" s="1" t="s">
        <v>754</v>
      </c>
      <c r="G742" s="1">
        <v>346628.63</v>
      </c>
      <c r="I742" s="30">
        <f>SUM($F$5:$F742)-SUM($E$5:$E742)</f>
        <v>346628.62999999896</v>
      </c>
      <c r="J742" s="30">
        <f t="shared" si="11"/>
        <v>-1.0477378964424133E-9</v>
      </c>
    </row>
    <row r="743" spans="1:10" x14ac:dyDescent="0.75">
      <c r="A743" s="31" t="s">
        <v>1441</v>
      </c>
      <c r="B743" s="1" t="s">
        <v>1441</v>
      </c>
      <c r="C743" s="1" t="s">
        <v>1444</v>
      </c>
      <c r="E743" s="1">
        <v>13915.16</v>
      </c>
      <c r="F743" s="1" t="s">
        <v>754</v>
      </c>
      <c r="G743" s="1">
        <v>332713.46999999997</v>
      </c>
      <c r="I743" s="30">
        <f>SUM($F$5:$F743)-SUM($E$5:$E743)</f>
        <v>332713.46999999881</v>
      </c>
      <c r="J743" s="30">
        <f t="shared" si="11"/>
        <v>-1.1641532182693481E-9</v>
      </c>
    </row>
    <row r="744" spans="1:10" x14ac:dyDescent="0.75">
      <c r="A744" s="31" t="s">
        <v>1441</v>
      </c>
      <c r="B744" s="31" t="s">
        <v>1441</v>
      </c>
      <c r="C744" s="1" t="s">
        <v>1445</v>
      </c>
      <c r="E744" s="1">
        <v>18315</v>
      </c>
      <c r="F744" s="1" t="s">
        <v>754</v>
      </c>
      <c r="G744" s="1">
        <v>314398.46999999997</v>
      </c>
      <c r="I744" s="30">
        <f>SUM($F$5:$F744)-SUM($E$5:$E744)</f>
        <v>314398.46999999881</v>
      </c>
      <c r="J744" s="30">
        <f t="shared" si="11"/>
        <v>-1.1641532182693481E-9</v>
      </c>
    </row>
    <row r="745" spans="1:10" x14ac:dyDescent="0.75">
      <c r="A745" s="31" t="s">
        <v>1441</v>
      </c>
      <c r="B745" s="31" t="s">
        <v>1441</v>
      </c>
      <c r="C745" s="1" t="s">
        <v>1339</v>
      </c>
      <c r="E745" s="1">
        <v>3955</v>
      </c>
      <c r="F745" s="1" t="s">
        <v>754</v>
      </c>
      <c r="G745" s="1">
        <v>310443.46999999997</v>
      </c>
      <c r="I745" s="30">
        <f>SUM($F$5:$F745)-SUM($E$5:$E745)</f>
        <v>310443.46999999881</v>
      </c>
      <c r="J745" s="30">
        <f t="shared" si="11"/>
        <v>-1.1641532182693481E-9</v>
      </c>
    </row>
    <row r="746" spans="1:10" x14ac:dyDescent="0.75">
      <c r="A746" s="31" t="s">
        <v>1441</v>
      </c>
      <c r="B746" s="31" t="s">
        <v>1441</v>
      </c>
      <c r="C746" s="1" t="s">
        <v>773</v>
      </c>
      <c r="E746" s="1" t="s">
        <v>754</v>
      </c>
      <c r="F746" s="1">
        <v>76062.63</v>
      </c>
      <c r="G746" s="1">
        <v>386506.1</v>
      </c>
      <c r="I746" s="30">
        <f>SUM($F$5:$F746)-SUM($E$5:$E746)</f>
        <v>386506.09999999963</v>
      </c>
      <c r="J746" s="30">
        <f t="shared" si="11"/>
        <v>0</v>
      </c>
    </row>
    <row r="747" spans="1:10" x14ac:dyDescent="0.75">
      <c r="A747" s="31" t="s">
        <v>1446</v>
      </c>
      <c r="B747" s="31" t="s">
        <v>1446</v>
      </c>
      <c r="C747" s="1" t="s">
        <v>1447</v>
      </c>
      <c r="E747" s="1">
        <v>674.25</v>
      </c>
      <c r="F747" s="1" t="s">
        <v>754</v>
      </c>
      <c r="G747" s="1">
        <v>385831.85</v>
      </c>
      <c r="I747" s="30">
        <f>SUM($F$5:$F747)-SUM($E$5:$E747)</f>
        <v>385831.84999999963</v>
      </c>
      <c r="J747" s="30">
        <f t="shared" si="11"/>
        <v>0</v>
      </c>
    </row>
    <row r="748" spans="1:10" x14ac:dyDescent="0.75">
      <c r="A748" s="31" t="s">
        <v>1446</v>
      </c>
      <c r="B748" s="31" t="s">
        <v>1446</v>
      </c>
      <c r="C748" s="1" t="s">
        <v>1448</v>
      </c>
      <c r="E748" s="1">
        <v>2619</v>
      </c>
      <c r="F748" s="1" t="s">
        <v>754</v>
      </c>
      <c r="G748" s="1">
        <v>383212.85</v>
      </c>
      <c r="I748" s="30">
        <f>SUM($F$5:$F748)-SUM($E$5:$E748)</f>
        <v>383212.84999999963</v>
      </c>
      <c r="J748" s="30">
        <f t="shared" si="11"/>
        <v>0</v>
      </c>
    </row>
    <row r="749" spans="1:10" x14ac:dyDescent="0.75">
      <c r="A749" s="31" t="s">
        <v>1446</v>
      </c>
      <c r="B749" s="31" t="s">
        <v>1446</v>
      </c>
      <c r="C749" s="1" t="s">
        <v>1449</v>
      </c>
      <c r="E749" s="1">
        <v>12519.24</v>
      </c>
      <c r="F749" s="1" t="s">
        <v>754</v>
      </c>
      <c r="G749" s="1">
        <v>370693.61</v>
      </c>
      <c r="I749" s="30">
        <f>SUM($F$5:$F749)-SUM($E$5:$E749)</f>
        <v>370693.6099999994</v>
      </c>
      <c r="J749" s="30">
        <f t="shared" si="11"/>
        <v>-5.8207660913467407E-10</v>
      </c>
    </row>
    <row r="750" spans="1:10" x14ac:dyDescent="0.75">
      <c r="A750" s="31" t="s">
        <v>1446</v>
      </c>
      <c r="B750" s="31" t="s">
        <v>1446</v>
      </c>
      <c r="C750" s="1" t="s">
        <v>1450</v>
      </c>
      <c r="E750" s="1">
        <v>14695.5</v>
      </c>
      <c r="F750" s="1" t="s">
        <v>754</v>
      </c>
      <c r="G750" s="1">
        <v>355998.11</v>
      </c>
      <c r="I750" s="30">
        <f>SUM($F$5:$F750)-SUM($E$5:$E750)</f>
        <v>355998.1099999994</v>
      </c>
      <c r="J750" s="30">
        <f t="shared" si="11"/>
        <v>-5.8207660913467407E-10</v>
      </c>
    </row>
    <row r="751" spans="1:10" x14ac:dyDescent="0.75">
      <c r="A751" s="31" t="s">
        <v>1446</v>
      </c>
      <c r="B751" s="31" t="s">
        <v>1446</v>
      </c>
      <c r="C751" s="1" t="s">
        <v>1451</v>
      </c>
      <c r="E751" s="1">
        <v>18025.88</v>
      </c>
      <c r="F751" s="1" t="s">
        <v>754</v>
      </c>
      <c r="G751" s="1">
        <v>337972.23</v>
      </c>
      <c r="I751" s="30">
        <f>SUM($F$5:$F751)-SUM($E$5:$E751)</f>
        <v>337972.22999999858</v>
      </c>
      <c r="J751" s="30">
        <f t="shared" si="11"/>
        <v>-1.3969838619232178E-9</v>
      </c>
    </row>
    <row r="752" spans="1:10" x14ac:dyDescent="0.75">
      <c r="A752" s="31" t="s">
        <v>1446</v>
      </c>
      <c r="B752" s="31" t="s">
        <v>1446</v>
      </c>
      <c r="C752" s="1" t="s">
        <v>1452</v>
      </c>
      <c r="E752" s="1">
        <v>24152.16</v>
      </c>
      <c r="F752" s="1" t="s">
        <v>754</v>
      </c>
      <c r="G752" s="1">
        <v>313820.07</v>
      </c>
      <c r="I752" s="30">
        <f>SUM($F$5:$F752)-SUM($E$5:$E752)</f>
        <v>313820.06999999844</v>
      </c>
      <c r="J752" s="30">
        <f t="shared" si="11"/>
        <v>-1.57160684466362E-9</v>
      </c>
    </row>
    <row r="753" spans="1:10" x14ac:dyDescent="0.75">
      <c r="A753" s="31" t="s">
        <v>1446</v>
      </c>
      <c r="B753" s="31" t="s">
        <v>1446</v>
      </c>
      <c r="C753" s="1" t="s">
        <v>773</v>
      </c>
      <c r="E753" s="1" t="s">
        <v>754</v>
      </c>
      <c r="F753" s="1">
        <v>128507.15</v>
      </c>
      <c r="G753" s="1">
        <v>442327.22</v>
      </c>
      <c r="I753" s="30">
        <f>SUM($F$5:$F753)-SUM($E$5:$E753)</f>
        <v>442327.21999999881</v>
      </c>
      <c r="J753" s="30">
        <f t="shared" si="11"/>
        <v>-1.1641532182693481E-9</v>
      </c>
    </row>
    <row r="754" spans="1:10" x14ac:dyDescent="0.75">
      <c r="A754" s="31" t="s">
        <v>1453</v>
      </c>
      <c r="B754" s="31" t="s">
        <v>1453</v>
      </c>
      <c r="C754" s="1" t="s">
        <v>1253</v>
      </c>
      <c r="E754" s="1" t="s">
        <v>754</v>
      </c>
      <c r="F754" s="1">
        <v>366000</v>
      </c>
      <c r="G754" s="1">
        <v>808327.22</v>
      </c>
      <c r="I754" s="30">
        <f>SUM($F$5:$F754)-SUM($E$5:$E754)</f>
        <v>808327.21999999881</v>
      </c>
      <c r="J754" s="30">
        <f t="shared" si="11"/>
        <v>-1.1641532182693481E-9</v>
      </c>
    </row>
    <row r="755" spans="1:10" x14ac:dyDescent="0.75">
      <c r="A755" s="31" t="s">
        <v>1453</v>
      </c>
      <c r="B755" s="31" t="s">
        <v>1453</v>
      </c>
      <c r="C755" s="1" t="s">
        <v>1454</v>
      </c>
      <c r="E755" s="1">
        <v>4856</v>
      </c>
      <c r="F755" s="1" t="s">
        <v>754</v>
      </c>
      <c r="G755" s="1">
        <v>803471.22</v>
      </c>
      <c r="I755" s="30">
        <f>SUM($F$5:$F755)-SUM($E$5:$E755)</f>
        <v>803471.21999999881</v>
      </c>
      <c r="J755" s="30">
        <f t="shared" si="11"/>
        <v>-1.1641532182693481E-9</v>
      </c>
    </row>
    <row r="756" spans="1:10" x14ac:dyDescent="0.75">
      <c r="A756" s="31" t="s">
        <v>1453</v>
      </c>
      <c r="B756" s="1" t="s">
        <v>1453</v>
      </c>
      <c r="C756" s="1" t="s">
        <v>1455</v>
      </c>
      <c r="E756" s="1">
        <v>126.82</v>
      </c>
      <c r="F756" s="1" t="s">
        <v>754</v>
      </c>
      <c r="G756" s="1">
        <v>803344.4</v>
      </c>
      <c r="I756" s="30">
        <f>SUM($F$5:$F756)-SUM($E$5:$E756)</f>
        <v>803344.39999999851</v>
      </c>
      <c r="J756" s="30">
        <f t="shared" si="11"/>
        <v>-1.5133991837501526E-9</v>
      </c>
    </row>
    <row r="757" spans="1:10" x14ac:dyDescent="0.75">
      <c r="A757" s="31" t="s">
        <v>1453</v>
      </c>
      <c r="B757" s="31" t="s">
        <v>1453</v>
      </c>
      <c r="C757" s="1" t="s">
        <v>1456</v>
      </c>
      <c r="E757" s="1">
        <v>629</v>
      </c>
      <c r="F757" s="1" t="s">
        <v>754</v>
      </c>
      <c r="G757" s="1">
        <v>802715.4</v>
      </c>
      <c r="I757" s="30">
        <f>SUM($F$5:$F757)-SUM($E$5:$E757)</f>
        <v>802715.39999999851</v>
      </c>
      <c r="J757" s="30">
        <f t="shared" si="11"/>
        <v>-1.5133991837501526E-9</v>
      </c>
    </row>
    <row r="758" spans="1:10" x14ac:dyDescent="0.75">
      <c r="A758" s="31" t="s">
        <v>1453</v>
      </c>
      <c r="B758" s="31" t="s">
        <v>1453</v>
      </c>
      <c r="C758" s="1" t="s">
        <v>1457</v>
      </c>
      <c r="E758" s="1">
        <v>991.31</v>
      </c>
      <c r="F758" s="1" t="s">
        <v>754</v>
      </c>
      <c r="G758" s="1">
        <v>801724.09</v>
      </c>
      <c r="I758" s="30">
        <f>SUM($F$5:$F758)-SUM($E$5:$E758)</f>
        <v>801724.08999999799</v>
      </c>
      <c r="J758" s="30">
        <f t="shared" si="11"/>
        <v>-1.9790604710578918E-9</v>
      </c>
    </row>
    <row r="759" spans="1:10" x14ac:dyDescent="0.75">
      <c r="A759" s="31" t="s">
        <v>1453</v>
      </c>
      <c r="B759" s="31" t="s">
        <v>1453</v>
      </c>
      <c r="C759" s="1" t="s">
        <v>1458</v>
      </c>
      <c r="E759" s="1">
        <v>1110</v>
      </c>
      <c r="F759" s="1" t="s">
        <v>754</v>
      </c>
      <c r="G759" s="1">
        <v>800614.09</v>
      </c>
      <c r="I759" s="30">
        <f>SUM($F$5:$F759)-SUM($E$5:$E759)</f>
        <v>800614.08999999799</v>
      </c>
      <c r="J759" s="30">
        <f t="shared" si="11"/>
        <v>-1.9790604710578918E-9</v>
      </c>
    </row>
    <row r="760" spans="1:10" x14ac:dyDescent="0.75">
      <c r="A760" s="31" t="s">
        <v>1453</v>
      </c>
      <c r="B760" s="31" t="s">
        <v>1453</v>
      </c>
      <c r="C760" s="1" t="s">
        <v>1459</v>
      </c>
      <c r="E760" s="1">
        <v>1425</v>
      </c>
      <c r="F760" s="1" t="s">
        <v>754</v>
      </c>
      <c r="G760" s="1">
        <v>799189.09</v>
      </c>
      <c r="I760" s="30">
        <f>SUM($F$5:$F760)-SUM($E$5:$E760)</f>
        <v>799189.08999999799</v>
      </c>
      <c r="J760" s="30">
        <f t="shared" si="11"/>
        <v>-1.9790604710578918E-9</v>
      </c>
    </row>
    <row r="761" spans="1:10" x14ac:dyDescent="0.75">
      <c r="A761" s="31" t="s">
        <v>1453</v>
      </c>
      <c r="B761" s="31" t="s">
        <v>1453</v>
      </c>
      <c r="C761" s="1" t="s">
        <v>1460</v>
      </c>
      <c r="E761" s="1">
        <v>2078.13</v>
      </c>
      <c r="F761" s="1" t="s">
        <v>754</v>
      </c>
      <c r="G761" s="1">
        <v>797110.96</v>
      </c>
      <c r="I761" s="30">
        <f>SUM($F$5:$F761)-SUM($E$5:$E761)</f>
        <v>797110.95999999717</v>
      </c>
      <c r="J761" s="30">
        <f t="shared" si="11"/>
        <v>-2.7939677238464355E-9</v>
      </c>
    </row>
    <row r="762" spans="1:10" x14ac:dyDescent="0.75">
      <c r="A762" s="31" t="s">
        <v>1453</v>
      </c>
      <c r="B762" s="31" t="s">
        <v>1453</v>
      </c>
      <c r="C762" s="1" t="s">
        <v>1461</v>
      </c>
      <c r="E762" s="1">
        <v>3145</v>
      </c>
      <c r="F762" s="1" t="s">
        <v>754</v>
      </c>
      <c r="G762" s="1">
        <v>793965.96</v>
      </c>
      <c r="I762" s="30">
        <f>SUM($F$5:$F762)-SUM($E$5:$E762)</f>
        <v>793965.95999999717</v>
      </c>
      <c r="J762" s="30">
        <f t="shared" si="11"/>
        <v>-2.7939677238464355E-9</v>
      </c>
    </row>
    <row r="763" spans="1:10" x14ac:dyDescent="0.75">
      <c r="A763" s="31" t="s">
        <v>1453</v>
      </c>
      <c r="B763" s="31" t="s">
        <v>1453</v>
      </c>
      <c r="C763" s="1" t="s">
        <v>1462</v>
      </c>
      <c r="E763" s="1">
        <v>6742.89</v>
      </c>
      <c r="F763" s="1" t="s">
        <v>754</v>
      </c>
      <c r="G763" s="1">
        <v>787223.07</v>
      </c>
      <c r="I763" s="30">
        <f>SUM($F$5:$F763)-SUM($E$5:$E763)</f>
        <v>787223.06999999657</v>
      </c>
      <c r="J763" s="30">
        <f t="shared" si="11"/>
        <v>-3.3760443329811096E-9</v>
      </c>
    </row>
    <row r="764" spans="1:10" x14ac:dyDescent="0.75">
      <c r="A764" s="31" t="s">
        <v>1453</v>
      </c>
      <c r="B764" s="31" t="s">
        <v>1453</v>
      </c>
      <c r="C764" s="1" t="s">
        <v>1463</v>
      </c>
      <c r="E764" s="1">
        <v>7616</v>
      </c>
      <c r="F764" s="1" t="s">
        <v>754</v>
      </c>
      <c r="G764" s="1">
        <v>779607.07</v>
      </c>
      <c r="I764" s="30">
        <f>SUM($F$5:$F764)-SUM($E$5:$E764)</f>
        <v>779607.06999999657</v>
      </c>
      <c r="J764" s="30">
        <f t="shared" si="11"/>
        <v>-3.3760443329811096E-9</v>
      </c>
    </row>
    <row r="765" spans="1:10" x14ac:dyDescent="0.75">
      <c r="A765" s="31" t="s">
        <v>1453</v>
      </c>
      <c r="B765" s="31" t="s">
        <v>1453</v>
      </c>
      <c r="C765" s="1" t="s">
        <v>1464</v>
      </c>
      <c r="E765" s="1">
        <v>9407.25</v>
      </c>
      <c r="F765" s="1" t="s">
        <v>754</v>
      </c>
      <c r="G765" s="1">
        <v>770199.82</v>
      </c>
      <c r="I765" s="30">
        <f>SUM($F$5:$F765)-SUM($E$5:$E765)</f>
        <v>770199.81999999657</v>
      </c>
      <c r="J765" s="30">
        <f t="shared" si="11"/>
        <v>-3.3760443329811096E-9</v>
      </c>
    </row>
    <row r="766" spans="1:10" x14ac:dyDescent="0.75">
      <c r="A766" s="31" t="s">
        <v>1453</v>
      </c>
      <c r="B766" s="31" t="s">
        <v>1453</v>
      </c>
      <c r="C766" s="1" t="s">
        <v>1465</v>
      </c>
      <c r="E766" s="1">
        <v>10646.67</v>
      </c>
      <c r="F766" s="1" t="s">
        <v>754</v>
      </c>
      <c r="G766" s="1">
        <v>759553.15</v>
      </c>
      <c r="I766" s="30">
        <f>SUM($F$5:$F766)-SUM($E$5:$E766)</f>
        <v>759553.14999999665</v>
      </c>
      <c r="J766" s="30">
        <f t="shared" si="11"/>
        <v>-3.3760443329811096E-9</v>
      </c>
    </row>
    <row r="767" spans="1:10" x14ac:dyDescent="0.75">
      <c r="A767" s="31" t="s">
        <v>1453</v>
      </c>
      <c r="B767" s="31" t="s">
        <v>1453</v>
      </c>
      <c r="C767" s="1" t="s">
        <v>1466</v>
      </c>
      <c r="E767" s="1">
        <v>1255.8499999999999</v>
      </c>
      <c r="F767" s="1" t="s">
        <v>754</v>
      </c>
      <c r="G767" s="1">
        <v>758297.3</v>
      </c>
      <c r="I767" s="30">
        <f>SUM($F$5:$F767)-SUM($E$5:$E767)</f>
        <v>758297.29999999702</v>
      </c>
      <c r="J767" s="30">
        <f t="shared" si="11"/>
        <v>-3.0267983675003052E-9</v>
      </c>
    </row>
    <row r="768" spans="1:10" x14ac:dyDescent="0.75">
      <c r="A768" s="31" t="s">
        <v>1453</v>
      </c>
      <c r="B768" s="31" t="s">
        <v>1453</v>
      </c>
      <c r="C768" s="1" t="s">
        <v>1467</v>
      </c>
      <c r="E768" s="1" t="s">
        <v>754</v>
      </c>
      <c r="F768" s="1">
        <v>274752</v>
      </c>
      <c r="G768" s="1">
        <v>1033049.3</v>
      </c>
      <c r="I768" s="30">
        <f>SUM($F$5:$F768)-SUM($E$5:$E768)</f>
        <v>1033049.299999997</v>
      </c>
      <c r="J768" s="30">
        <f t="shared" si="11"/>
        <v>-3.0267983675003052E-9</v>
      </c>
    </row>
    <row r="769" spans="1:10" x14ac:dyDescent="0.75">
      <c r="A769" s="31" t="s">
        <v>1468</v>
      </c>
      <c r="B769" s="1" t="s">
        <v>1468</v>
      </c>
      <c r="C769" s="1" t="s">
        <v>773</v>
      </c>
      <c r="E769" s="1" t="s">
        <v>754</v>
      </c>
      <c r="F769" s="1">
        <v>23596.16</v>
      </c>
      <c r="G769" s="1">
        <v>1056645.46</v>
      </c>
      <c r="I769" s="30">
        <f>SUM($F$5:$F769)-SUM($E$5:$E769)</f>
        <v>1056645.4599999972</v>
      </c>
      <c r="J769" s="30">
        <f t="shared" si="11"/>
        <v>-2.7939677238464355E-9</v>
      </c>
    </row>
    <row r="770" spans="1:10" x14ac:dyDescent="0.75">
      <c r="A770" s="31" t="s">
        <v>1468</v>
      </c>
      <c r="B770" s="31" t="s">
        <v>1468</v>
      </c>
      <c r="C770" s="1" t="s">
        <v>1469</v>
      </c>
      <c r="E770" s="1">
        <v>551.25</v>
      </c>
      <c r="F770" s="1" t="s">
        <v>754</v>
      </c>
      <c r="G770" s="1">
        <v>1056094.21</v>
      </c>
      <c r="I770" s="30">
        <f>SUM($F$5:$F770)-SUM($E$5:$E770)</f>
        <v>1056094.2099999972</v>
      </c>
      <c r="J770" s="30">
        <f t="shared" si="11"/>
        <v>-2.7939677238464355E-9</v>
      </c>
    </row>
    <row r="771" spans="1:10" x14ac:dyDescent="0.75">
      <c r="A771" s="31" t="s">
        <v>1468</v>
      </c>
      <c r="B771" s="31" t="s">
        <v>1468</v>
      </c>
      <c r="C771" s="1" t="s">
        <v>1470</v>
      </c>
      <c r="E771" s="1">
        <v>559.62</v>
      </c>
      <c r="F771" s="1" t="s">
        <v>754</v>
      </c>
      <c r="G771" s="1">
        <v>1055534.5900000001</v>
      </c>
      <c r="I771" s="30">
        <f>SUM($F$5:$F771)-SUM($E$5:$E771)</f>
        <v>1055534.589999998</v>
      </c>
      <c r="J771" s="30">
        <f t="shared" si="11"/>
        <v>-2.0954757928848267E-9</v>
      </c>
    </row>
    <row r="772" spans="1:10" x14ac:dyDescent="0.75">
      <c r="A772" s="1" t="s">
        <v>1468</v>
      </c>
      <c r="B772" s="1" t="s">
        <v>1468</v>
      </c>
      <c r="C772" s="1" t="s">
        <v>1471</v>
      </c>
      <c r="E772" s="1">
        <v>829.35</v>
      </c>
      <c r="F772" s="1" t="s">
        <v>754</v>
      </c>
      <c r="G772" s="1">
        <v>1054705.24</v>
      </c>
      <c r="I772" s="30">
        <f>SUM($F$5:$F772)-SUM($E$5:$E772)</f>
        <v>1054705.2399999984</v>
      </c>
      <c r="J772" s="30">
        <f t="shared" si="11"/>
        <v>0</v>
      </c>
    </row>
    <row r="773" spans="1:10" x14ac:dyDescent="0.75">
      <c r="A773" s="1" t="s">
        <v>1468</v>
      </c>
      <c r="B773" s="1" t="s">
        <v>1468</v>
      </c>
      <c r="C773" s="1" t="s">
        <v>1472</v>
      </c>
      <c r="E773" s="1">
        <v>1121.32</v>
      </c>
      <c r="F773" s="1" t="s">
        <v>754</v>
      </c>
      <c r="G773" s="1">
        <v>1053583.92</v>
      </c>
      <c r="I773" s="30">
        <f>SUM($F$5:$F773)-SUM($E$5:$E773)</f>
        <v>1053583.9199999981</v>
      </c>
      <c r="J773" s="30">
        <f t="shared" si="11"/>
        <v>-1.862645149230957E-9</v>
      </c>
    </row>
    <row r="774" spans="1:10" x14ac:dyDescent="0.75">
      <c r="A774" s="1" t="s">
        <v>1468</v>
      </c>
      <c r="B774" s="1" t="s">
        <v>1468</v>
      </c>
      <c r="C774" s="1" t="s">
        <v>1473</v>
      </c>
      <c r="E774" s="1">
        <v>1373.52</v>
      </c>
      <c r="F774" s="1" t="s">
        <v>754</v>
      </c>
      <c r="G774" s="1">
        <v>1052210.3999999999</v>
      </c>
      <c r="I774" s="30">
        <f>SUM($F$5:$F774)-SUM($E$5:$E774)</f>
        <v>1052210.3999999985</v>
      </c>
      <c r="J774" s="30">
        <f t="shared" ref="J774:J793" si="12">I774-G774</f>
        <v>0</v>
      </c>
    </row>
    <row r="775" spans="1:10" x14ac:dyDescent="0.75">
      <c r="A775" s="1" t="s">
        <v>1468</v>
      </c>
      <c r="B775" s="1" t="s">
        <v>1468</v>
      </c>
      <c r="C775" s="1" t="s">
        <v>1474</v>
      </c>
      <c r="E775" s="1">
        <v>1729.99</v>
      </c>
      <c r="F775" s="1" t="s">
        <v>754</v>
      </c>
      <c r="G775" s="1">
        <v>1050480.4099999999</v>
      </c>
      <c r="I775" s="30">
        <f>SUM($F$5:$F775)-SUM($E$5:$E775)</f>
        <v>1050480.4099999983</v>
      </c>
      <c r="J775" s="30">
        <f t="shared" si="12"/>
        <v>0</v>
      </c>
    </row>
    <row r="776" spans="1:10" x14ac:dyDescent="0.75">
      <c r="A776" s="1" t="s">
        <v>1468</v>
      </c>
      <c r="B776" s="1" t="s">
        <v>1468</v>
      </c>
      <c r="C776" s="1" t="s">
        <v>1475</v>
      </c>
      <c r="E776" s="1">
        <v>2764.5</v>
      </c>
      <c r="F776" s="1" t="s">
        <v>754</v>
      </c>
      <c r="G776" s="1">
        <v>1047715.91</v>
      </c>
      <c r="I776" s="30">
        <f>SUM($F$5:$F776)-SUM($E$5:$E776)</f>
        <v>1047715.9099999983</v>
      </c>
      <c r="J776" s="30">
        <f t="shared" si="12"/>
        <v>-1.7462298274040222E-9</v>
      </c>
    </row>
    <row r="777" spans="1:10" x14ac:dyDescent="0.75">
      <c r="A777" s="1" t="s">
        <v>1468</v>
      </c>
      <c r="B777" s="1" t="s">
        <v>1468</v>
      </c>
      <c r="C777" s="1" t="s">
        <v>1476</v>
      </c>
      <c r="E777" s="1">
        <v>6660</v>
      </c>
      <c r="F777" s="1" t="s">
        <v>754</v>
      </c>
      <c r="G777" s="1">
        <v>1041055.91</v>
      </c>
      <c r="I777" s="30">
        <f>SUM($F$5:$F777)-SUM($E$5:$E777)</f>
        <v>1041055.9099999983</v>
      </c>
      <c r="J777" s="30">
        <f t="shared" si="12"/>
        <v>-1.7462298274040222E-9</v>
      </c>
    </row>
    <row r="778" spans="1:10" x14ac:dyDescent="0.75">
      <c r="A778" s="1" t="s">
        <v>1468</v>
      </c>
      <c r="B778" s="1" t="s">
        <v>1468</v>
      </c>
      <c r="C778" s="1" t="s">
        <v>1477</v>
      </c>
      <c r="E778" s="1">
        <v>7182</v>
      </c>
      <c r="F778" s="1" t="s">
        <v>754</v>
      </c>
      <c r="G778" s="1">
        <v>1033873.91</v>
      </c>
      <c r="I778" s="30">
        <f>SUM($F$5:$F778)-SUM($E$5:$E778)</f>
        <v>1033873.9099999983</v>
      </c>
      <c r="J778" s="30">
        <f t="shared" si="12"/>
        <v>-1.7462298274040222E-9</v>
      </c>
    </row>
    <row r="779" spans="1:10" x14ac:dyDescent="0.75">
      <c r="A779" s="1" t="s">
        <v>1468</v>
      </c>
      <c r="B779" s="1" t="s">
        <v>1468</v>
      </c>
      <c r="C779" s="1" t="s">
        <v>1478</v>
      </c>
      <c r="E779" s="1">
        <v>274752</v>
      </c>
      <c r="F779" s="1" t="s">
        <v>754</v>
      </c>
      <c r="G779" s="1">
        <v>759121.91</v>
      </c>
      <c r="I779" s="30">
        <f>SUM($F$5:$F779)-SUM($E$5:$E779)</f>
        <v>759121.90999999829</v>
      </c>
      <c r="J779" s="30">
        <f t="shared" si="12"/>
        <v>-1.7462298274040222E-9</v>
      </c>
    </row>
    <row r="780" spans="1:10" x14ac:dyDescent="0.75">
      <c r="A780" s="1" t="s">
        <v>1468</v>
      </c>
      <c r="B780" s="1" t="s">
        <v>1468</v>
      </c>
      <c r="C780" s="1" t="s">
        <v>773</v>
      </c>
      <c r="E780" s="1" t="s">
        <v>754</v>
      </c>
      <c r="F780" s="1">
        <v>61887.3</v>
      </c>
      <c r="G780" s="1">
        <v>821009.21</v>
      </c>
      <c r="I780" s="30">
        <f>SUM($F$5:$F780)-SUM($E$5:$E780)</f>
        <v>821009.20999999903</v>
      </c>
      <c r="J780" s="30">
        <f t="shared" si="12"/>
        <v>-9.3132257461547852E-10</v>
      </c>
    </row>
    <row r="781" spans="1:10" x14ac:dyDescent="0.75">
      <c r="A781" s="1" t="s">
        <v>1479</v>
      </c>
      <c r="B781" s="1" t="s">
        <v>1479</v>
      </c>
      <c r="C781" s="1" t="s">
        <v>1480</v>
      </c>
      <c r="E781" s="1">
        <v>1455</v>
      </c>
      <c r="F781" s="1" t="s">
        <v>754</v>
      </c>
      <c r="G781" s="1">
        <v>819554.21</v>
      </c>
      <c r="I781" s="30">
        <f>SUM($F$5:$F781)-SUM($E$5:$E781)</f>
        <v>819554.20999999903</v>
      </c>
      <c r="J781" s="30">
        <f t="shared" si="12"/>
        <v>-9.3132257461547852E-10</v>
      </c>
    </row>
    <row r="782" spans="1:10" x14ac:dyDescent="0.75">
      <c r="A782" s="1" t="s">
        <v>1479</v>
      </c>
      <c r="B782" s="1" t="s">
        <v>1479</v>
      </c>
      <c r="C782" s="1" t="s">
        <v>1481</v>
      </c>
      <c r="E782" s="1">
        <v>1650</v>
      </c>
      <c r="F782" s="1" t="s">
        <v>754</v>
      </c>
      <c r="G782" s="1">
        <v>817904.21</v>
      </c>
      <c r="I782" s="30">
        <f>SUM($F$5:$F782)-SUM($E$5:$E782)</f>
        <v>817904.20999999903</v>
      </c>
      <c r="J782" s="30">
        <f t="shared" si="12"/>
        <v>-9.3132257461547852E-10</v>
      </c>
    </row>
    <row r="783" spans="1:10" x14ac:dyDescent="0.75">
      <c r="A783" s="1" t="s">
        <v>1479</v>
      </c>
      <c r="B783" s="1" t="s">
        <v>1479</v>
      </c>
      <c r="C783" s="1" t="s">
        <v>1482</v>
      </c>
      <c r="E783" s="1">
        <v>9372</v>
      </c>
      <c r="F783" s="1" t="s">
        <v>754</v>
      </c>
      <c r="G783" s="1">
        <v>808532.21</v>
      </c>
      <c r="I783" s="30">
        <f>SUM($F$5:$F783)-SUM($E$5:$E783)</f>
        <v>808532.20999999903</v>
      </c>
      <c r="J783" s="30">
        <f t="shared" si="12"/>
        <v>-9.3132257461547852E-10</v>
      </c>
    </row>
    <row r="784" spans="1:10" x14ac:dyDescent="0.75">
      <c r="A784" s="1" t="s">
        <v>1479</v>
      </c>
      <c r="B784" s="1" t="s">
        <v>1479</v>
      </c>
      <c r="C784" s="1" t="s">
        <v>1483</v>
      </c>
      <c r="E784" s="1">
        <v>14935.85</v>
      </c>
      <c r="F784" s="1" t="s">
        <v>754</v>
      </c>
      <c r="G784" s="1">
        <v>793596.36</v>
      </c>
      <c r="I784" s="30">
        <f>SUM($F$5:$F784)-SUM($E$5:$E784)</f>
        <v>793596.3599999994</v>
      </c>
      <c r="J784" s="30">
        <f t="shared" si="12"/>
        <v>0</v>
      </c>
    </row>
    <row r="785" spans="1:10" x14ac:dyDescent="0.75">
      <c r="A785" s="1" t="s">
        <v>1479</v>
      </c>
      <c r="B785" s="1" t="s">
        <v>1479</v>
      </c>
      <c r="C785" s="1" t="s">
        <v>1484</v>
      </c>
      <c r="E785" s="1">
        <v>18129.3</v>
      </c>
      <c r="F785" s="1" t="s">
        <v>754</v>
      </c>
      <c r="G785" s="1">
        <v>775467.06</v>
      </c>
      <c r="I785" s="30">
        <f>SUM($F$5:$F785)-SUM($E$5:$E785)</f>
        <v>775467.05999999866</v>
      </c>
      <c r="J785" s="30">
        <f t="shared" si="12"/>
        <v>-1.3969838619232178E-9</v>
      </c>
    </row>
    <row r="786" spans="1:10" x14ac:dyDescent="0.75">
      <c r="A786" s="1" t="s">
        <v>1479</v>
      </c>
      <c r="B786" s="1" t="s">
        <v>1479</v>
      </c>
      <c r="F786" s="1" t="s">
        <v>754</v>
      </c>
      <c r="G786" s="30">
        <v>775467.06</v>
      </c>
      <c r="I786" s="30">
        <f>SUM($F$5:$F786)-SUM($E$5:$E786)</f>
        <v>775467.05999999866</v>
      </c>
      <c r="J786" s="30">
        <f t="shared" si="12"/>
        <v>-1.3969838619232178E-9</v>
      </c>
    </row>
    <row r="787" spans="1:10" x14ac:dyDescent="0.75">
      <c r="A787" s="1" t="s">
        <v>1485</v>
      </c>
      <c r="B787" s="1" t="s">
        <v>751</v>
      </c>
      <c r="C787" s="1" t="s">
        <v>773</v>
      </c>
      <c r="E787" s="1" t="s">
        <v>754</v>
      </c>
      <c r="F787" s="30">
        <v>3630.26</v>
      </c>
      <c r="G787" s="30">
        <v>779097.32</v>
      </c>
      <c r="I787" s="30">
        <f>SUM($F$5:$F787)-SUM($E$5:$E787)</f>
        <v>779097.31999999844</v>
      </c>
      <c r="J787" s="30">
        <f t="shared" si="12"/>
        <v>-1.5133991837501526E-9</v>
      </c>
    </row>
    <row r="788" spans="1:10" x14ac:dyDescent="0.75">
      <c r="A788" s="1" t="s">
        <v>751</v>
      </c>
      <c r="B788" s="1" t="s">
        <v>751</v>
      </c>
      <c r="C788" s="1" t="s">
        <v>1486</v>
      </c>
      <c r="E788" s="30">
        <v>9420.4599999999991</v>
      </c>
      <c r="F788" s="1" t="s">
        <v>754</v>
      </c>
      <c r="G788" s="30">
        <v>769676.86</v>
      </c>
      <c r="I788" s="30">
        <f>SUM($F$5:$F788)-SUM($E$5:$E788)</f>
        <v>769676.85999999754</v>
      </c>
      <c r="J788" s="30">
        <f t="shared" si="12"/>
        <v>-2.4447217583656311E-9</v>
      </c>
    </row>
    <row r="789" spans="1:10" x14ac:dyDescent="0.75">
      <c r="A789" s="1" t="s">
        <v>751</v>
      </c>
      <c r="B789" s="1" t="s">
        <v>751</v>
      </c>
      <c r="C789" s="1" t="s">
        <v>1487</v>
      </c>
      <c r="E789" s="30">
        <v>1382.25</v>
      </c>
      <c r="F789" s="1" t="s">
        <v>754</v>
      </c>
      <c r="G789" s="30">
        <v>768294.61</v>
      </c>
      <c r="I789" s="30">
        <f>SUM($F$5:$F789)-SUM($E$5:$E789)</f>
        <v>768294.60999999754</v>
      </c>
      <c r="J789" s="30">
        <f t="shared" si="12"/>
        <v>-2.4447217583656311E-9</v>
      </c>
    </row>
    <row r="790" spans="1:10" x14ac:dyDescent="0.75">
      <c r="A790" s="1" t="s">
        <v>751</v>
      </c>
      <c r="B790" s="1" t="s">
        <v>751</v>
      </c>
      <c r="C790" s="1" t="s">
        <v>1488</v>
      </c>
      <c r="E790" s="30">
        <v>1522.9</v>
      </c>
      <c r="F790" s="1" t="s">
        <v>754</v>
      </c>
      <c r="G790" s="30">
        <v>766771.71</v>
      </c>
      <c r="I790" s="30">
        <f>SUM($F$5:$F790)-SUM($E$5:$E790)</f>
        <v>766771.70999999717</v>
      </c>
      <c r="J790" s="30">
        <f t="shared" si="12"/>
        <v>-2.7939677238464355E-9</v>
      </c>
    </row>
    <row r="791" spans="1:10" x14ac:dyDescent="0.75">
      <c r="A791" s="1" t="s">
        <v>751</v>
      </c>
      <c r="B791" s="1" t="s">
        <v>751</v>
      </c>
      <c r="C791" s="1" t="s">
        <v>1489</v>
      </c>
      <c r="E791" s="30">
        <v>1941.1</v>
      </c>
      <c r="F791" s="1" t="s">
        <v>754</v>
      </c>
      <c r="G791" s="30">
        <v>764830.61</v>
      </c>
      <c r="I791" s="30">
        <f>SUM($F$5:$F791)-SUM($E$5:$E791)</f>
        <v>764830.60999999754</v>
      </c>
      <c r="J791" s="30">
        <f t="shared" si="12"/>
        <v>-2.4447217583656311E-9</v>
      </c>
    </row>
    <row r="792" spans="1:10" x14ac:dyDescent="0.75">
      <c r="A792" s="1" t="s">
        <v>751</v>
      </c>
      <c r="B792" s="1" t="s">
        <v>751</v>
      </c>
      <c r="C792" s="1" t="s">
        <v>1490</v>
      </c>
      <c r="E792" s="30">
        <v>17262.16</v>
      </c>
      <c r="F792" s="1" t="s">
        <v>754</v>
      </c>
      <c r="G792" s="30">
        <v>747568.45</v>
      </c>
      <c r="I792" s="30">
        <f>SUM($F$5:$F792)-SUM($E$5:$E792)</f>
        <v>747568.44999999739</v>
      </c>
      <c r="J792" s="30">
        <f t="shared" si="12"/>
        <v>-2.5611370801925659E-9</v>
      </c>
    </row>
    <row r="793" spans="1:10" x14ac:dyDescent="0.75">
      <c r="A793" s="1" t="s">
        <v>751</v>
      </c>
      <c r="B793" s="1" t="s">
        <v>751</v>
      </c>
      <c r="C793" s="1" t="s">
        <v>1491</v>
      </c>
      <c r="E793" s="30">
        <v>207362.42</v>
      </c>
      <c r="F793" s="1" t="s">
        <v>754</v>
      </c>
      <c r="G793" s="30">
        <v>540206.03</v>
      </c>
      <c r="I793" s="30">
        <f>SUM($F$5:$F793)-SUM($E$5:$E793)</f>
        <v>540206.02999999747</v>
      </c>
      <c r="J793" s="30">
        <f t="shared" si="12"/>
        <v>-2.5611370801925659E-9</v>
      </c>
    </row>
    <row r="794" spans="1:10" x14ac:dyDescent="0.75">
      <c r="A794" s="1" t="s">
        <v>751</v>
      </c>
      <c r="C794" s="1" t="s">
        <v>921</v>
      </c>
      <c r="G794" s="30"/>
      <c r="I794" s="30"/>
      <c r="J794" s="30"/>
    </row>
    <row r="795" spans="1:10" x14ac:dyDescent="0.75">
      <c r="I795" s="30"/>
      <c r="J795" s="30"/>
    </row>
    <row r="796" spans="1:10" x14ac:dyDescent="0.75">
      <c r="I796" s="30"/>
      <c r="J796" s="30"/>
    </row>
    <row r="797" spans="1:10" x14ac:dyDescent="0.75">
      <c r="I797" s="30"/>
      <c r="J797" s="30"/>
    </row>
    <row r="798" spans="1:10" x14ac:dyDescent="0.75">
      <c r="I798" s="30"/>
      <c r="J798" s="30"/>
    </row>
    <row r="799" spans="1:10" x14ac:dyDescent="0.75">
      <c r="I799" s="30"/>
      <c r="J799" s="30"/>
    </row>
    <row r="800" spans="1:10" x14ac:dyDescent="0.75">
      <c r="I800" s="30"/>
      <c r="J800" s="30"/>
    </row>
    <row r="801" spans="9:10" x14ac:dyDescent="0.75">
      <c r="I801" s="30"/>
      <c r="J801" s="30"/>
    </row>
    <row r="802" spans="9:10" x14ac:dyDescent="0.75">
      <c r="I802" s="30"/>
      <c r="J802" s="30"/>
    </row>
    <row r="803" spans="9:10" x14ac:dyDescent="0.75">
      <c r="I803" s="30"/>
      <c r="J803" s="30"/>
    </row>
    <row r="804" spans="9:10" x14ac:dyDescent="0.75">
      <c r="I804" s="30"/>
      <c r="J804" s="30"/>
    </row>
    <row r="805" spans="9:10" x14ac:dyDescent="0.75">
      <c r="I805" s="30"/>
      <c r="J805" s="30"/>
    </row>
    <row r="806" spans="9:10" x14ac:dyDescent="0.75">
      <c r="I806" s="30"/>
      <c r="J806" s="30"/>
    </row>
    <row r="807" spans="9:10" x14ac:dyDescent="0.75">
      <c r="I807" s="30"/>
      <c r="J807" s="30"/>
    </row>
    <row r="808" spans="9:10" x14ac:dyDescent="0.75">
      <c r="I808" s="30"/>
      <c r="J808" s="30"/>
    </row>
    <row r="809" spans="9:10" x14ac:dyDescent="0.75">
      <c r="I809" s="30"/>
      <c r="J809" s="30"/>
    </row>
    <row r="810" spans="9:10" x14ac:dyDescent="0.75">
      <c r="I810" s="30"/>
      <c r="J810" s="30"/>
    </row>
    <row r="811" spans="9:10" x14ac:dyDescent="0.75">
      <c r="I811" s="30"/>
      <c r="J811" s="30"/>
    </row>
    <row r="812" spans="9:10" x14ac:dyDescent="0.75">
      <c r="I812" s="30"/>
      <c r="J812" s="30"/>
    </row>
    <row r="813" spans="9:10" x14ac:dyDescent="0.75">
      <c r="I813" s="30"/>
      <c r="J813" s="30"/>
    </row>
    <row r="814" spans="9:10" x14ac:dyDescent="0.75">
      <c r="I814" s="30"/>
      <c r="J814" s="30"/>
    </row>
    <row r="815" spans="9:10" x14ac:dyDescent="0.75">
      <c r="I815" s="30"/>
      <c r="J815" s="30"/>
    </row>
    <row r="816" spans="9:10" x14ac:dyDescent="0.75">
      <c r="I816" s="30"/>
      <c r="J816" s="30"/>
    </row>
    <row r="817" spans="9:10" x14ac:dyDescent="0.75">
      <c r="I817" s="30"/>
      <c r="J817" s="30"/>
    </row>
    <row r="818" spans="9:10" x14ac:dyDescent="0.75">
      <c r="I818" s="30"/>
      <c r="J818" s="30"/>
    </row>
    <row r="819" spans="9:10" x14ac:dyDescent="0.75">
      <c r="I819" s="30"/>
      <c r="J819" s="30"/>
    </row>
    <row r="820" spans="9:10" x14ac:dyDescent="0.75">
      <c r="I820" s="30"/>
      <c r="J820" s="30"/>
    </row>
    <row r="821" spans="9:10" x14ac:dyDescent="0.75">
      <c r="I821" s="30"/>
      <c r="J821" s="30"/>
    </row>
    <row r="822" spans="9:10" x14ac:dyDescent="0.75">
      <c r="I822" s="30"/>
      <c r="J822" s="30"/>
    </row>
    <row r="823" spans="9:10" x14ac:dyDescent="0.75">
      <c r="I823" s="30"/>
      <c r="J823" s="30"/>
    </row>
    <row r="824" spans="9:10" x14ac:dyDescent="0.75">
      <c r="I824" s="30"/>
      <c r="J824" s="30"/>
    </row>
    <row r="825" spans="9:10" x14ac:dyDescent="0.75">
      <c r="I825" s="30"/>
      <c r="J825" s="30"/>
    </row>
    <row r="826" spans="9:10" x14ac:dyDescent="0.75">
      <c r="I826" s="30"/>
      <c r="J826" s="30"/>
    </row>
    <row r="827" spans="9:10" x14ac:dyDescent="0.75">
      <c r="I827" s="30"/>
      <c r="J827" s="30"/>
    </row>
    <row r="828" spans="9:10" x14ac:dyDescent="0.75">
      <c r="I828" s="30"/>
      <c r="J828" s="30"/>
    </row>
    <row r="829" spans="9:10" x14ac:dyDescent="0.75">
      <c r="I829" s="30"/>
      <c r="J829" s="30"/>
    </row>
    <row r="830" spans="9:10" x14ac:dyDescent="0.75">
      <c r="I830" s="30"/>
      <c r="J830" s="30"/>
    </row>
    <row r="831" spans="9:10" x14ac:dyDescent="0.75">
      <c r="I831" s="30"/>
      <c r="J831" s="30"/>
    </row>
    <row r="832" spans="9:10" x14ac:dyDescent="0.75">
      <c r="I832" s="30"/>
      <c r="J832" s="30"/>
    </row>
    <row r="833" spans="5:10" x14ac:dyDescent="0.75">
      <c r="I833" s="30"/>
      <c r="J833" s="30"/>
    </row>
    <row r="834" spans="5:10" x14ac:dyDescent="0.75">
      <c r="I834" s="30"/>
      <c r="J834" s="30"/>
    </row>
    <row r="835" spans="5:10" x14ac:dyDescent="0.75">
      <c r="I835" s="30"/>
      <c r="J835" s="30"/>
    </row>
    <row r="836" spans="5:10" x14ac:dyDescent="0.75">
      <c r="I836" s="30"/>
      <c r="J836" s="30"/>
    </row>
    <row r="837" spans="5:10" x14ac:dyDescent="0.75">
      <c r="I837" s="30"/>
      <c r="J837" s="30"/>
    </row>
    <row r="838" spans="5:10" x14ac:dyDescent="0.75">
      <c r="I838" s="30"/>
      <c r="J838" s="30"/>
    </row>
    <row r="839" spans="5:10" x14ac:dyDescent="0.75">
      <c r="I839" s="30"/>
      <c r="J839" s="30"/>
    </row>
    <row r="840" spans="5:10" x14ac:dyDescent="0.75">
      <c r="I840" s="30"/>
      <c r="J840" s="30"/>
    </row>
    <row r="841" spans="5:10" x14ac:dyDescent="0.75">
      <c r="I841" s="30"/>
      <c r="J841" s="30"/>
    </row>
    <row r="842" spans="5:10" x14ac:dyDescent="0.75">
      <c r="I842" s="30"/>
      <c r="J842" s="30"/>
    </row>
    <row r="843" spans="5:10" x14ac:dyDescent="0.75">
      <c r="I843" s="30"/>
      <c r="J843" s="30"/>
    </row>
    <row r="844" spans="5:10" x14ac:dyDescent="0.75">
      <c r="I844" s="30"/>
      <c r="J844" s="30"/>
    </row>
    <row r="845" spans="5:10" x14ac:dyDescent="0.75">
      <c r="I845" s="30"/>
      <c r="J845" s="30"/>
    </row>
    <row r="846" spans="5:10" x14ac:dyDescent="0.75">
      <c r="G846" s="30"/>
      <c r="I846" s="30"/>
      <c r="J846" s="30"/>
    </row>
    <row r="847" spans="5:10" x14ac:dyDescent="0.75">
      <c r="F847" s="30"/>
      <c r="G847" s="30"/>
      <c r="I847" s="30"/>
      <c r="J847" s="30"/>
    </row>
    <row r="848" spans="5:10" x14ac:dyDescent="0.75">
      <c r="E848" s="30"/>
      <c r="G848" s="30"/>
      <c r="I848" s="30"/>
      <c r="J848" s="30"/>
    </row>
    <row r="849" spans="5:10" x14ac:dyDescent="0.75">
      <c r="E849" s="30"/>
      <c r="G849" s="30"/>
      <c r="I849" s="30"/>
      <c r="J849" s="30"/>
    </row>
    <row r="850" spans="5:10" x14ac:dyDescent="0.75">
      <c r="E850" s="30"/>
      <c r="G850" s="30"/>
      <c r="I850" s="30"/>
      <c r="J850" s="30"/>
    </row>
    <row r="851" spans="5:10" x14ac:dyDescent="0.75">
      <c r="E851" s="30"/>
      <c r="G851" s="30"/>
      <c r="I851" s="30"/>
      <c r="J851" s="30"/>
    </row>
    <row r="852" spans="5:10" x14ac:dyDescent="0.75">
      <c r="E852" s="30"/>
      <c r="G852" s="30"/>
      <c r="I852" s="30"/>
      <c r="J852" s="30"/>
    </row>
    <row r="853" spans="5:10" x14ac:dyDescent="0.75">
      <c r="E853" s="30"/>
      <c r="G853" s="30"/>
      <c r="I853" s="30"/>
      <c r="J853" s="30"/>
    </row>
    <row r="854" spans="5:10" x14ac:dyDescent="0.75">
      <c r="G854" s="3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FFC5-0A41-46C3-8064-F6FD1EC31890}">
  <dimension ref="D3:D4"/>
  <sheetViews>
    <sheetView workbookViewId="0">
      <selection activeCell="O10" sqref="O10"/>
    </sheetView>
  </sheetViews>
  <sheetFormatPr defaultRowHeight="14.75" x14ac:dyDescent="0.75"/>
  <sheetData>
    <row r="3" spans="4:4" x14ac:dyDescent="0.75">
      <c r="D3" t="s">
        <v>1497</v>
      </c>
    </row>
    <row r="4" spans="4:4" x14ac:dyDescent="0.75">
      <c r="D4" t="s">
        <v>1498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Kweku</dc:creator>
  <cp:lastModifiedBy>Daniel Quagraine</cp:lastModifiedBy>
  <dcterms:created xsi:type="dcterms:W3CDTF">2015-06-05T18:17:20Z</dcterms:created>
  <dcterms:modified xsi:type="dcterms:W3CDTF">2026-08-26T14:33:50Z</dcterms:modified>
</cp:coreProperties>
</file>