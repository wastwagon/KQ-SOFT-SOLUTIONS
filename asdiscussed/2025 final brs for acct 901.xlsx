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E69253B0-DD70-402E-BEE4-7F2A89C2A52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final b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F21" i="4"/>
</calcChain>
</file>

<file path=xl/sharedStrings.xml><?xml version="1.0" encoding="utf-8"?>
<sst xmlns="http://schemas.openxmlformats.org/spreadsheetml/2006/main" count="20" uniqueCount="20">
  <si>
    <t>DATE</t>
  </si>
  <si>
    <t>CHQ NO</t>
  </si>
  <si>
    <t>AMT PAID</t>
  </si>
  <si>
    <t>925928</t>
  </si>
  <si>
    <t>926023</t>
  </si>
  <si>
    <t>925871</t>
  </si>
  <si>
    <t>925942</t>
  </si>
  <si>
    <t>925943</t>
  </si>
  <si>
    <t>925945</t>
  </si>
  <si>
    <t>925881</t>
  </si>
  <si>
    <t>LORDSHIP INSURANCE COMPANY LIMITED</t>
  </si>
  <si>
    <t>BANK RECONCILIATION STATEMENT AS AT 31-DECEMBER-2025</t>
  </si>
  <si>
    <t>ECOBANK, TESANO BRANCH ACCOUNT NO: 1441001519033</t>
  </si>
  <si>
    <t>CLOSING BALANCE PER BANK STATEMENT</t>
  </si>
  <si>
    <t xml:space="preserve">UNPRESENTED CHEQUES </t>
  </si>
  <si>
    <t>NAME - DETAILS</t>
  </si>
  <si>
    <t xml:space="preserve"> - Skones Security / Payment of Security Bill for Dec 2025</t>
  </si>
  <si>
    <t xml:space="preserve"> - Alex Avorkpo / Payment of GMT commissions for Oct. 2025</t>
  </si>
  <si>
    <t xml:space="preserve"> - GRA / Payment of staff PAYE for Nov 25</t>
  </si>
  <si>
    <t xml:space="preserve">BALANCE PER CASH BOOK AT END OF THE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</si>
</sst>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0" fillId="0" borderId="1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DA26-C4AD-4989-A32A-E08D7F462331}">
  <dimension ref="B3:F27"/>
  <sheetViews>
    <sheetView tabSelected="1" topLeftCell="A13" workbookViewId="0">
      <selection activeCell="D24" sqref="D24"/>
    </sheetView>
  </sheetViews>
  <sheetFormatPr defaultRowHeight="14.75" x14ac:dyDescent="0.75"/>
  <cols>
    <col min="1" max="1" width="7.40625" customWidth="1"/>
    <col min="2" max="2" width="13.1328125" style="2" customWidth="1"/>
    <col min="3" max="3" width="60.40625" style="3" customWidth="1"/>
    <col min="4" max="4" width="25.26953125" style="1" customWidth="1"/>
    <col min="5" max="5" width="14.40625" style="4" customWidth="1"/>
    <col min="6" max="6" width="14" style="4" customWidth="1"/>
    <col min="8" max="8" width="10.1328125" bestFit="1" customWidth="1"/>
    <col min="9" max="9" width="16.26953125" bestFit="1" customWidth="1"/>
  </cols>
  <sheetData>
    <row r="3" spans="2:6" x14ac:dyDescent="0.75">
      <c r="B3" s="2" t="s">
        <v>10</v>
      </c>
    </row>
    <row r="5" spans="2:6" x14ac:dyDescent="0.75">
      <c r="B5" s="2" t="s">
        <v>11</v>
      </c>
    </row>
    <row r="6" spans="2:6" x14ac:dyDescent="0.75">
      <c r="B6" s="2" t="s">
        <v>12</v>
      </c>
    </row>
    <row r="8" spans="2:6" x14ac:dyDescent="0.75">
      <c r="B8" s="2" t="s">
        <v>13</v>
      </c>
      <c r="F8" s="4">
        <v>19629.810000000522</v>
      </c>
    </row>
    <row r="11" spans="2:6" x14ac:dyDescent="0.75">
      <c r="B11" s="5" t="s">
        <v>14</v>
      </c>
    </row>
    <row r="13" spans="2:6" x14ac:dyDescent="0.75">
      <c r="B13" s="2" t="s">
        <v>0</v>
      </c>
      <c r="C13" s="3" t="s">
        <v>15</v>
      </c>
      <c r="D13" s="1" t="s">
        <v>1</v>
      </c>
      <c r="E13" s="4" t="s">
        <v>2</v>
      </c>
    </row>
    <row r="14" spans="2:6" x14ac:dyDescent="0.75">
      <c r="B14" s="2">
        <v>46009</v>
      </c>
      <c r="C14" s="3" t="s">
        <v>16</v>
      </c>
      <c r="D14" s="1" t="s">
        <v>6</v>
      </c>
      <c r="E14" s="4">
        <v>975.2</v>
      </c>
      <c r="F14"/>
    </row>
    <row r="15" spans="2:6" x14ac:dyDescent="0.75">
      <c r="B15" s="2">
        <v>45965</v>
      </c>
      <c r="C15" s="3" t="s">
        <v>17</v>
      </c>
      <c r="D15" s="1" t="s">
        <v>4</v>
      </c>
      <c r="E15" s="4">
        <v>510.7</v>
      </c>
      <c r="F15"/>
    </row>
    <row r="16" spans="2:6" x14ac:dyDescent="0.75">
      <c r="B16" s="2">
        <v>46002</v>
      </c>
      <c r="C16" s="3" t="s">
        <v>18</v>
      </c>
      <c r="D16" s="1" t="s">
        <v>5</v>
      </c>
      <c r="E16" s="4">
        <v>2981.81</v>
      </c>
      <c r="F16"/>
    </row>
    <row r="17" spans="2:6" x14ac:dyDescent="0.75">
      <c r="B17" s="2">
        <v>46009</v>
      </c>
      <c r="D17" s="1" t="s">
        <v>7</v>
      </c>
      <c r="E17" s="4">
        <v>3700</v>
      </c>
      <c r="F17"/>
    </row>
    <row r="18" spans="2:6" x14ac:dyDescent="0.75">
      <c r="B18" s="2">
        <v>46009</v>
      </c>
      <c r="D18" s="1" t="s">
        <v>8</v>
      </c>
      <c r="E18" s="4">
        <v>3000</v>
      </c>
      <c r="F18"/>
    </row>
    <row r="19" spans="2:6" x14ac:dyDescent="0.75">
      <c r="B19" s="2">
        <v>45924</v>
      </c>
      <c r="D19" s="1" t="s">
        <v>3</v>
      </c>
      <c r="E19" s="4">
        <v>2000</v>
      </c>
      <c r="F19"/>
    </row>
    <row r="20" spans="2:6" x14ac:dyDescent="0.75">
      <c r="B20" s="2">
        <v>46015</v>
      </c>
      <c r="D20" s="1" t="s">
        <v>9</v>
      </c>
      <c r="E20" s="6">
        <v>950</v>
      </c>
      <c r="F20"/>
    </row>
    <row r="21" spans="2:6" x14ac:dyDescent="0.75">
      <c r="F21" s="4">
        <f>SUM(E14:E20)</f>
        <v>14117.71</v>
      </c>
    </row>
    <row r="22" spans="2:6" ht="15.5" thickBot="1" x14ac:dyDescent="0.9">
      <c r="B22" s="2" t="s">
        <v>19</v>
      </c>
      <c r="F22" s="7">
        <f>F8-F21</f>
        <v>5512.1000000005224</v>
      </c>
    </row>
    <row r="23" spans="2:6" ht="15.5" thickTop="1" x14ac:dyDescent="0.75"/>
    <row r="26" spans="2:6" x14ac:dyDescent="0.75">
      <c r="C26"/>
    </row>
    <row r="27" spans="2:6" x14ac:dyDescent="0.75">
      <c r="C27"/>
    </row>
  </sheetData>
  <sortState xmlns:xlrd2="http://schemas.microsoft.com/office/spreadsheetml/2017/richdata2" ref="B14:F20">
    <sortCondition ref="F14:F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2026-05-14T13:51:31Z</dcterms:modified>
</cp:coreProperties>
</file>