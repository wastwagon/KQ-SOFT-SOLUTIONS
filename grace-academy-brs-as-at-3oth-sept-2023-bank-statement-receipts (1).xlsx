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nsa\Desktop\GilbertAmidu\test data corrected files 2\10-prudential\"/>
    </mc:Choice>
  </mc:AlternateContent>
  <xr:revisionPtr revIDLastSave="0" documentId="13_ncr:1_{8005CBDF-F8CA-4E0E-8C3B-90A50578D4A0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Bank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E36" i="1"/>
  <c r="E32" i="1"/>
</calcChain>
</file>

<file path=xl/sharedStrings.xml><?xml version="1.0" encoding="utf-8"?>
<sst xmlns="http://schemas.openxmlformats.org/spreadsheetml/2006/main" count="130" uniqueCount="53">
  <si>
    <t>Date</t>
  </si>
  <si>
    <t>Description</t>
  </si>
  <si>
    <t>Chq no.</t>
  </si>
  <si>
    <t>Ref. Doc. No.</t>
  </si>
  <si>
    <t>GHS (credit)</t>
  </si>
  <si>
    <t>01 Sept 23</t>
  </si>
  <si>
    <t>PRINCIPAL PAYMENT</t>
  </si>
  <si>
    <t/>
  </si>
  <si>
    <t>INTEREST</t>
  </si>
  <si>
    <t>CALL TRANSACTIONS - CR</t>
  </si>
  <si>
    <t>04 Sept 23</t>
  </si>
  <si>
    <t>SWIFT TRANSFER - LOCAL</t>
  </si>
  <si>
    <t>05 Sept 23</t>
  </si>
  <si>
    <t>IRO FUNDS TRANSFER IFO SUNDRY /0092035232480017</t>
  </si>
  <si>
    <t>06 Sept 23</t>
  </si>
  <si>
    <t>INWARD CLEARING</t>
  </si>
  <si>
    <t>07 Sept 23</t>
  </si>
  <si>
    <t>202309070357201||1050441330011||CHRISBILL GROUP OF</t>
  </si>
  <si>
    <t>11 Sept 23</t>
  </si>
  <si>
    <t>FOR AUG 2023 /0009805232540014</t>
  </si>
  <si>
    <t>12 Sept 23</t>
  </si>
  <si>
    <t>202309120354249||0481084458||ELIHO GHANA LIMITED</t>
  </si>
  <si>
    <t>13 Sept 23</t>
  </si>
  <si>
    <t>202309120354214||1009000000646||GLICO GENERALNNTHC</t>
  </si>
  <si>
    <t>14 Sept 23</t>
  </si>
  <si>
    <t>202309141226261||1441002544949||MEGA K LIMITED</t>
  </si>
  <si>
    <t>15 Sept 23</t>
  </si>
  <si>
    <t>DIGIPAY-53687-OFFICE EQUIPMENT /009DPAA232580001</t>
  </si>
  <si>
    <t>18 Sept 23</t>
  </si>
  <si>
    <t>2023091511182315||1011130006136||TOTALENERGIES</t>
  </si>
  <si>
    <t>GHCBGHAC ELIHO GHANA LIMITED -- /0006060232610055</t>
  </si>
  <si>
    <t>19 Sept 23</t>
  </si>
  <si>
    <t>INWARD CLEARING EXPRESS</t>
  </si>
  <si>
    <t>EXP : CITY EXPRESS TRANSPORTATION AND ENGINEERING</t>
  </si>
  <si>
    <t>20 Sept 23</t>
  </si>
  <si>
    <t>2023092009424416||0141032021018||STELIN AUTOMOTIVE</t>
  </si>
  <si>
    <t>22 Sept 23</t>
  </si>
  <si>
    <t>IFO CALVARY AUTOMOBILE SERVICES /0092302232650012</t>
  </si>
  <si>
    <t>25 Sept 23</t>
  </si>
  <si>
    <t>202309250630313||1400002936908||PAREON INVESTMENTS</t>
  </si>
  <si>
    <t>26 Sept 23</t>
  </si>
  <si>
    <t>ACH OUT:COCOBOD:FEDERATED COMMODITIES:ABSA BANK</t>
  </si>
  <si>
    <t>27 Sept 23</t>
  </si>
  <si>
    <t>: FEDEX IAS /0096800232700001</t>
  </si>
  <si>
    <t>ACH REV DRACHOG-0000146595-PROCESSSOCIETE GENERALE</t>
  </si>
  <si>
    <t>28 Sept 23</t>
  </si>
  <si>
    <t>202309280354474||9040006383453||CARGILL KOKOO SOURCING</t>
  </si>
  <si>
    <t>29 Sept 23</t>
  </si>
  <si>
    <t>not in pdf</t>
  </si>
  <si>
    <t>figure in pdf not in above extract</t>
  </si>
  <si>
    <t>total of above figures not in pdf</t>
  </si>
  <si>
    <t>Total as per extract from Prudential bank</t>
  </si>
  <si>
    <t>Total as per pdf file for Prudential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</si>
</sst>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3" fontId="0" fillId="2" borderId="0" xfId="1" applyFont="1" applyFill="1"/>
    <xf numFmtId="43" fontId="0" fillId="2" borderId="0" xfId="0" applyNumberFormat="1" applyFill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25" workbookViewId="0">
      <selection activeCell="L30" sqref="L30"/>
    </sheetView>
  </sheetViews>
  <sheetFormatPr defaultRowHeight="16" x14ac:dyDescent="0.8"/>
  <cols>
    <col min="5" max="6" width="14.4140625" bestFit="1" customWidth="1"/>
  </cols>
  <sheetData>
    <row r="1" spans="1:6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8">
      <c r="A2" t="s">
        <v>5</v>
      </c>
      <c r="B2" t="s">
        <v>6</v>
      </c>
      <c r="C2" t="s">
        <v>7</v>
      </c>
      <c r="D2" s="1" t="s">
        <v>7</v>
      </c>
      <c r="E2" s="1">
        <v>50000000</v>
      </c>
      <c r="F2" s="1"/>
    </row>
    <row r="3" spans="1:6" x14ac:dyDescent="0.8">
      <c r="A3" t="s">
        <v>5</v>
      </c>
      <c r="B3" t="s">
        <v>8</v>
      </c>
      <c r="C3" t="s">
        <v>7</v>
      </c>
      <c r="D3" s="1" t="s">
        <v>7</v>
      </c>
      <c r="E3" s="1">
        <v>1520547.95</v>
      </c>
      <c r="F3" s="1"/>
    </row>
    <row r="4" spans="1:6" x14ac:dyDescent="0.8">
      <c r="A4" t="s">
        <v>5</v>
      </c>
      <c r="B4" t="s">
        <v>9</v>
      </c>
      <c r="C4" t="s">
        <v>7</v>
      </c>
      <c r="D4" s="1" t="s">
        <v>7</v>
      </c>
      <c r="E4" s="1">
        <v>750</v>
      </c>
      <c r="F4" s="1"/>
    </row>
    <row r="5" spans="1:6" x14ac:dyDescent="0.8">
      <c r="A5" t="s">
        <v>10</v>
      </c>
      <c r="B5" t="s">
        <v>11</v>
      </c>
      <c r="C5" t="s">
        <v>7</v>
      </c>
      <c r="D5" s="1" t="s">
        <v>7</v>
      </c>
      <c r="E5" s="1">
        <v>15000000</v>
      </c>
      <c r="F5" s="1"/>
    </row>
    <row r="6" spans="1:6" x14ac:dyDescent="0.8">
      <c r="A6" t="s">
        <v>12</v>
      </c>
      <c r="B6" t="s">
        <v>13</v>
      </c>
      <c r="C6" t="s">
        <v>7</v>
      </c>
      <c r="D6" s="1" t="s">
        <v>7</v>
      </c>
      <c r="E6" s="1">
        <v>3412401.22</v>
      </c>
      <c r="F6" s="1"/>
    </row>
    <row r="7" spans="1:6" x14ac:dyDescent="0.8">
      <c r="A7" t="s">
        <v>14</v>
      </c>
      <c r="B7" t="s">
        <v>15</v>
      </c>
      <c r="C7" t="s">
        <v>7</v>
      </c>
      <c r="D7" s="1" t="s">
        <v>7</v>
      </c>
      <c r="E7" s="1">
        <v>30529</v>
      </c>
      <c r="F7" s="1"/>
    </row>
    <row r="8" spans="1:6" x14ac:dyDescent="0.8">
      <c r="A8" t="s">
        <v>16</v>
      </c>
      <c r="B8" t="s">
        <v>17</v>
      </c>
      <c r="C8" t="s">
        <v>7</v>
      </c>
      <c r="D8" s="1" t="s">
        <v>7</v>
      </c>
      <c r="E8" s="1">
        <v>10879114.779999999</v>
      </c>
      <c r="F8" s="1"/>
    </row>
    <row r="9" spans="1:6" x14ac:dyDescent="0.8">
      <c r="A9" t="s">
        <v>18</v>
      </c>
      <c r="B9" t="s">
        <v>19</v>
      </c>
      <c r="C9" t="s">
        <v>7</v>
      </c>
      <c r="D9" s="1" t="s">
        <v>7</v>
      </c>
      <c r="E9" s="1">
        <v>15</v>
      </c>
      <c r="F9" s="1"/>
    </row>
    <row r="10" spans="1:6" x14ac:dyDescent="0.8">
      <c r="A10" t="s">
        <v>20</v>
      </c>
      <c r="B10" t="s">
        <v>21</v>
      </c>
      <c r="C10" t="s">
        <v>7</v>
      </c>
      <c r="D10" s="1" t="s">
        <v>7</v>
      </c>
      <c r="E10" s="1">
        <v>2595113.3199999998</v>
      </c>
      <c r="F10" s="1"/>
    </row>
    <row r="11" spans="1:6" x14ac:dyDescent="0.8">
      <c r="A11" t="s">
        <v>22</v>
      </c>
      <c r="B11" t="s">
        <v>23</v>
      </c>
      <c r="C11" t="s">
        <v>7</v>
      </c>
      <c r="D11" s="1" t="s">
        <v>7</v>
      </c>
      <c r="E11" s="1">
        <v>110000000</v>
      </c>
      <c r="F11" s="1"/>
    </row>
    <row r="12" spans="1:6" x14ac:dyDescent="0.8">
      <c r="A12" t="s">
        <v>24</v>
      </c>
      <c r="B12" t="s">
        <v>11</v>
      </c>
      <c r="C12" t="s">
        <v>7</v>
      </c>
      <c r="D12" s="1" t="s">
        <v>7</v>
      </c>
      <c r="E12" s="1">
        <v>27738097.48</v>
      </c>
      <c r="F12" s="1"/>
    </row>
    <row r="13" spans="1:6" x14ac:dyDescent="0.8">
      <c r="A13" t="s">
        <v>24</v>
      </c>
      <c r="B13" t="s">
        <v>25</v>
      </c>
      <c r="C13" t="s">
        <v>7</v>
      </c>
      <c r="D13" s="1" t="s">
        <v>7</v>
      </c>
      <c r="E13" s="1">
        <v>18596210.109999999</v>
      </c>
      <c r="F13" s="1"/>
    </row>
    <row r="14" spans="1:6" x14ac:dyDescent="0.8">
      <c r="A14" t="s">
        <v>26</v>
      </c>
      <c r="B14" t="s">
        <v>27</v>
      </c>
      <c r="C14" t="s">
        <v>7</v>
      </c>
      <c r="D14" s="1" t="s">
        <v>7</v>
      </c>
      <c r="E14" s="1">
        <v>62064542.060000002</v>
      </c>
      <c r="F14" s="1"/>
    </row>
    <row r="15" spans="1:6" x14ac:dyDescent="0.8">
      <c r="A15" t="s">
        <v>28</v>
      </c>
      <c r="B15" t="s">
        <v>29</v>
      </c>
      <c r="C15" t="s">
        <v>7</v>
      </c>
      <c r="D15" s="1" t="s">
        <v>7</v>
      </c>
      <c r="E15" s="1">
        <v>32683288.260000002</v>
      </c>
      <c r="F15" s="1"/>
    </row>
    <row r="16" spans="1:6" x14ac:dyDescent="0.8">
      <c r="A16" t="s">
        <v>28</v>
      </c>
      <c r="B16" t="s">
        <v>30</v>
      </c>
      <c r="C16" t="s">
        <v>7</v>
      </c>
      <c r="D16" s="1" t="s">
        <v>7</v>
      </c>
      <c r="E16" s="1">
        <v>3500000</v>
      </c>
      <c r="F16" s="1"/>
    </row>
    <row r="17" spans="1:6" x14ac:dyDescent="0.8">
      <c r="A17" t="s">
        <v>31</v>
      </c>
      <c r="B17" t="s">
        <v>32</v>
      </c>
      <c r="C17" t="s">
        <v>7</v>
      </c>
      <c r="D17" s="1" t="s">
        <v>7</v>
      </c>
      <c r="E17" s="2">
        <v>506088.64</v>
      </c>
      <c r="F17" s="1" t="s">
        <v>48</v>
      </c>
    </row>
    <row r="18" spans="1:6" x14ac:dyDescent="0.8">
      <c r="A18" t="s">
        <v>31</v>
      </c>
      <c r="B18" t="s">
        <v>33</v>
      </c>
      <c r="C18" t="s">
        <v>7</v>
      </c>
      <c r="D18" s="1" t="s">
        <v>7</v>
      </c>
      <c r="E18" s="1">
        <v>25000000</v>
      </c>
      <c r="F18" s="1"/>
    </row>
    <row r="19" spans="1:6" x14ac:dyDescent="0.8">
      <c r="A19" t="s">
        <v>34</v>
      </c>
      <c r="B19" t="s">
        <v>15</v>
      </c>
      <c r="C19" t="s">
        <v>7</v>
      </c>
      <c r="D19" s="1" t="s">
        <v>7</v>
      </c>
      <c r="E19" s="2">
        <v>88880</v>
      </c>
      <c r="F19" s="1" t="s">
        <v>48</v>
      </c>
    </row>
    <row r="20" spans="1:6" x14ac:dyDescent="0.8">
      <c r="A20" t="s">
        <v>34</v>
      </c>
      <c r="B20" t="s">
        <v>35</v>
      </c>
      <c r="C20" t="s">
        <v>7</v>
      </c>
      <c r="D20" s="1" t="s">
        <v>7</v>
      </c>
      <c r="E20" s="1">
        <v>22480302.809999999</v>
      </c>
      <c r="F20" s="1"/>
    </row>
    <row r="21" spans="1:6" x14ac:dyDescent="0.8">
      <c r="A21" t="s">
        <v>36</v>
      </c>
      <c r="B21" t="s">
        <v>37</v>
      </c>
      <c r="C21" t="s">
        <v>7</v>
      </c>
      <c r="D21" s="1" t="s">
        <v>7</v>
      </c>
      <c r="E21" s="1">
        <v>321137.15999999997</v>
      </c>
      <c r="F21" s="1"/>
    </row>
    <row r="22" spans="1:6" x14ac:dyDescent="0.8">
      <c r="A22" t="s">
        <v>38</v>
      </c>
      <c r="B22" t="s">
        <v>32</v>
      </c>
      <c r="C22" t="s">
        <v>7</v>
      </c>
      <c r="D22" s="1" t="s">
        <v>7</v>
      </c>
      <c r="E22" s="2">
        <v>38789.050000000003</v>
      </c>
      <c r="F22" s="1" t="s">
        <v>48</v>
      </c>
    </row>
    <row r="23" spans="1:6" x14ac:dyDescent="0.8">
      <c r="A23" t="s">
        <v>38</v>
      </c>
      <c r="B23" t="s">
        <v>39</v>
      </c>
      <c r="C23" t="s">
        <v>7</v>
      </c>
      <c r="D23" s="1" t="s">
        <v>7</v>
      </c>
      <c r="E23" s="1">
        <v>3216125.11</v>
      </c>
      <c r="F23" s="1"/>
    </row>
    <row r="24" spans="1:6" x14ac:dyDescent="0.8">
      <c r="A24" t="s">
        <v>40</v>
      </c>
      <c r="B24" t="s">
        <v>41</v>
      </c>
      <c r="C24" t="s">
        <v>7</v>
      </c>
      <c r="D24" s="1" t="s">
        <v>7</v>
      </c>
      <c r="E24" s="1">
        <v>30641426.969999999</v>
      </c>
      <c r="F24" s="1"/>
    </row>
    <row r="25" spans="1:6" x14ac:dyDescent="0.8">
      <c r="A25" t="s">
        <v>42</v>
      </c>
      <c r="B25" t="s">
        <v>32</v>
      </c>
      <c r="C25" t="s">
        <v>7</v>
      </c>
      <c r="D25" s="1" t="s">
        <v>7</v>
      </c>
      <c r="E25" s="2">
        <v>2413.16</v>
      </c>
      <c r="F25" s="1" t="s">
        <v>48</v>
      </c>
    </row>
    <row r="26" spans="1:6" x14ac:dyDescent="0.8">
      <c r="A26" t="s">
        <v>42</v>
      </c>
      <c r="B26" t="s">
        <v>43</v>
      </c>
      <c r="C26" t="s">
        <v>7</v>
      </c>
      <c r="D26" s="1" t="s">
        <v>7</v>
      </c>
      <c r="E26" s="1">
        <v>62690.83</v>
      </c>
      <c r="F26" s="1"/>
    </row>
    <row r="27" spans="1:6" x14ac:dyDescent="0.8">
      <c r="A27" t="s">
        <v>42</v>
      </c>
      <c r="B27" t="s">
        <v>44</v>
      </c>
      <c r="C27" t="s">
        <v>7</v>
      </c>
      <c r="D27" s="1" t="s">
        <v>7</v>
      </c>
      <c r="E27" s="1">
        <v>76138.460000000006</v>
      </c>
      <c r="F27" s="1"/>
    </row>
    <row r="28" spans="1:6" x14ac:dyDescent="0.8">
      <c r="A28" t="s">
        <v>45</v>
      </c>
      <c r="B28" t="s">
        <v>32</v>
      </c>
      <c r="C28" t="s">
        <v>7</v>
      </c>
      <c r="D28" s="1" t="s">
        <v>7</v>
      </c>
      <c r="E28" s="2">
        <v>27757.13</v>
      </c>
      <c r="F28" s="1" t="s">
        <v>48</v>
      </c>
    </row>
    <row r="29" spans="1:6" x14ac:dyDescent="0.8">
      <c r="A29" t="s">
        <v>45</v>
      </c>
      <c r="B29" t="s">
        <v>46</v>
      </c>
      <c r="C29" t="s">
        <v>7</v>
      </c>
      <c r="D29" s="1" t="s">
        <v>7</v>
      </c>
      <c r="E29" s="1">
        <v>2801929.98</v>
      </c>
      <c r="F29" s="1"/>
    </row>
    <row r="30" spans="1:6" x14ac:dyDescent="0.8">
      <c r="A30" t="s">
        <v>47</v>
      </c>
      <c r="B30" t="s">
        <v>9</v>
      </c>
      <c r="C30" t="s">
        <v>7</v>
      </c>
      <c r="D30" s="1" t="s">
        <v>7</v>
      </c>
      <c r="E30" s="1">
        <v>869.78</v>
      </c>
      <c r="F30" s="1"/>
    </row>
    <row r="32" spans="1:6" ht="16.75" thickBot="1" x14ac:dyDescent="0.95">
      <c r="E32" s="4">
        <f>SUM(E2:E30)</f>
        <v>423285158.25999993</v>
      </c>
      <c r="F32" t="s">
        <v>51</v>
      </c>
    </row>
    <row r="33" spans="5:6" ht="16.75" thickTop="1" x14ac:dyDescent="0.8"/>
    <row r="35" spans="5:6" x14ac:dyDescent="0.8">
      <c r="E35" s="1">
        <v>1008876.37</v>
      </c>
      <c r="F35" t="s">
        <v>49</v>
      </c>
    </row>
    <row r="36" spans="5:6" x14ac:dyDescent="0.8">
      <c r="E36" s="3">
        <f>E17+E19+E22+E25+E28</f>
        <v>663927.9800000001</v>
      </c>
      <c r="F36" t="s">
        <v>50</v>
      </c>
    </row>
    <row r="37" spans="5:6" ht="16.75" thickBot="1" x14ac:dyDescent="0.95">
      <c r="E37" s="4">
        <f>E32+E35-E36</f>
        <v>423630106.64999992</v>
      </c>
      <c r="F37" t="s">
        <v>52</v>
      </c>
    </row>
    <row r="38" spans="5:6" ht="16.75" thickTop="1" x14ac:dyDescent="0.8"/>
  </sheetData>
  <pageMargins left="0.7" right="0.7" top="0.75" bottom="0.75" header="0.3" footer="0.3"/>
  <ignoredErrors>
    <ignoredError sqref="A1:E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Quagraine</cp:lastModifiedBy>
  <dcterms:modified xsi:type="dcterms:W3CDTF">2026-07-16T20:23:17Z</dcterms:modified>
</cp:coreProperties>
</file>