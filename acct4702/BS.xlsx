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\15-acct4702-test-data scb\original (refer to scb folder)\"/>
    </mc:Choice>
  </mc:AlternateContent>
  <xr:revisionPtr revIDLastSave="0" documentId="13_ncr:1_{547981E8-4C37-4310-875B-63E94A110CB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93" i="1" l="1"/>
  <c r="J793" i="1" s="1"/>
  <c r="I792" i="1"/>
  <c r="J792" i="1" s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J778" i="1" s="1"/>
  <c r="I777" i="1"/>
  <c r="J777" i="1" s="1"/>
  <c r="I776" i="1"/>
  <c r="J776" i="1" s="1"/>
  <c r="I775" i="1"/>
  <c r="J775" i="1" s="1"/>
  <c r="I774" i="1"/>
  <c r="J774" i="1" s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I764" i="1"/>
  <c r="J764" i="1" s="1"/>
  <c r="I763" i="1"/>
  <c r="J763" i="1" s="1"/>
  <c r="I762" i="1"/>
  <c r="J762" i="1" s="1"/>
  <c r="I761" i="1"/>
  <c r="J761" i="1" s="1"/>
  <c r="I760" i="1"/>
  <c r="J760" i="1" s="1"/>
  <c r="I759" i="1"/>
  <c r="J759" i="1" s="1"/>
  <c r="I758" i="1"/>
  <c r="J758" i="1" s="1"/>
  <c r="I757" i="1"/>
  <c r="J757" i="1" s="1"/>
  <c r="I756" i="1"/>
  <c r="J756" i="1" s="1"/>
  <c r="I755" i="1"/>
  <c r="J755" i="1" s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I704" i="1"/>
  <c r="J704" i="1" s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J698" i="1" s="1"/>
  <c r="I697" i="1"/>
  <c r="J697" i="1" s="1"/>
  <c r="I696" i="1"/>
  <c r="J696" i="1" s="1"/>
  <c r="I695" i="1"/>
  <c r="J695" i="1" s="1"/>
  <c r="I694" i="1"/>
  <c r="J694" i="1" s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J683" i="1" s="1"/>
  <c r="I682" i="1"/>
  <c r="J682" i="1" s="1"/>
  <c r="I681" i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I675" i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J635" i="1" s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J615" i="1" s="1"/>
  <c r="I614" i="1"/>
  <c r="J614" i="1" s="1"/>
  <c r="J613" i="1"/>
  <c r="I613" i="1"/>
  <c r="I612" i="1"/>
  <c r="J612" i="1" s="1"/>
  <c r="I611" i="1"/>
  <c r="J611" i="1" s="1"/>
  <c r="I610" i="1"/>
  <c r="J610" i="1" s="1"/>
  <c r="J609" i="1"/>
  <c r="I609" i="1"/>
  <c r="I608" i="1"/>
  <c r="J608" i="1" s="1"/>
  <c r="I607" i="1"/>
  <c r="J607" i="1" s="1"/>
  <c r="I606" i="1"/>
  <c r="J606" i="1" s="1"/>
  <c r="J605" i="1"/>
  <c r="I605" i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J581" i="1"/>
  <c r="I581" i="1"/>
  <c r="I580" i="1"/>
  <c r="J580" i="1" s="1"/>
  <c r="I579" i="1"/>
  <c r="J579" i="1" s="1"/>
  <c r="I578" i="1"/>
  <c r="J578" i="1" s="1"/>
  <c r="J577" i="1"/>
  <c r="I577" i="1"/>
  <c r="I576" i="1"/>
  <c r="J576" i="1" s="1"/>
  <c r="I575" i="1"/>
  <c r="J575" i="1" s="1"/>
  <c r="I574" i="1"/>
  <c r="J574" i="1" s="1"/>
  <c r="J573" i="1"/>
  <c r="I573" i="1"/>
  <c r="I572" i="1"/>
  <c r="J572" i="1" s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J549" i="1"/>
  <c r="I549" i="1"/>
  <c r="I548" i="1"/>
  <c r="J548" i="1" s="1"/>
  <c r="I547" i="1"/>
  <c r="J547" i="1" s="1"/>
  <c r="I546" i="1"/>
  <c r="J546" i="1" s="1"/>
  <c r="J545" i="1"/>
  <c r="I545" i="1"/>
  <c r="I544" i="1"/>
  <c r="J544" i="1" s="1"/>
  <c r="I543" i="1"/>
  <c r="J543" i="1" s="1"/>
  <c r="I542" i="1"/>
  <c r="J542" i="1" s="1"/>
  <c r="J541" i="1"/>
  <c r="I541" i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J517" i="1"/>
  <c r="I517" i="1"/>
  <c r="I516" i="1"/>
  <c r="J516" i="1" s="1"/>
  <c r="I515" i="1"/>
  <c r="J515" i="1" s="1"/>
  <c r="I514" i="1"/>
  <c r="J514" i="1" s="1"/>
  <c r="J513" i="1"/>
  <c r="I513" i="1"/>
  <c r="I512" i="1"/>
  <c r="J512" i="1" s="1"/>
  <c r="I511" i="1"/>
  <c r="J511" i="1" s="1"/>
  <c r="I510" i="1"/>
  <c r="J510" i="1" s="1"/>
  <c r="J509" i="1"/>
  <c r="I509" i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J501" i="1"/>
  <c r="I501" i="1"/>
  <c r="I500" i="1"/>
  <c r="J500" i="1" s="1"/>
  <c r="J499" i="1"/>
  <c r="I499" i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J489" i="1"/>
  <c r="I489" i="1"/>
  <c r="I488" i="1"/>
  <c r="J488" i="1" s="1"/>
  <c r="I487" i="1"/>
  <c r="J487" i="1" s="1"/>
  <c r="I486" i="1"/>
  <c r="J486" i="1" s="1"/>
  <c r="J485" i="1"/>
  <c r="I485" i="1"/>
  <c r="I484" i="1"/>
  <c r="J484" i="1" s="1"/>
  <c r="J483" i="1"/>
  <c r="I483" i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J473" i="1"/>
  <c r="I473" i="1"/>
  <c r="I472" i="1"/>
  <c r="J472" i="1" s="1"/>
  <c r="I471" i="1"/>
  <c r="J471" i="1" s="1"/>
  <c r="I470" i="1"/>
  <c r="J470" i="1" s="1"/>
  <c r="J469" i="1"/>
  <c r="I469" i="1"/>
  <c r="I468" i="1"/>
  <c r="J468" i="1" s="1"/>
  <c r="J467" i="1"/>
  <c r="I467" i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J454" i="1"/>
  <c r="I454" i="1"/>
  <c r="I453" i="1"/>
  <c r="J453" i="1" s="1"/>
  <c r="J452" i="1"/>
  <c r="I452" i="1"/>
  <c r="I451" i="1"/>
  <c r="J451" i="1" s="1"/>
  <c r="I450" i="1"/>
  <c r="J450" i="1" s="1"/>
  <c r="I449" i="1"/>
  <c r="J449" i="1" s="1"/>
  <c r="J448" i="1"/>
  <c r="I448" i="1"/>
  <c r="I447" i="1"/>
  <c r="J447" i="1" s="1"/>
  <c r="I446" i="1"/>
  <c r="J446" i="1" s="1"/>
  <c r="I445" i="1"/>
  <c r="J445" i="1" s="1"/>
  <c r="J444" i="1"/>
  <c r="I444" i="1"/>
  <c r="I443" i="1"/>
  <c r="J443" i="1" s="1"/>
  <c r="I442" i="1"/>
  <c r="J442" i="1" s="1"/>
  <c r="I441" i="1"/>
  <c r="J441" i="1" s="1"/>
  <c r="J440" i="1"/>
  <c r="I440" i="1"/>
  <c r="I439" i="1"/>
  <c r="J439" i="1" s="1"/>
  <c r="J438" i="1"/>
  <c r="I438" i="1"/>
  <c r="I437" i="1"/>
  <c r="J437" i="1" s="1"/>
  <c r="J436" i="1"/>
  <c r="I436" i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J424" i="1"/>
  <c r="I424" i="1"/>
  <c r="I423" i="1"/>
  <c r="J423" i="1" s="1"/>
  <c r="J422" i="1"/>
  <c r="I422" i="1"/>
  <c r="I421" i="1"/>
  <c r="J421" i="1" s="1"/>
  <c r="J420" i="1"/>
  <c r="I420" i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J408" i="1"/>
  <c r="I408" i="1"/>
  <c r="I407" i="1"/>
  <c r="J407" i="1" s="1"/>
  <c r="J406" i="1"/>
  <c r="I406" i="1"/>
  <c r="I405" i="1"/>
  <c r="J405" i="1" s="1"/>
  <c r="J404" i="1"/>
  <c r="I404" i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J392" i="1"/>
  <c r="I392" i="1"/>
  <c r="I391" i="1"/>
  <c r="J391" i="1" s="1"/>
  <c r="J390" i="1"/>
  <c r="I390" i="1"/>
  <c r="I389" i="1"/>
  <c r="J389" i="1" s="1"/>
  <c r="J388" i="1"/>
  <c r="I388" i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J376" i="1"/>
  <c r="I376" i="1"/>
  <c r="I375" i="1"/>
  <c r="J375" i="1" s="1"/>
  <c r="J374" i="1"/>
  <c r="I374" i="1"/>
  <c r="I373" i="1"/>
  <c r="J373" i="1" s="1"/>
  <c r="J372" i="1"/>
  <c r="I372" i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J360" i="1"/>
  <c r="I360" i="1"/>
  <c r="I359" i="1"/>
  <c r="J359" i="1" s="1"/>
  <c r="J358" i="1"/>
  <c r="I358" i="1"/>
  <c r="I357" i="1"/>
  <c r="J357" i="1" s="1"/>
  <c r="J356" i="1"/>
  <c r="I356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J344" i="1"/>
  <c r="I344" i="1"/>
  <c r="I343" i="1"/>
  <c r="J343" i="1" s="1"/>
  <c r="J342" i="1"/>
  <c r="I342" i="1"/>
  <c r="I341" i="1"/>
  <c r="J341" i="1" s="1"/>
  <c r="J340" i="1"/>
  <c r="I340" i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J328" i="1"/>
  <c r="I328" i="1"/>
  <c r="I327" i="1"/>
  <c r="J327" i="1" s="1"/>
  <c r="J326" i="1"/>
  <c r="I326" i="1"/>
  <c r="I325" i="1"/>
  <c r="J325" i="1" s="1"/>
  <c r="J324" i="1"/>
  <c r="I324" i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J312" i="1"/>
  <c r="I312" i="1"/>
  <c r="I311" i="1"/>
  <c r="J311" i="1" s="1"/>
  <c r="J310" i="1"/>
  <c r="I310" i="1"/>
  <c r="I309" i="1"/>
  <c r="J309" i="1" s="1"/>
  <c r="J308" i="1"/>
  <c r="I308" i="1"/>
  <c r="I307" i="1"/>
  <c r="J307" i="1" s="1"/>
  <c r="I306" i="1"/>
  <c r="J306" i="1" s="1"/>
  <c r="I305" i="1"/>
  <c r="J305" i="1" s="1"/>
  <c r="J304" i="1"/>
  <c r="I304" i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J296" i="1"/>
  <c r="I296" i="1"/>
  <c r="I295" i="1"/>
  <c r="J295" i="1" s="1"/>
  <c r="J294" i="1"/>
  <c r="I294" i="1"/>
  <c r="I293" i="1"/>
  <c r="J293" i="1" s="1"/>
  <c r="J292" i="1"/>
  <c r="I292" i="1"/>
  <c r="I291" i="1"/>
  <c r="J291" i="1" s="1"/>
  <c r="I290" i="1"/>
  <c r="J290" i="1" s="1"/>
  <c r="I289" i="1"/>
  <c r="J289" i="1" s="1"/>
  <c r="J288" i="1"/>
  <c r="I288" i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J280" i="1"/>
  <c r="I280" i="1"/>
  <c r="I279" i="1"/>
  <c r="J279" i="1" s="1"/>
  <c r="J278" i="1"/>
  <c r="I278" i="1"/>
  <c r="I277" i="1"/>
  <c r="J277" i="1" s="1"/>
  <c r="J276" i="1"/>
  <c r="I276" i="1"/>
  <c r="I275" i="1"/>
  <c r="J275" i="1" s="1"/>
  <c r="I274" i="1"/>
  <c r="J274" i="1" s="1"/>
  <c r="I273" i="1"/>
  <c r="J273" i="1" s="1"/>
  <c r="J272" i="1"/>
  <c r="I272" i="1"/>
  <c r="I271" i="1"/>
  <c r="J271" i="1" s="1"/>
  <c r="I270" i="1"/>
  <c r="J270" i="1" s="1"/>
  <c r="I269" i="1"/>
  <c r="J269" i="1" s="1"/>
  <c r="I268" i="1"/>
  <c r="J268" i="1" s="1"/>
  <c r="I267" i="1"/>
  <c r="J267" i="1" s="1"/>
  <c r="J266" i="1"/>
  <c r="I266" i="1"/>
  <c r="I265" i="1"/>
  <c r="J265" i="1" s="1"/>
  <c r="I264" i="1"/>
  <c r="J264" i="1" s="1"/>
  <c r="J263" i="1"/>
  <c r="I263" i="1"/>
  <c r="I262" i="1"/>
  <c r="J262" i="1" s="1"/>
  <c r="I261" i="1"/>
  <c r="J261" i="1" s="1"/>
  <c r="J260" i="1"/>
  <c r="I260" i="1"/>
  <c r="I259" i="1"/>
  <c r="J259" i="1" s="1"/>
  <c r="I258" i="1"/>
  <c r="J258" i="1" s="1"/>
  <c r="I257" i="1"/>
  <c r="J257" i="1" s="1"/>
  <c r="I256" i="1"/>
  <c r="J256" i="1" s="1"/>
  <c r="I255" i="1"/>
  <c r="J255" i="1" s="1"/>
  <c r="J254" i="1"/>
  <c r="I254" i="1"/>
  <c r="I253" i="1"/>
  <c r="J253" i="1" s="1"/>
  <c r="J252" i="1"/>
  <c r="I252" i="1"/>
  <c r="J251" i="1"/>
  <c r="I251" i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J243" i="1"/>
  <c r="I243" i="1"/>
  <c r="J242" i="1"/>
  <c r="I242" i="1"/>
  <c r="I241" i="1"/>
  <c r="J241" i="1" s="1"/>
  <c r="J240" i="1"/>
  <c r="I240" i="1"/>
  <c r="I239" i="1"/>
  <c r="J239" i="1" s="1"/>
  <c r="I238" i="1"/>
  <c r="J238" i="1" s="1"/>
  <c r="I237" i="1"/>
  <c r="J237" i="1" s="1"/>
  <c r="I236" i="1"/>
  <c r="J236" i="1" s="1"/>
  <c r="I235" i="1"/>
  <c r="J235" i="1" s="1"/>
  <c r="J234" i="1"/>
  <c r="I234" i="1"/>
  <c r="I233" i="1"/>
  <c r="J233" i="1" s="1"/>
  <c r="I232" i="1"/>
  <c r="J232" i="1" s="1"/>
  <c r="J231" i="1"/>
  <c r="I231" i="1"/>
  <c r="I230" i="1"/>
  <c r="J230" i="1" s="1"/>
  <c r="I229" i="1"/>
  <c r="J229" i="1" s="1"/>
  <c r="J228" i="1"/>
  <c r="I228" i="1"/>
  <c r="I227" i="1"/>
  <c r="J227" i="1" s="1"/>
  <c r="I226" i="1"/>
  <c r="J226" i="1" s="1"/>
  <c r="I225" i="1"/>
  <c r="J225" i="1" s="1"/>
  <c r="I224" i="1"/>
  <c r="J224" i="1" s="1"/>
  <c r="I223" i="1"/>
  <c r="J223" i="1" s="1"/>
  <c r="J222" i="1"/>
  <c r="I222" i="1"/>
  <c r="I221" i="1"/>
  <c r="J221" i="1" s="1"/>
  <c r="J220" i="1"/>
  <c r="I220" i="1"/>
  <c r="J219" i="1"/>
  <c r="I219" i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J212" i="1"/>
  <c r="I212" i="1"/>
  <c r="J211" i="1"/>
  <c r="I211" i="1"/>
  <c r="J210" i="1"/>
  <c r="I210" i="1"/>
  <c r="I209" i="1"/>
  <c r="J209" i="1" s="1"/>
  <c r="J208" i="1"/>
  <c r="I208" i="1"/>
  <c r="I207" i="1"/>
  <c r="J207" i="1" s="1"/>
  <c r="I206" i="1"/>
  <c r="J206" i="1" s="1"/>
  <c r="I205" i="1"/>
  <c r="J205" i="1" s="1"/>
  <c r="I204" i="1"/>
  <c r="J204" i="1" s="1"/>
  <c r="J203" i="1"/>
  <c r="I203" i="1"/>
  <c r="J202" i="1"/>
  <c r="I202" i="1"/>
  <c r="I201" i="1"/>
  <c r="J201" i="1" s="1"/>
  <c r="I200" i="1"/>
  <c r="J200" i="1" s="1"/>
  <c r="J199" i="1"/>
  <c r="I199" i="1"/>
  <c r="I198" i="1"/>
  <c r="J198" i="1" s="1"/>
  <c r="I197" i="1"/>
  <c r="J197" i="1" s="1"/>
  <c r="J196" i="1"/>
  <c r="I196" i="1"/>
  <c r="I195" i="1"/>
  <c r="J195" i="1" s="1"/>
  <c r="J194" i="1"/>
  <c r="I194" i="1"/>
  <c r="I193" i="1"/>
  <c r="J193" i="1" s="1"/>
  <c r="I192" i="1"/>
  <c r="J192" i="1" s="1"/>
  <c r="I191" i="1"/>
  <c r="J191" i="1" s="1"/>
  <c r="J190" i="1"/>
  <c r="I190" i="1"/>
  <c r="I189" i="1"/>
  <c r="J189" i="1" s="1"/>
  <c r="J188" i="1"/>
  <c r="I188" i="1"/>
  <c r="J187" i="1"/>
  <c r="I187" i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J180" i="1"/>
  <c r="I180" i="1"/>
  <c r="J179" i="1"/>
  <c r="I179" i="1"/>
  <c r="J178" i="1"/>
  <c r="I178" i="1"/>
  <c r="I177" i="1"/>
  <c r="J177" i="1" s="1"/>
  <c r="J176" i="1"/>
  <c r="I176" i="1"/>
  <c r="I175" i="1"/>
  <c r="J175" i="1" s="1"/>
  <c r="I174" i="1"/>
  <c r="J174" i="1" s="1"/>
  <c r="I173" i="1"/>
  <c r="J173" i="1" s="1"/>
  <c r="I172" i="1"/>
  <c r="J172" i="1" s="1"/>
  <c r="J171" i="1"/>
  <c r="I171" i="1"/>
  <c r="J170" i="1"/>
  <c r="I170" i="1"/>
  <c r="I169" i="1"/>
  <c r="J169" i="1" s="1"/>
  <c r="I168" i="1"/>
  <c r="J168" i="1" s="1"/>
  <c r="J167" i="1"/>
  <c r="I167" i="1"/>
  <c r="I166" i="1"/>
  <c r="J166" i="1" s="1"/>
  <c r="I165" i="1"/>
  <c r="J165" i="1" s="1"/>
  <c r="J164" i="1"/>
  <c r="I164" i="1"/>
  <c r="I163" i="1"/>
  <c r="J163" i="1" s="1"/>
  <c r="J162" i="1"/>
  <c r="I162" i="1"/>
  <c r="I161" i="1"/>
  <c r="J161" i="1" s="1"/>
  <c r="I160" i="1"/>
  <c r="J160" i="1" s="1"/>
  <c r="I159" i="1"/>
  <c r="J159" i="1" s="1"/>
  <c r="J158" i="1"/>
  <c r="I158" i="1"/>
  <c r="I157" i="1"/>
  <c r="J157" i="1" s="1"/>
  <c r="J156" i="1"/>
  <c r="I156" i="1"/>
  <c r="J155" i="1"/>
  <c r="I155" i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J148" i="1"/>
  <c r="I148" i="1"/>
  <c r="J147" i="1"/>
  <c r="I147" i="1"/>
  <c r="J146" i="1"/>
  <c r="I146" i="1"/>
  <c r="I145" i="1"/>
  <c r="J145" i="1" s="1"/>
  <c r="J144" i="1"/>
  <c r="I144" i="1"/>
  <c r="I143" i="1"/>
  <c r="J143" i="1" s="1"/>
  <c r="I142" i="1"/>
  <c r="J142" i="1" s="1"/>
  <c r="I141" i="1"/>
  <c r="J141" i="1" s="1"/>
  <c r="J140" i="1"/>
  <c r="I140" i="1"/>
  <c r="I139" i="1"/>
  <c r="J139" i="1" s="1"/>
  <c r="I138" i="1"/>
  <c r="J138" i="1" s="1"/>
  <c r="I137" i="1"/>
  <c r="J137" i="1" s="1"/>
  <c r="J136" i="1"/>
  <c r="I136" i="1"/>
  <c r="I135" i="1"/>
  <c r="J135" i="1" s="1"/>
  <c r="I134" i="1"/>
  <c r="J134" i="1" s="1"/>
  <c r="I133" i="1"/>
  <c r="J133" i="1" s="1"/>
  <c r="J132" i="1"/>
  <c r="I132" i="1"/>
  <c r="I131" i="1"/>
  <c r="J131" i="1" s="1"/>
  <c r="I130" i="1"/>
  <c r="J130" i="1" s="1"/>
  <c r="I129" i="1"/>
  <c r="J129" i="1" s="1"/>
  <c r="J128" i="1"/>
  <c r="I128" i="1"/>
  <c r="I127" i="1"/>
  <c r="J127" i="1" s="1"/>
  <c r="I126" i="1"/>
  <c r="J126" i="1" s="1"/>
  <c r="I125" i="1"/>
  <c r="J125" i="1" s="1"/>
  <c r="J124" i="1"/>
  <c r="I124" i="1"/>
  <c r="I123" i="1"/>
  <c r="J123" i="1" s="1"/>
  <c r="I122" i="1"/>
  <c r="J122" i="1" s="1"/>
  <c r="I121" i="1"/>
  <c r="J121" i="1" s="1"/>
  <c r="J120" i="1"/>
  <c r="I120" i="1"/>
  <c r="I119" i="1"/>
  <c r="J119" i="1" s="1"/>
  <c r="I118" i="1"/>
  <c r="J118" i="1" s="1"/>
  <c r="I117" i="1"/>
  <c r="J117" i="1" s="1"/>
  <c r="J116" i="1"/>
  <c r="I116" i="1"/>
  <c r="I115" i="1"/>
  <c r="J115" i="1" s="1"/>
  <c r="I114" i="1"/>
  <c r="J114" i="1" s="1"/>
  <c r="I113" i="1"/>
  <c r="J113" i="1" s="1"/>
  <c r="J112" i="1"/>
  <c r="I112" i="1"/>
  <c r="I111" i="1"/>
  <c r="J111" i="1" s="1"/>
  <c r="I110" i="1"/>
  <c r="J110" i="1" s="1"/>
  <c r="I109" i="1"/>
  <c r="J109" i="1" s="1"/>
  <c r="J108" i="1"/>
  <c r="I108" i="1"/>
  <c r="I107" i="1"/>
  <c r="J107" i="1" s="1"/>
  <c r="I106" i="1"/>
  <c r="J106" i="1" s="1"/>
  <c r="I105" i="1"/>
  <c r="J105" i="1" s="1"/>
  <c r="J104" i="1"/>
  <c r="I104" i="1"/>
  <c r="I103" i="1"/>
  <c r="J103" i="1" s="1"/>
  <c r="I102" i="1"/>
  <c r="J102" i="1" s="1"/>
  <c r="I101" i="1"/>
  <c r="J101" i="1" s="1"/>
  <c r="J100" i="1"/>
  <c r="I100" i="1"/>
  <c r="I99" i="1"/>
  <c r="J99" i="1" s="1"/>
  <c r="I98" i="1"/>
  <c r="J98" i="1" s="1"/>
  <c r="I97" i="1"/>
  <c r="J97" i="1" s="1"/>
  <c r="J96" i="1"/>
  <c r="I96" i="1"/>
  <c r="I95" i="1"/>
  <c r="J95" i="1" s="1"/>
  <c r="I94" i="1"/>
  <c r="J94" i="1" s="1"/>
  <c r="I93" i="1"/>
  <c r="J93" i="1" s="1"/>
  <c r="J92" i="1"/>
  <c r="I92" i="1"/>
  <c r="I91" i="1"/>
  <c r="J91" i="1" s="1"/>
  <c r="I90" i="1"/>
  <c r="J90" i="1" s="1"/>
  <c r="I89" i="1"/>
  <c r="J89" i="1" s="1"/>
  <c r="J88" i="1"/>
  <c r="I88" i="1"/>
  <c r="I87" i="1"/>
  <c r="J87" i="1" s="1"/>
  <c r="I86" i="1"/>
  <c r="J86" i="1" s="1"/>
  <c r="I85" i="1"/>
  <c r="J85" i="1" s="1"/>
  <c r="J84" i="1"/>
  <c r="I84" i="1"/>
  <c r="I83" i="1"/>
  <c r="J83" i="1" s="1"/>
  <c r="I82" i="1"/>
  <c r="J82" i="1" s="1"/>
  <c r="I81" i="1"/>
  <c r="J81" i="1" s="1"/>
  <c r="J80" i="1"/>
  <c r="I80" i="1"/>
  <c r="I79" i="1"/>
  <c r="J79" i="1" s="1"/>
  <c r="I78" i="1"/>
  <c r="J78" i="1" s="1"/>
  <c r="I77" i="1"/>
  <c r="J77" i="1" s="1"/>
  <c r="J76" i="1"/>
  <c r="I76" i="1"/>
  <c r="I75" i="1"/>
  <c r="J75" i="1" s="1"/>
  <c r="I74" i="1"/>
  <c r="J74" i="1" s="1"/>
  <c r="I73" i="1"/>
  <c r="J73" i="1" s="1"/>
  <c r="J72" i="1"/>
  <c r="I72" i="1"/>
  <c r="I71" i="1"/>
  <c r="J71" i="1" s="1"/>
  <c r="I70" i="1"/>
  <c r="J70" i="1" s="1"/>
  <c r="I69" i="1"/>
  <c r="J69" i="1" s="1"/>
  <c r="J68" i="1"/>
  <c r="I68" i="1"/>
  <c r="I67" i="1"/>
  <c r="J67" i="1" s="1"/>
  <c r="I66" i="1"/>
  <c r="J66" i="1" s="1"/>
  <c r="I65" i="1"/>
  <c r="J65" i="1" s="1"/>
  <c r="J64" i="1"/>
  <c r="I64" i="1"/>
  <c r="I63" i="1"/>
  <c r="J63" i="1" s="1"/>
  <c r="I62" i="1"/>
  <c r="J62" i="1" s="1"/>
  <c r="I61" i="1"/>
  <c r="J61" i="1" s="1"/>
  <c r="J60" i="1"/>
  <c r="I60" i="1"/>
  <c r="I59" i="1"/>
  <c r="J59" i="1" s="1"/>
  <c r="I58" i="1"/>
  <c r="J58" i="1" s="1"/>
  <c r="I57" i="1"/>
  <c r="J57" i="1" s="1"/>
  <c r="J56" i="1"/>
  <c r="I56" i="1"/>
  <c r="I55" i="1"/>
  <c r="J55" i="1" s="1"/>
  <c r="I54" i="1"/>
  <c r="J54" i="1" s="1"/>
  <c r="I53" i="1"/>
  <c r="J53" i="1" s="1"/>
  <c r="J52" i="1"/>
  <c r="I52" i="1"/>
  <c r="I51" i="1"/>
  <c r="J51" i="1" s="1"/>
  <c r="I50" i="1"/>
  <c r="J50" i="1" s="1"/>
  <c r="I49" i="1"/>
  <c r="J49" i="1" s="1"/>
  <c r="J48" i="1"/>
  <c r="I48" i="1"/>
  <c r="I47" i="1"/>
  <c r="J47" i="1" s="1"/>
  <c r="I46" i="1"/>
  <c r="J46" i="1" s="1"/>
  <c r="I45" i="1"/>
  <c r="J45" i="1" s="1"/>
  <c r="J44" i="1"/>
  <c r="I44" i="1"/>
  <c r="I43" i="1"/>
  <c r="J43" i="1" s="1"/>
  <c r="I42" i="1"/>
  <c r="J42" i="1" s="1"/>
  <c r="I41" i="1"/>
  <c r="J41" i="1" s="1"/>
  <c r="J40" i="1"/>
  <c r="I40" i="1"/>
  <c r="I39" i="1"/>
  <c r="J39" i="1" s="1"/>
  <c r="I38" i="1"/>
  <c r="J38" i="1" s="1"/>
  <c r="I37" i="1"/>
  <c r="J37" i="1" s="1"/>
  <c r="J36" i="1"/>
  <c r="I36" i="1"/>
  <c r="I35" i="1"/>
  <c r="J35" i="1" s="1"/>
  <c r="I34" i="1"/>
  <c r="J34" i="1" s="1"/>
  <c r="I33" i="1"/>
  <c r="J33" i="1" s="1"/>
  <c r="J32" i="1"/>
  <c r="I32" i="1"/>
  <c r="I31" i="1"/>
  <c r="J31" i="1" s="1"/>
  <c r="I30" i="1"/>
  <c r="J30" i="1" s="1"/>
  <c r="I29" i="1"/>
  <c r="J29" i="1" s="1"/>
  <c r="J28" i="1"/>
  <c r="I28" i="1"/>
  <c r="I27" i="1"/>
  <c r="J27" i="1" s="1"/>
  <c r="I26" i="1"/>
  <c r="J26" i="1" s="1"/>
  <c r="I25" i="1"/>
  <c r="J25" i="1" s="1"/>
  <c r="J24" i="1"/>
  <c r="I24" i="1"/>
  <c r="I23" i="1"/>
  <c r="J23" i="1" s="1"/>
  <c r="I22" i="1"/>
  <c r="J22" i="1" s="1"/>
  <c r="I21" i="1"/>
  <c r="J21" i="1" s="1"/>
  <c r="J20" i="1"/>
  <c r="I20" i="1"/>
  <c r="I19" i="1"/>
  <c r="J19" i="1" s="1"/>
  <c r="I18" i="1"/>
  <c r="J18" i="1" s="1"/>
  <c r="I17" i="1"/>
  <c r="J17" i="1" s="1"/>
  <c r="J16" i="1"/>
  <c r="I16" i="1"/>
  <c r="I15" i="1"/>
  <c r="J15" i="1" s="1"/>
  <c r="I14" i="1"/>
  <c r="J14" i="1" s="1"/>
  <c r="I13" i="1"/>
  <c r="J13" i="1" s="1"/>
  <c r="J12" i="1"/>
  <c r="I12" i="1"/>
  <c r="I11" i="1"/>
  <c r="J11" i="1" s="1"/>
  <c r="I10" i="1"/>
  <c r="J10" i="1" s="1"/>
  <c r="I9" i="1"/>
  <c r="J9" i="1" s="1"/>
  <c r="J8" i="1"/>
  <c r="I8" i="1"/>
  <c r="I7" i="1"/>
  <c r="J7" i="1" s="1"/>
  <c r="I6" i="1"/>
  <c r="J6" i="1" s="1"/>
  <c r="I5" i="1"/>
  <c r="J5" i="1" s="1"/>
</calcChain>
</file>

<file path=xl/sharedStrings.xml><?xml version="1.0" encoding="utf-8"?>
<sst xmlns="http://schemas.openxmlformats.org/spreadsheetml/2006/main" count="2665" uniqueCount="754">
  <si>
    <t>ENTRY DATE</t>
  </si>
  <si>
    <t>VALUE DATE</t>
  </si>
  <si>
    <t>DESCRIPTION</t>
  </si>
  <si>
    <t>DEBITS</t>
  </si>
  <si>
    <t>CREDITS</t>
  </si>
  <si>
    <t>BALANCE</t>
  </si>
  <si>
    <t>Running Total</t>
  </si>
  <si>
    <t>Difference</t>
  </si>
  <si>
    <t>30-12-2019</t>
  </si>
  <si>
    <t>25-02-2019</t>
  </si>
  <si>
    <t>FAB CHQ# 484623 DRAWERS CONF NOT RECEIVED RTNS 02</t>
  </si>
  <si>
    <t>-</t>
  </si>
  <si>
    <t>FAB CHQ# 484625 DRAWERS CONF NOT RECEIVED RTNS 02</t>
  </si>
  <si>
    <t>INW CLG 484623</t>
  </si>
  <si>
    <t>INW CLG 484625</t>
  </si>
  <si>
    <t>26-02-2019</t>
  </si>
  <si>
    <t>INW CLG 484624</t>
  </si>
  <si>
    <t>27-02-2019</t>
  </si>
  <si>
    <t>FUNDS TRANSFER FROM 0100106024701 CMO 006</t>
  </si>
  <si>
    <t>0000484622 DRAWERS CONFIRMATION REQUIRED</t>
  </si>
  <si>
    <t>INW CLG 484622</t>
  </si>
  <si>
    <t>28-02-2019</t>
  </si>
  <si>
    <t>0000484661 CASH WITHDRAWAL=IFO OLIV</t>
  </si>
  <si>
    <t>DEBIT INTEREST</t>
  </si>
  <si>
    <t>CHQ # 484623 INWARD CLEARING INW 0 .</t>
  </si>
  <si>
    <t>CHQ # 484625 INWARD CLEARING INW 0 .</t>
  </si>
  <si>
    <t>INW CLG 484664</t>
  </si>
  <si>
    <t>0000484636 SCB,CHQ#484636,IFO MULTI</t>
  </si>
  <si>
    <t>0000484697 CASH WITHDRAWAL-IBRAHIM</t>
  </si>
  <si>
    <t>INW CLG 484647</t>
  </si>
  <si>
    <t>SWEEP FROM GHS 0100106024701</t>
  </si>
  <si>
    <t>13/03/2019</t>
  </si>
  <si>
    <t>INW CLG 484687</t>
  </si>
  <si>
    <t>INW CLG 484685</t>
  </si>
  <si>
    <t>INW CLG 484689</t>
  </si>
  <si>
    <t>14/03/2019</t>
  </si>
  <si>
    <t>0000484683 CASH WITHDRAWN BY ADDO F</t>
  </si>
  <si>
    <t>INW CLG 484646</t>
  </si>
  <si>
    <t>GTBTRPTRF5020 IT00101903150258 TGL PROPERTIES LTD</t>
  </si>
  <si>
    <t>15/03/2019</t>
  </si>
  <si>
    <t>INW CLG 484688</t>
  </si>
  <si>
    <t>INW CLG 484686</t>
  </si>
  <si>
    <t>INW CLG 484642</t>
  </si>
  <si>
    <t>18/03/2019</t>
  </si>
  <si>
    <t>INW CLG 484645</t>
  </si>
  <si>
    <t>19/03/2019</t>
  </si>
  <si>
    <t>INW CLG 484635</t>
  </si>
  <si>
    <t>INW CLG 484620</t>
  </si>
  <si>
    <t>INW CLG 484675</t>
  </si>
  <si>
    <t>INW CLG 484629</t>
  </si>
  <si>
    <t>INW CLG 484619</t>
  </si>
  <si>
    <t>INW CLG 484628</t>
  </si>
  <si>
    <t>INW CLG 484638</t>
  </si>
  <si>
    <t>20/03/2019</t>
  </si>
  <si>
    <t>INW CLG 484673</t>
  </si>
  <si>
    <t>INW CLG 484643</t>
  </si>
  <si>
    <t>INW CLG 484649</t>
  </si>
  <si>
    <t>INW CLG 484611</t>
  </si>
  <si>
    <t>INW CLG 484659</t>
  </si>
  <si>
    <t>INW CLG 484637</t>
  </si>
  <si>
    <t>21/03/2019</t>
  </si>
  <si>
    <t>INW CLG 484677</t>
  </si>
  <si>
    <t>INW CLG 484662</t>
  </si>
  <si>
    <t>INW CLG 484617</t>
  </si>
  <si>
    <t>INW CLG 484657</t>
  </si>
  <si>
    <t>22/03/2019</t>
  </si>
  <si>
    <t>INW CLG 484648</t>
  </si>
  <si>
    <t>25/03/2019</t>
  </si>
  <si>
    <t>INW CLG 484633</t>
  </si>
  <si>
    <t>INW CLG 484667</t>
  </si>
  <si>
    <t>INW CLG 484663</t>
  </si>
  <si>
    <t>INW CLG 484684</t>
  </si>
  <si>
    <t>INW CLG 484654</t>
  </si>
  <si>
    <t>INW CLG 484655</t>
  </si>
  <si>
    <t>INW CLG 210656</t>
  </si>
  <si>
    <t>INW CLG 484606</t>
  </si>
  <si>
    <t>INW CLG 484603</t>
  </si>
  <si>
    <t>INW CLG 484601</t>
  </si>
  <si>
    <t>0000484666 SCB HIGH STRT. CHQ#48466 TRANSMED GHANA</t>
  </si>
  <si>
    <t>26/03/2019</t>
  </si>
  <si>
    <t>INW CLG 484660</t>
  </si>
  <si>
    <t>INW CLG 210655</t>
  </si>
  <si>
    <t>INW CLG 484640</t>
  </si>
  <si>
    <t>27/03/2019</t>
  </si>
  <si>
    <t>0000484650 CASH WITHDRAWN BY OLIVIA</t>
  </si>
  <si>
    <t>BILL NO: 18687578 26/03/2019 GR:126</t>
  </si>
  <si>
    <t>BALANCE BROUGHT FORWARD</t>
  </si>
  <si>
    <t>27-03-2019</t>
  </si>
  <si>
    <t>MARCH 2019 SALARY SAL 010 SCW204GH0100270319512376</t>
  </si>
  <si>
    <t>28-03-2019</t>
  </si>
  <si>
    <t>CHARGES ON SALARY TO OTHER BANKS SAL 024</t>
  </si>
  <si>
    <t>29-03-2019</t>
  </si>
  <si>
    <t>INW CLG 210630</t>
  </si>
  <si>
    <t>0000210698 CASH WITHDRAWAL-BASSIROU</t>
  </si>
  <si>
    <t>0000210673 CASH WITHDRAWN BY OLIVIA</t>
  </si>
  <si>
    <t>INW CLG 484626</t>
  </si>
  <si>
    <t>INW CLG 484639</t>
  </si>
  <si>
    <t>INW CLG 210674</t>
  </si>
  <si>
    <t>INW CLG 210633</t>
  </si>
  <si>
    <t>INW CLG 210658</t>
  </si>
  <si>
    <t>0000210696 SCB #210696 IFO MULTICHO</t>
  </si>
  <si>
    <t>SCB CHQ# 484604 TRF IFO PETRA ADVA PENSION SCHEME</t>
  </si>
  <si>
    <t>INW CLG 484652</t>
  </si>
  <si>
    <t>BILL NO: 18757983 04/04/2019 GR:99</t>
  </si>
  <si>
    <t>INW CLG 210672</t>
  </si>
  <si>
    <t>INW CLG 210683</t>
  </si>
  <si>
    <t>0000259028 CASH WITHDRAWAL-AMADOU B THIQUINE</t>
  </si>
  <si>
    <t>INW CLG 210669</t>
  </si>
  <si>
    <t>INW CLG 210641</t>
  </si>
  <si>
    <t>15/04/2019</t>
  </si>
  <si>
    <t>INW CLG 484669</t>
  </si>
  <si>
    <t>INW CLG 484671</t>
  </si>
  <si>
    <t>INW CLG 484672</t>
  </si>
  <si>
    <t>0000484630 SCB #484630 IFO GGBL</t>
  </si>
  <si>
    <t>16/04/2019</t>
  </si>
  <si>
    <t>INW CLG 259049</t>
  </si>
  <si>
    <t>INW CLG 484700</t>
  </si>
  <si>
    <t>CHQ# 210662 DRAWERS SIGNATURE NOT PER MANDATE CLG</t>
  </si>
  <si>
    <t>17/04/2019</t>
  </si>
  <si>
    <t>CHQ# 259029 DRAWERS SIGNATURE NOT AS PER MANDATE</t>
  </si>
  <si>
    <t>CHQ# 259058 DRAWERS SIGNATURE NOT AS PER MANDATE</t>
  </si>
  <si>
    <t>INW CLG 210662</t>
  </si>
  <si>
    <t>INW CLG 259029</t>
  </si>
  <si>
    <t>INW CLG 259058</t>
  </si>
  <si>
    <t>18/04/2019</t>
  </si>
  <si>
    <t>INW CLG 210684</t>
  </si>
  <si>
    <t>23/04/2019</t>
  </si>
  <si>
    <t>INW CLG 259009</t>
  </si>
  <si>
    <t>INW CLG 259063</t>
  </si>
  <si>
    <t>INW CLG 210677</t>
  </si>
  <si>
    <t>INW CLG 210700</t>
  </si>
  <si>
    <t>CHQ# 259059 DRAWERS SIGNATURE NOT AS PER MANDATE</t>
  </si>
  <si>
    <t>24/04/2019</t>
  </si>
  <si>
    <t>CHQ# 259096 DRAWERS SIGNATURE NOT AS PER MANDATE</t>
  </si>
  <si>
    <t>CHQ# 259086 DRAWER'S SIGNATURE NOT AS PER MANDATE</t>
  </si>
  <si>
    <t>CHQ# 259029 DRAWER'S SIGNATURE NOT AS PER MANDATE</t>
  </si>
  <si>
    <t>CHQ# 259029 EXPRESS INWARD CLEARIN EXP 01</t>
  </si>
  <si>
    <t>INW CLG 259090</t>
  </si>
  <si>
    <t>INW CLG 484651</t>
  </si>
  <si>
    <t>INW CLG 259059</t>
  </si>
  <si>
    <t>INW CLG 259096</t>
  </si>
  <si>
    <t>INW CLG 259086</t>
  </si>
  <si>
    <t>CHQ # 259096 DRAWER'S SIGNATURE NO AS PER MANDATE</t>
  </si>
  <si>
    <t>CHQ # 259059 DRAWER'S SIGNATURE NO AS PER MANDATE</t>
  </si>
  <si>
    <t>CHQ # 259086 DRAWER'S SIGNATURE NO AS PER MANDATE</t>
  </si>
  <si>
    <t>CHQ # 259029 DRAWER'S SIGNATURE NO AS PER MANDATE</t>
  </si>
  <si>
    <t>GTBTRPTRF12885 IT00101904250837 TGL PROPERTIES LIMITED</t>
  </si>
  <si>
    <t>25/04/2019</t>
  </si>
  <si>
    <t>CHQ # 210662 EXPRESS INWARD CLEARI G EXP 01</t>
  </si>
  <si>
    <t>CHQ # 259086 EXPRESS INWARD CLEARI G EXP 01</t>
  </si>
  <si>
    <t>CHQ # 259029 EXPRESS INWARD CLEARI G EXP 01</t>
  </si>
  <si>
    <t>CHQ # 259058 EXPRESS INWARD CLEARI G EXP 01</t>
  </si>
  <si>
    <t>INW CLG 259083</t>
  </si>
  <si>
    <t>INW CLG 210651</t>
  </si>
  <si>
    <t>INW CLG 259084</t>
  </si>
  <si>
    <t>INW CLG 259082</t>
  </si>
  <si>
    <t>INW CLG 484692</t>
  </si>
  <si>
    <t>INW CLG 210660</t>
  </si>
  <si>
    <t>INW CLG 484694</t>
  </si>
  <si>
    <t>INW CLG 484693</t>
  </si>
  <si>
    <t>INW CLG 484607</t>
  </si>
  <si>
    <t>INW CLG 484690</t>
  </si>
  <si>
    <t>INW CLG 259085</t>
  </si>
  <si>
    <t>26/04/2019</t>
  </si>
  <si>
    <t>INW CLG 210653</t>
  </si>
  <si>
    <t>INW CLG 259074</t>
  </si>
  <si>
    <t>INW CLG 259094</t>
  </si>
  <si>
    <t>INW CLG 210675</t>
  </si>
  <si>
    <t>26-04-2019</t>
  </si>
  <si>
    <t>INW CLG 210697</t>
  </si>
  <si>
    <t>INW CLG 680326</t>
  </si>
  <si>
    <t>INW CLG 210663</t>
  </si>
  <si>
    <t>29-04-2019</t>
  </si>
  <si>
    <t>INW CLG 210647</t>
  </si>
  <si>
    <t>INW CLG 210657</t>
  </si>
  <si>
    <t>0000210618 CHQ DEP SCB H/S CHQ NO,2 IFO-IPMC</t>
  </si>
  <si>
    <t>30-04-2019</t>
  </si>
  <si>
    <t>INW CLG 484670</t>
  </si>
  <si>
    <t>INW CLG 210676</t>
  </si>
  <si>
    <t>INW CLG 259092</t>
  </si>
  <si>
    <t>INW CLG 210650</t>
  </si>
  <si>
    <t>INW CLG 680352</t>
  </si>
  <si>
    <t>INW CLG 259064</t>
  </si>
  <si>
    <t>INW CLG 680348</t>
  </si>
  <si>
    <t>INW CLG 259030</t>
  </si>
  <si>
    <t>INW CLG 680345</t>
  </si>
  <si>
    <t>CHQ # 259087 INWARD CLEARING INW 01</t>
  </si>
  <si>
    <t>INW CLG 680325</t>
  </si>
  <si>
    <t>INW CLG 259089</t>
  </si>
  <si>
    <t>INW CLG 680364</t>
  </si>
  <si>
    <t>INW CLG 210687</t>
  </si>
  <si>
    <t>INW CLG 259057</t>
  </si>
  <si>
    <t>INW CLG 259051</t>
  </si>
  <si>
    <t>INW CLG 680312</t>
  </si>
  <si>
    <t>INW CLG 680350</t>
  </si>
  <si>
    <t>INW CLG 680313</t>
  </si>
  <si>
    <t>INW CLG 259007</t>
  </si>
  <si>
    <t>INW CLG 259040</t>
  </si>
  <si>
    <t>0000210627 CASH WITHDRAWN BY OLIVIA</t>
  </si>
  <si>
    <t>0000210621 CASH WITHDRAWN BY OLIVIA</t>
  </si>
  <si>
    <t>0000210622 CASH WITHDRAWN BY OLIVIA</t>
  </si>
  <si>
    <t>0000484682 CASH WITHDRAWN BY OLIVIA</t>
  </si>
  <si>
    <t>0000210624 CASH WITHDRAWN BY OLIVIA</t>
  </si>
  <si>
    <t>0000210619 CASH WITHDRAWN BY OLIVIA</t>
  </si>
  <si>
    <t>0000484668 CASH WITHDRAWN BY OLIVIA</t>
  </si>
  <si>
    <t>0000210626 CASH WITHDRAWN BY OLIVIA</t>
  </si>
  <si>
    <t>0000210699 CASH WITHDRAWN BY OLIVIA</t>
  </si>
  <si>
    <t>INW CLG 210680</t>
  </si>
  <si>
    <t>INW CLG 210682</t>
  </si>
  <si>
    <t>INW CLG 259055</t>
  </si>
  <si>
    <t>INW CLG 259016</t>
  </si>
  <si>
    <t>INW CLG 484698</t>
  </si>
  <si>
    <t>INW CLG 259091</t>
  </si>
  <si>
    <t>13/05/2019</t>
  </si>
  <si>
    <t>INW CLG 680363</t>
  </si>
  <si>
    <t>INW CLG 680362</t>
  </si>
  <si>
    <t>INW CLG 210643</t>
  </si>
  <si>
    <t>INW CLG 210688</t>
  </si>
  <si>
    <t>INW CLG 210646</t>
  </si>
  <si>
    <t>INW CLG 680329</t>
  </si>
  <si>
    <t>0000259001 SCB #259001 IFO TRANSMED</t>
  </si>
  <si>
    <t>0000680301 TRF IFO OYA TRADING</t>
  </si>
  <si>
    <t>0000259098 TRF IFO OYA TRADING</t>
  </si>
  <si>
    <t>0000259056 SCB #259056 IFO TRANSMED</t>
  </si>
  <si>
    <t>0000259099 SCB #259099 IFO MULTICHO</t>
  </si>
  <si>
    <t>14/05/2019</t>
  </si>
  <si>
    <t>INW CLG 484665</t>
  </si>
  <si>
    <t>INW CLG 259034</t>
  </si>
  <si>
    <t>INW CLG 210685</t>
  </si>
  <si>
    <t>INW CLG 680303</t>
  </si>
  <si>
    <t>INW CLG 259100</t>
  </si>
  <si>
    <t>INW CLG 210642</t>
  </si>
  <si>
    <t>15/05/2019</t>
  </si>
  <si>
    <t>INW CLG 680360</t>
  </si>
  <si>
    <t>INW CLG 210652</t>
  </si>
  <si>
    <t>INW CLG 259024</t>
  </si>
  <si>
    <t>0000484608 IFO TGL PROPERTIES LTD SCB H/S ACCRA 484608</t>
  </si>
  <si>
    <t>0000680365 IFO TGL PROPERTIES LTD SCB H/S ACCRA 680365</t>
  </si>
  <si>
    <t>0000210625 IFO TGL PROPERTIES LTD SCB H/S ACCRA 210625</t>
  </si>
  <si>
    <t>0000484680 IFO TGL PROPERTIES LTD SCB H/S ACCRA 484680</t>
  </si>
  <si>
    <t>0000210620 IFO TGL PROPERTIES LTD SCB H/S ACCRA 210620</t>
  </si>
  <si>
    <t>0000484676 IFO TGL PROPERTIES LTD SCB H/S ACCRA 484676</t>
  </si>
  <si>
    <t>0000484634 IFO TGL PROPERTIES LTD SCB H/S ACCRA 484634</t>
  </si>
  <si>
    <t>0000210617 IFO TGL PROPERTIES LTD SCB H/S ACCRA 210617</t>
  </si>
  <si>
    <t>0000484610 IFO TGL PROPERTIES LTD SCB H/S ACCRA 484610</t>
  </si>
  <si>
    <t>0000484609 IFO TGL PROPERTIES LTD SCB H/S ACCRA 484609</t>
  </si>
  <si>
    <t>0000484612 IFO TGL PROPERTIES LTD SCB H/S ACCRA 484612</t>
  </si>
  <si>
    <t>0000484615 IFO TGL PROPERTIES LTD SCB H/S ACCRA 484615</t>
  </si>
  <si>
    <t>0000484613 IFO TGL PROPERTIES LTD SCB H/S ACCRA 484613</t>
  </si>
  <si>
    <t>0000484678 IFO TGL PROPERTIES LTD SCB H/S ACCRA 484678</t>
  </si>
  <si>
    <t>16/05/2019</t>
  </si>
  <si>
    <t>INW CLG 680330</t>
  </si>
  <si>
    <t>INW CLG 680338</t>
  </si>
  <si>
    <t>INW CLG 210645</t>
  </si>
  <si>
    <t>INW CLG 259022</t>
  </si>
  <si>
    <t>17/05/2019</t>
  </si>
  <si>
    <t>INW CLG 259071</t>
  </si>
  <si>
    <t>INW CLG 680314</t>
  </si>
  <si>
    <t>INW CLG 680306</t>
  </si>
  <si>
    <t>INW CLG 259003</t>
  </si>
  <si>
    <t>INW CLG 259041</t>
  </si>
  <si>
    <t>20/05/2019</t>
  </si>
  <si>
    <t>INW CLG 210654</t>
  </si>
  <si>
    <t>INW CLG 680335</t>
  </si>
  <si>
    <t>INW CLG 259077</t>
  </si>
  <si>
    <t>INW CLG 680316</t>
  </si>
  <si>
    <t>INW CLG 680308</t>
  </si>
  <si>
    <t>INW CLG 259072</t>
  </si>
  <si>
    <t>21/05/2019</t>
  </si>
  <si>
    <t>INW CLG 259078</t>
  </si>
  <si>
    <t>INW CLG 680346</t>
  </si>
  <si>
    <t>INW CLG 259097</t>
  </si>
  <si>
    <t>INW CLG 680331</t>
  </si>
  <si>
    <t>INW CLG 259075</t>
  </si>
  <si>
    <t>INW CLG 680333</t>
  </si>
  <si>
    <t>INW CLG 680320</t>
  </si>
  <si>
    <t>INW CLG 259073</t>
  </si>
  <si>
    <t>INW CLG 680309</t>
  </si>
  <si>
    <t>INW CLG 210686</t>
  </si>
  <si>
    <t>INW CLG 210681</t>
  </si>
  <si>
    <t>INW CLG 210661</t>
  </si>
  <si>
    <t>INW CLG 210694</t>
  </si>
  <si>
    <t>INW CLG 259065</t>
  </si>
  <si>
    <t>22/05/2019</t>
  </si>
  <si>
    <t>INW CLG 680358</t>
  </si>
  <si>
    <t>INW CLG 259048</t>
  </si>
  <si>
    <t>INW CLG 680321</t>
  </si>
  <si>
    <t>INW CLG 484621</t>
  </si>
  <si>
    <t>INW CLG 259068</t>
  </si>
  <si>
    <t>0000259061 CHQ 259061-IFO EOXA RESO</t>
  </si>
  <si>
    <t>23/05/2019</t>
  </si>
  <si>
    <t>INW CLG 680334</t>
  </si>
  <si>
    <t>INW CLG 259031</t>
  </si>
  <si>
    <t>INW CLG 680349</t>
  </si>
  <si>
    <t>INW CLG 680336</t>
  </si>
  <si>
    <t>INW CLG 259039</t>
  </si>
  <si>
    <t>INW CLG 259002</t>
  </si>
  <si>
    <t>INW CLG 680317</t>
  </si>
  <si>
    <t>INW CLG 210692</t>
  </si>
  <si>
    <t>24/05/2019</t>
  </si>
  <si>
    <t>0000484696 FUND TRANSFER TO PETRA A 9970500015699 SCB</t>
  </si>
  <si>
    <t>0000210693 FUND TRANSFER TO PETRA A 9970500015699 SCB</t>
  </si>
  <si>
    <t>INW CLG 210665</t>
  </si>
  <si>
    <t>INW CLG 259062</t>
  </si>
  <si>
    <t>INW CLG 210689</t>
  </si>
  <si>
    <t>INW CLG 484641</t>
  </si>
  <si>
    <t>28/05/2019</t>
  </si>
  <si>
    <t>BILL NO: 18958743 24/05/2019 GR:123</t>
  </si>
  <si>
    <t>INW CLG 259066</t>
  </si>
  <si>
    <t>INW CLG 680328</t>
  </si>
  <si>
    <t>INW CLG 484614</t>
  </si>
  <si>
    <t>INW CLG 259070</t>
  </si>
  <si>
    <t>INW CLG 680323</t>
  </si>
  <si>
    <t>29/05/2019</t>
  </si>
  <si>
    <t>INW CLG 259079</t>
  </si>
  <si>
    <t>INW CLG 484656</t>
  </si>
  <si>
    <t>INW CLG 680332</t>
  </si>
  <si>
    <t>INW CLG 259069</t>
  </si>
  <si>
    <t>29-05-2019</t>
  </si>
  <si>
    <t>30-05-2019</t>
  </si>
  <si>
    <t>INW CLG 259047</t>
  </si>
  <si>
    <t>31-05-2019</t>
  </si>
  <si>
    <t>INW CLG 680304</t>
  </si>
  <si>
    <t>INW CLG 680347</t>
  </si>
  <si>
    <t>INW CLG 680322</t>
  </si>
  <si>
    <t>INW CLG 680366</t>
  </si>
  <si>
    <t>INW CLG 259053</t>
  </si>
  <si>
    <t>INW CLG 680337</t>
  </si>
  <si>
    <t>INW CLG 680319</t>
  </si>
  <si>
    <t>0000484618 IFO TGL PROPERTIES LTD SCB H/S 484618</t>
  </si>
  <si>
    <t>0000210623 IFO TGL PROPERTIES LTD SCB H/S ACCRA 210623</t>
  </si>
  <si>
    <t>0000484616 IFO TGL PROPERTIES LTD SCB H/S ACCRA 484616</t>
  </si>
  <si>
    <t>INW CLG 259067</t>
  </si>
  <si>
    <t>13/06/2019</t>
  </si>
  <si>
    <t>14/06/2019</t>
  </si>
  <si>
    <t>INW CLG 210666</t>
  </si>
  <si>
    <t>INW CLG 210629</t>
  </si>
  <si>
    <t>17/06/2019</t>
  </si>
  <si>
    <t>INW CLG 210635</t>
  </si>
  <si>
    <t>INW CLG 210628</t>
  </si>
  <si>
    <t>INW CLG 680310</t>
  </si>
  <si>
    <t>INW CLG 210639</t>
  </si>
  <si>
    <t>INW CLG 210634</t>
  </si>
  <si>
    <t>INW CLG 259018</t>
  </si>
  <si>
    <t>0000259044 TARKWA STORE ID 111003 SCB CHQ # 259044 IFO</t>
  </si>
  <si>
    <t>0000210640 CHQ 210640 IFO DOXA RESO</t>
  </si>
  <si>
    <t>INW CLG 210638</t>
  </si>
  <si>
    <t>18/06/2019</t>
  </si>
  <si>
    <t>INW CLG 259052</t>
  </si>
  <si>
    <t>INW CLG 210632</t>
  </si>
  <si>
    <t>INW CLG 210631</t>
  </si>
  <si>
    <t>0000484679 TARKWA STORE ID 111003 SCB CHQ # 484679 IFO</t>
  </si>
  <si>
    <t>INW CLG 259060</t>
  </si>
  <si>
    <t>19/06/2019</t>
  </si>
  <si>
    <t>INW CLG 210616</t>
  </si>
  <si>
    <t>20/06/2019</t>
  </si>
  <si>
    <t>0000259043 CASH WITHDRAWAL-GBEDZO O</t>
  </si>
  <si>
    <t>INW CLG 210636</t>
  </si>
  <si>
    <t>21/06/2019</t>
  </si>
  <si>
    <t>INW CLG 259014</t>
  </si>
  <si>
    <t>INW CLG 210612</t>
  </si>
  <si>
    <t>INW CLG 210608</t>
  </si>
  <si>
    <t>0000259035 SCB,CHQ#259035 IFO TOYOT</t>
  </si>
  <si>
    <t>24/06/2019</t>
  </si>
  <si>
    <t>INW CLG 210615</t>
  </si>
  <si>
    <t>INW CLG 259032</t>
  </si>
  <si>
    <t>25/06/2019</t>
  </si>
  <si>
    <t>INW CLG 259004</t>
  </si>
  <si>
    <t>INW CLG 680318</t>
  </si>
  <si>
    <t>INW CLG 210664</t>
  </si>
  <si>
    <t>26/06/2019</t>
  </si>
  <si>
    <t>INW CLG 259026</t>
  </si>
  <si>
    <t>26-06-2019</t>
  </si>
  <si>
    <t>INW CLG 210613</t>
  </si>
  <si>
    <t>27-06-2019</t>
  </si>
  <si>
    <t>0000680354 CASH WITHDRAWN BY WENDY AFRIYIE ADDO</t>
  </si>
  <si>
    <t>INW CLG 210602</t>
  </si>
  <si>
    <t>28-06-2019</t>
  </si>
  <si>
    <t>INW CLG 680307</t>
  </si>
  <si>
    <t>INW CLG 210637</t>
  </si>
  <si>
    <t>INW CLG 680341</t>
  </si>
  <si>
    <t>INW CLG 210690</t>
  </si>
  <si>
    <t>16/07/2019</t>
  </si>
  <si>
    <t>INW CLG 680344</t>
  </si>
  <si>
    <t>17/07/2019</t>
  </si>
  <si>
    <t>INW CLG 259020</t>
  </si>
  <si>
    <t>18/07/2019</t>
  </si>
  <si>
    <t>INW CLG 210671</t>
  </si>
  <si>
    <t>INW CLG 210679</t>
  </si>
  <si>
    <t>19/07/2019</t>
  </si>
  <si>
    <t>INW CLG 484605</t>
  </si>
  <si>
    <t>INW CLG 484691</t>
  </si>
  <si>
    <t>INW CLG 259088</t>
  </si>
  <si>
    <t>23/07/2019</t>
  </si>
  <si>
    <t>24/07/2019</t>
  </si>
  <si>
    <t>25/07/2019</t>
  </si>
  <si>
    <t>26/07/2019</t>
  </si>
  <si>
    <t>26-07-2019</t>
  </si>
  <si>
    <t>INW CLG 680361</t>
  </si>
  <si>
    <t>INW CLG 259036</t>
  </si>
  <si>
    <t>INW CLG 680340</t>
  </si>
  <si>
    <t>INW CLG 210695</t>
  </si>
  <si>
    <t>29-07-2019</t>
  </si>
  <si>
    <t>30-07-2019</t>
  </si>
  <si>
    <t>31-07-2019</t>
  </si>
  <si>
    <t>INW CLG 259027</t>
  </si>
  <si>
    <t>INW CLG 680343</t>
  </si>
  <si>
    <t>INW CLG 210670</t>
  </si>
  <si>
    <t>OT REF OT00201908090041 TGL PROPERTIES LTD</t>
  </si>
  <si>
    <t>OT00201908090041 TT CHARGES OUTWARD TELEGRAPHIC</t>
  </si>
  <si>
    <t>13/08/2019</t>
  </si>
  <si>
    <t>16/08/2019</t>
  </si>
  <si>
    <t>20/08/2019</t>
  </si>
  <si>
    <t>22/08/2019</t>
  </si>
  <si>
    <t>22-08-2019</t>
  </si>
  <si>
    <t>INW CLG 210691</t>
  </si>
  <si>
    <t>28-08-2019</t>
  </si>
  <si>
    <t>29-08-2019</t>
  </si>
  <si>
    <t>INW CLG 259046</t>
  </si>
  <si>
    <t>13/09/2019</t>
  </si>
  <si>
    <t>INW CLG 680367</t>
  </si>
  <si>
    <t>16/09/2019</t>
  </si>
  <si>
    <t>17/09/2019</t>
  </si>
  <si>
    <t>18/09/2019</t>
  </si>
  <si>
    <t>19/09/2019</t>
  </si>
  <si>
    <t>20/09/2019</t>
  </si>
  <si>
    <t>0000680370 CASH WITHDRAWAL-BONSU OB</t>
  </si>
  <si>
    <t>INW CLG 680369</t>
  </si>
  <si>
    <t>24/09/2019</t>
  </si>
  <si>
    <t>25/09/2019</t>
  </si>
  <si>
    <t>26/09/2019</t>
  </si>
  <si>
    <t>27/09/2019</t>
  </si>
  <si>
    <t>0000680376 CASH WITHDRAWAL;BY COLLI</t>
  </si>
  <si>
    <t>0000680375 CASH WITHDRAWN BY OLIVIA</t>
  </si>
  <si>
    <t>0000680380 CASH WITHDRAWN BY OLIVIA</t>
  </si>
  <si>
    <t>INW CLG 680371</t>
  </si>
  <si>
    <t>27-09-2019</t>
  </si>
  <si>
    <t>30/09/2019</t>
  </si>
  <si>
    <t>30-09-2019</t>
  </si>
  <si>
    <t>INW CLG 680378</t>
  </si>
  <si>
    <t>INW CLG 680374</t>
  </si>
  <si>
    <t>0000680373 WITHDRAWAL-B/O DZOGBEDOZ</t>
  </si>
  <si>
    <t>INW CLG 680389</t>
  </si>
  <si>
    <t>INW CLG 680387</t>
  </si>
  <si>
    <t>INW CLG 680381</t>
  </si>
  <si>
    <t>0000680386 CASH WITHDRAWAL-OLIVIA G</t>
  </si>
  <si>
    <t>INW CLG 680372</t>
  </si>
  <si>
    <t>0000726418 CASH WITHDRAWAL-FRANCIS</t>
  </si>
  <si>
    <t>14/10/2019</t>
  </si>
  <si>
    <t>INW CLG 680383</t>
  </si>
  <si>
    <t>15/10/2019</t>
  </si>
  <si>
    <t>16/10/2019</t>
  </si>
  <si>
    <t>17/10/2019</t>
  </si>
  <si>
    <t>INW CLG 680393</t>
  </si>
  <si>
    <t>18/10/2019</t>
  </si>
  <si>
    <t>0000726491 CASH WITHDRAWAL-B/O OLIV</t>
  </si>
  <si>
    <t>INW CLG 726434</t>
  </si>
  <si>
    <t>INW CLG 680396</t>
  </si>
  <si>
    <t>INW CLG 726417</t>
  </si>
  <si>
    <t>21/10/2019</t>
  </si>
  <si>
    <t>INW CLG 726433</t>
  </si>
  <si>
    <t>INW CLG 726413</t>
  </si>
  <si>
    <t>22/10/2019</t>
  </si>
  <si>
    <t>INW CLG 680397</t>
  </si>
  <si>
    <t>INW CLG 680398</t>
  </si>
  <si>
    <t>INW CLG 680400</t>
  </si>
  <si>
    <t>INW CLG 680394</t>
  </si>
  <si>
    <t>23/10/2019</t>
  </si>
  <si>
    <t>0000726401 SCB CHQ # 726401 IFO TRA</t>
  </si>
  <si>
    <t>24/10/2019</t>
  </si>
  <si>
    <t>0000726431 726431 SCB H/ST IFO PETR 9970500015699</t>
  </si>
  <si>
    <t>25/10/2019</t>
  </si>
  <si>
    <t>INW CLG 726438</t>
  </si>
  <si>
    <t>BILL NO: 19715270 25/10/2019 GR:111</t>
  </si>
  <si>
    <t>28/10/2019</t>
  </si>
  <si>
    <t>INW CLG 726405</t>
  </si>
  <si>
    <t>INW CLG 726409</t>
  </si>
  <si>
    <t>INW CLG 726442</t>
  </si>
  <si>
    <t>SWEEP TO GHS 0100106024701</t>
  </si>
  <si>
    <t>29/10/2019</t>
  </si>
  <si>
    <t>INW CLG 680395</t>
  </si>
  <si>
    <t>INW CLG 726457</t>
  </si>
  <si>
    <t>INW CLG 726402</t>
  </si>
  <si>
    <t>INW CLG 726465</t>
  </si>
  <si>
    <t>30/10/2019</t>
  </si>
  <si>
    <t>INW CLG 726487</t>
  </si>
  <si>
    <t>INW CLG 726421</t>
  </si>
  <si>
    <t>INW CLG 726489</t>
  </si>
  <si>
    <t>INW CLG 726420</t>
  </si>
  <si>
    <t>INW CLG 726414</t>
  </si>
  <si>
    <t>INW CLG 231901</t>
  </si>
  <si>
    <t>INW CLG 726469</t>
  </si>
  <si>
    <t>31/10/2019</t>
  </si>
  <si>
    <t>31-10-2019</t>
  </si>
  <si>
    <t>0000231903 CASH WITHDRAWN BY OLIVIA</t>
  </si>
  <si>
    <t>0000726495 CASH WITHDRAWN BY OLIVIA</t>
  </si>
  <si>
    <t>FUNDS TRANSFER TO TGL PROPERTIES LIMITED CMO 005 SCW204GH0100311019624601</t>
  </si>
  <si>
    <t>INW CLG 726449</t>
  </si>
  <si>
    <t>INW CLG 726440</t>
  </si>
  <si>
    <t>INW CLG 726415</t>
  </si>
  <si>
    <t>INW CLG 726447</t>
  </si>
  <si>
    <t>INW CLG 726454</t>
  </si>
  <si>
    <t>INW CLG 680399</t>
  </si>
  <si>
    <t>INW CLG 726450</t>
  </si>
  <si>
    <t>INW CLG 726500</t>
  </si>
  <si>
    <t>INW CLG 680384</t>
  </si>
  <si>
    <t>INW CLG 726476</t>
  </si>
  <si>
    <t>INW CLG 726407</t>
  </si>
  <si>
    <t>FUNDS TRANSFER TO ACCT 01-001-060247-00 CMO 006</t>
  </si>
  <si>
    <t>INW CLG 726497</t>
  </si>
  <si>
    <t>INW CLG 726463</t>
  </si>
  <si>
    <t>INW CLG 726412</t>
  </si>
  <si>
    <t>INW CLG 726408</t>
  </si>
  <si>
    <t>0000726492 SCB,CHQ#726492 IFO MULTI</t>
  </si>
  <si>
    <t>SWEEP FROM GHS 0100106024700</t>
  </si>
  <si>
    <t>0000231920 CASH WITHDRAWAL-MILLICEN</t>
  </si>
  <si>
    <t>INW CLG 726426</t>
  </si>
  <si>
    <t>INW CLG 726459</t>
  </si>
  <si>
    <t>INW CLG 726410</t>
  </si>
  <si>
    <t>INW CLG 726424</t>
  </si>
  <si>
    <t>INW CLG 726483</t>
  </si>
  <si>
    <t>INW CLG 726423</t>
  </si>
  <si>
    <t>INW CLG 726485</t>
  </si>
  <si>
    <t>INW CLG 726425</t>
  </si>
  <si>
    <t>INW CLG 726475</t>
  </si>
  <si>
    <t>INW CLG 726443</t>
  </si>
  <si>
    <t>INW CLG 726429</t>
  </si>
  <si>
    <t>INW CLG 726490</t>
  </si>
  <si>
    <t>INW CLG 726432</t>
  </si>
  <si>
    <t>INW CLG 726441</t>
  </si>
  <si>
    <t>INW CLG 726437</t>
  </si>
  <si>
    <t>0000726494 CASH WITHDRAWAL-JOSEPH F</t>
  </si>
  <si>
    <t>0000231918 CASH WITHDRAWAL-JOSEPH F</t>
  </si>
  <si>
    <t>INW CLG 726406</t>
  </si>
  <si>
    <t>INW CLG 726471</t>
  </si>
  <si>
    <t>INW CLG 726452</t>
  </si>
  <si>
    <t>INW CLG 726453</t>
  </si>
  <si>
    <t>INW CLG 726462</t>
  </si>
  <si>
    <t>INW CLG 726456</t>
  </si>
  <si>
    <t>INW CLG 726484</t>
  </si>
  <si>
    <t>INW CLG 231929</t>
  </si>
  <si>
    <t>INW CLG 726403</t>
  </si>
  <si>
    <t>INW CLG 726470</t>
  </si>
  <si>
    <t>CHQ# 726486 WRONG AMOUNT ENTERED CLG 08</t>
  </si>
  <si>
    <t>INW CLG 726419</t>
  </si>
  <si>
    <t>INW CLG 231921</t>
  </si>
  <si>
    <t>INW CLG 726411</t>
  </si>
  <si>
    <t>INW CLG 231905</t>
  </si>
  <si>
    <t>INW CLG 231927</t>
  </si>
  <si>
    <t>INW CLG 231923</t>
  </si>
  <si>
    <t>INW CLG 726458</t>
  </si>
  <si>
    <t>INW CLG 726486</t>
  </si>
  <si>
    <t>0000231928 H/ST CHQ NO 231928 IFO D RESOURCES</t>
  </si>
  <si>
    <t>13/11/2019</t>
  </si>
  <si>
    <t>INW CLG 726481</t>
  </si>
  <si>
    <t>INW CLG 726416</t>
  </si>
  <si>
    <t>INW CLG 726477</t>
  </si>
  <si>
    <t>14/11/2019</t>
  </si>
  <si>
    <t>INW CLG 231917</t>
  </si>
  <si>
    <t>INW CLG 231902</t>
  </si>
  <si>
    <t>INW CLG 231924</t>
  </si>
  <si>
    <t>15/11/2019</t>
  </si>
  <si>
    <t>0000726488 CASH WITHDRAWN BY JOSEPH</t>
  </si>
  <si>
    <t>0000231994 FUND TRANSFER TO PETRA 9970500015699</t>
  </si>
  <si>
    <t>INW CLG 726422</t>
  </si>
  <si>
    <t>INW CLG 231914</t>
  </si>
  <si>
    <t>INW CLG 231915</t>
  </si>
  <si>
    <t>18/11/2019</t>
  </si>
  <si>
    <t>BILL NO: 19878471 15/11/2019 GR:114</t>
  </si>
  <si>
    <t>INW CLG 231935</t>
  </si>
  <si>
    <t>INW CLG 726478</t>
  </si>
  <si>
    <t>INW CLG 231932</t>
  </si>
  <si>
    <t>INW CLG 231950</t>
  </si>
  <si>
    <t>INW CLG 231953</t>
  </si>
  <si>
    <t>INW CLG 231926</t>
  </si>
  <si>
    <t>INW CLG 231943</t>
  </si>
  <si>
    <t>INW CLG 231913</t>
  </si>
  <si>
    <t>INW CLG 231909</t>
  </si>
  <si>
    <t>INW CLG 231910</t>
  </si>
  <si>
    <t>CHQ # 726498 SECOND SIGNATURE REQU RED</t>
  </si>
  <si>
    <t>19/11/2019</t>
  </si>
  <si>
    <t>INW CLG 726498</t>
  </si>
  <si>
    <t>INW CLG 726473</t>
  </si>
  <si>
    <t>INW CLG 726446</t>
  </si>
  <si>
    <t>INW CLG 231916</t>
  </si>
  <si>
    <t>INW CLG 231911</t>
  </si>
  <si>
    <t>INW CLG 231907</t>
  </si>
  <si>
    <t>INW CLG 231919</t>
  </si>
  <si>
    <t>INW CLG 231992</t>
  </si>
  <si>
    <t>CHQ # 726498 SECOND SIGNATURE REQU RED CLG 10</t>
  </si>
  <si>
    <t>20/11/2019</t>
  </si>
  <si>
    <t>INW CLG 231931</t>
  </si>
  <si>
    <t>INW CLG 231949</t>
  </si>
  <si>
    <t>INW CLG 231947</t>
  </si>
  <si>
    <t>INW CLG 231904</t>
  </si>
  <si>
    <t>21/11/2019</t>
  </si>
  <si>
    <t>INW CLG 231954</t>
  </si>
  <si>
    <t>INW CLG 231939</t>
  </si>
  <si>
    <t>INW CLG 231951</t>
  </si>
  <si>
    <t>INW CLG 231988</t>
  </si>
  <si>
    <t>SWEEP TO GHS 0100106024700</t>
  </si>
  <si>
    <t>0000231933 CHQ 231933 IFO ASSA ABLO</t>
  </si>
  <si>
    <t>INW CLG 726472</t>
  </si>
  <si>
    <t>22/11/2019</t>
  </si>
  <si>
    <t>25/11/2019</t>
  </si>
  <si>
    <t>INW CLG 231940</t>
  </si>
  <si>
    <t>26/11/2019</t>
  </si>
  <si>
    <t>INW CLG 231966</t>
  </si>
  <si>
    <t>INW CLG 726461</t>
  </si>
  <si>
    <t>INW CLG 231941</t>
  </si>
  <si>
    <t>0000726493 SCB,CHQ#726493 IFO MULTI</t>
  </si>
  <si>
    <t>0000231963 SCB,CHQ#231963 IFO TRANS</t>
  </si>
  <si>
    <t>27/11/2019</t>
  </si>
  <si>
    <t>0000906122 CASH WITHDRAWAL-OLIVIA G</t>
  </si>
  <si>
    <t>0000906107 CASH WITHDRAWAL-OLIVIA G</t>
  </si>
  <si>
    <t>0000726496 CASH WITHDRAWAL-OLIVIA G</t>
  </si>
  <si>
    <t>0000906121 CASH WITHDRAWAL-OLIVIA G</t>
  </si>
  <si>
    <t>0000906119 CASH WITHDRAWAL-OLIVIA G</t>
  </si>
  <si>
    <t>0000906106 CASH WITHDRAWAL-OLIVIA G</t>
  </si>
  <si>
    <t>INW CLG 231962</t>
  </si>
  <si>
    <t>INW CLG 231946</t>
  </si>
  <si>
    <t>INW CLG 231955</t>
  </si>
  <si>
    <t>28/11/2019</t>
  </si>
  <si>
    <t>INW CLG 906104</t>
  </si>
  <si>
    <t>INW CLG 906102</t>
  </si>
  <si>
    <t>INW CLG 231948</t>
  </si>
  <si>
    <t>29/11/2019</t>
  </si>
  <si>
    <t>INW CLG 906103</t>
  </si>
  <si>
    <t>INW CLG 231938</t>
  </si>
  <si>
    <t>INW CLG 906118</t>
  </si>
  <si>
    <t>INW CLG 231985</t>
  </si>
  <si>
    <t>INW CLG 726460</t>
  </si>
  <si>
    <t>INW CLG 231979</t>
  </si>
  <si>
    <t>INW CLG 906113</t>
  </si>
  <si>
    <t>INW CLG 906120</t>
  </si>
  <si>
    <t>INW CLG 906101</t>
  </si>
  <si>
    <t>INW CLG 231971</t>
  </si>
  <si>
    <t>29-11-2019</t>
  </si>
  <si>
    <t>CHQ # 726486 INWARD CLEARING CLG 05</t>
  </si>
  <si>
    <t>INW CLG 231972</t>
  </si>
  <si>
    <t>INW CLG 906112</t>
  </si>
  <si>
    <t>INW CLG 231956</t>
  </si>
  <si>
    <t>INW CLG 906115</t>
  </si>
  <si>
    <t>INW CLG 906114</t>
  </si>
  <si>
    <t>0000906129 CASH WITHDRAWN BY OLIVIA</t>
  </si>
  <si>
    <t>0000906128 CASH WITHDRAWN BY OLIVIA</t>
  </si>
  <si>
    <t>0000906130 CASH WITHDRAWN BY OLIVIA</t>
  </si>
  <si>
    <t>INW CLG 231987</t>
  </si>
  <si>
    <t>INW CLG 726474</t>
  </si>
  <si>
    <t>INW CLG 726480</t>
  </si>
  <si>
    <t>INW CLG 231984</t>
  </si>
  <si>
    <t>INW CLG 231974</t>
  </si>
  <si>
    <t>INW CLG 906126</t>
  </si>
  <si>
    <t>INW CLG 231908</t>
  </si>
  <si>
    <t>INW CLG 906105</t>
  </si>
  <si>
    <t>INW CLG 231961</t>
  </si>
  <si>
    <t>INW CLG 231993</t>
  </si>
  <si>
    <t>INW CLG 231960</t>
  </si>
  <si>
    <t>INW CLG 231989</t>
  </si>
  <si>
    <t>0000232000 SCB #232000 IFO MULTICHO</t>
  </si>
  <si>
    <t>0000231999 SCB #231999 IFO MULTICHO</t>
  </si>
  <si>
    <t>0000906131 CASH WITHDRAWN BY JOSEPH</t>
  </si>
  <si>
    <t>INW CLG 726455</t>
  </si>
  <si>
    <t>INW CLG 231976</t>
  </si>
  <si>
    <t>INW CLG 231982</t>
  </si>
  <si>
    <t>INW CLG 231973</t>
  </si>
  <si>
    <t>INW CLG 906125</t>
  </si>
  <si>
    <t>INW CLG 231930</t>
  </si>
  <si>
    <t>INW CLG 231991</t>
  </si>
  <si>
    <t>INW CLG 231990</t>
  </si>
  <si>
    <t>INW CLG 231968</t>
  </si>
  <si>
    <t>INW CLG 726445</t>
  </si>
  <si>
    <t>INW CLG 231978</t>
  </si>
  <si>
    <t>INW CLG 231965</t>
  </si>
  <si>
    <t>INW CLG 906117</t>
  </si>
  <si>
    <t>INW CLG 231983</t>
  </si>
  <si>
    <t>INW CLG 231980</t>
  </si>
  <si>
    <t>0000906133 CASH WITHDRAWN BY JOSEPH</t>
  </si>
  <si>
    <t>13/12/2019</t>
  </si>
  <si>
    <t>INW CLG 906111</t>
  </si>
  <si>
    <t>INW CLG 231942</t>
  </si>
  <si>
    <t>16/12/2019</t>
  </si>
  <si>
    <t>INW CLG 906150</t>
  </si>
  <si>
    <t>INW CLG 906147</t>
  </si>
  <si>
    <t>INW CLG 906152</t>
  </si>
  <si>
    <t>INW CLG 906144</t>
  </si>
  <si>
    <t>INW CLG 906146</t>
  </si>
  <si>
    <t>INW CLG 906135</t>
  </si>
  <si>
    <t>17/12/2019</t>
  </si>
  <si>
    <t>INW CLG 906189</t>
  </si>
  <si>
    <t>INW CLG 906158</t>
  </si>
  <si>
    <t>INW CLG 231977</t>
  </si>
  <si>
    <t>INW CLG 231964</t>
  </si>
  <si>
    <t>INW CLG 231959</t>
  </si>
  <si>
    <t>INW CLG 906137</t>
  </si>
  <si>
    <t>INW CLG 231957</t>
  </si>
  <si>
    <t>INW CLG 906132</t>
  </si>
  <si>
    <t>INW CLG 906148</t>
  </si>
  <si>
    <t>18/12/2019</t>
  </si>
  <si>
    <t>INW CLG 906145</t>
  </si>
  <si>
    <t>INW CLG 231967</t>
  </si>
  <si>
    <t>INW CLG 906141</t>
  </si>
  <si>
    <t>19/12/2019</t>
  </si>
  <si>
    <t>INW CLG 906157</t>
  </si>
  <si>
    <t>INW CLG 906196</t>
  </si>
  <si>
    <t>INW CLG 906155</t>
  </si>
  <si>
    <t>INW CLG 906195</t>
  </si>
  <si>
    <t>20/12/2019</t>
  </si>
  <si>
    <t>INW CLG 906163</t>
  </si>
  <si>
    <t>INW CLG 906159</t>
  </si>
  <si>
    <t>INW CLG 702810</t>
  </si>
  <si>
    <t>INW CLG 906181</t>
  </si>
  <si>
    <t>INW CLG 906194</t>
  </si>
  <si>
    <t>INW CLG 906143</t>
  </si>
  <si>
    <t>23/12/2019</t>
  </si>
  <si>
    <t>0000702818 CASH WITHDRAWN BY STEPHE</t>
  </si>
  <si>
    <t>INW CLG 906123</t>
  </si>
  <si>
    <t>INW CLG 702811</t>
  </si>
  <si>
    <t>INW CLG 702806</t>
  </si>
  <si>
    <t>INW CLG 906190</t>
  </si>
  <si>
    <t>INW CLG 702827</t>
  </si>
  <si>
    <t>INW CLG 906162</t>
  </si>
  <si>
    <t>INW CLG 702812</t>
  </si>
  <si>
    <t>INW CLG 906200</t>
  </si>
  <si>
    <t>INW CLG 702815</t>
  </si>
  <si>
    <t>INW CLG 702805</t>
  </si>
  <si>
    <t>INW CLG 906199</t>
  </si>
  <si>
    <t>0000702808 CHQDEP;SCB;HIGHST;CHQNO; IFO TOTAL</t>
  </si>
  <si>
    <t>CHQ# 906184 WRONG AMOUNT ENTERED CLG 03</t>
  </si>
  <si>
    <t>24/12/2019</t>
  </si>
  <si>
    <t>INW CLG 702802</t>
  </si>
  <si>
    <t>INW CLG 702813</t>
  </si>
  <si>
    <t>INW CLG 906169</t>
  </si>
  <si>
    <t>INW CLG 906116</t>
  </si>
  <si>
    <t>INW CLG 906161</t>
  </si>
  <si>
    <t>INW CLG 906179</t>
  </si>
  <si>
    <t>INW CLG 702820</t>
  </si>
  <si>
    <t>INW CLG 906197</t>
  </si>
  <si>
    <t>INW CLG 906149</t>
  </si>
  <si>
    <t>INW CLG 906184</t>
  </si>
  <si>
    <t>27/12/2019</t>
  </si>
  <si>
    <t>INW CLG 702814</t>
  </si>
  <si>
    <t>INW CLG 702807</t>
  </si>
  <si>
    <t>INW CLG 906153</t>
  </si>
  <si>
    <t>INW CLG 702803</t>
  </si>
  <si>
    <t>INW CLG 906178</t>
  </si>
  <si>
    <t>27-12-2019</t>
  </si>
  <si>
    <t>CHQ # 906184 INWARD CLEARING INW 01</t>
  </si>
  <si>
    <t>INW CLG 231952</t>
  </si>
  <si>
    <t>INW CLG 906175</t>
  </si>
  <si>
    <t>INW CLG 906176</t>
  </si>
  <si>
    <t>INW CLG 231969</t>
  </si>
  <si>
    <t>INW CLG 702823</t>
  </si>
  <si>
    <t>END OF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</si>
</sst>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34237D73-EE68-44D1-AC93-B9F3D540DE03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5F2C1ED7-4E29-4BD1-A9CC-0A2095C9615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4" name="Shape 10">
          <a:extLst>
            <a:ext uri="{FF2B5EF4-FFF2-40B4-BE49-F238E27FC236}">
              <a16:creationId xmlns:a16="http://schemas.microsoft.com/office/drawing/2014/main" id="{426EA317-40B7-437B-B7A7-4CE146D3AC89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5" name="Shape 11">
          <a:extLst>
            <a:ext uri="{FF2B5EF4-FFF2-40B4-BE49-F238E27FC236}">
              <a16:creationId xmlns:a16="http://schemas.microsoft.com/office/drawing/2014/main" id="{9BB930EB-03A7-4BC0-8591-02904EF491F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6" name="Shape 12">
          <a:extLst>
            <a:ext uri="{FF2B5EF4-FFF2-40B4-BE49-F238E27FC236}">
              <a16:creationId xmlns:a16="http://schemas.microsoft.com/office/drawing/2014/main" id="{9590B3C9-9C14-4BC9-8A82-050F558C9C07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7" name="Shape 13">
          <a:extLst>
            <a:ext uri="{FF2B5EF4-FFF2-40B4-BE49-F238E27FC236}">
              <a16:creationId xmlns:a16="http://schemas.microsoft.com/office/drawing/2014/main" id="{15DCFF46-2EF5-4C49-A9E1-126BE8397184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703CA45D-40F6-4D9F-B71D-9A7E5888CEE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9" name="Shape 15">
          <a:extLst>
            <a:ext uri="{FF2B5EF4-FFF2-40B4-BE49-F238E27FC236}">
              <a16:creationId xmlns:a16="http://schemas.microsoft.com/office/drawing/2014/main" id="{6D57C514-5BE3-4A2D-84A2-19A2493B2E89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0" name="Shape 16">
          <a:extLst>
            <a:ext uri="{FF2B5EF4-FFF2-40B4-BE49-F238E27FC236}">
              <a16:creationId xmlns:a16="http://schemas.microsoft.com/office/drawing/2014/main" id="{259133B6-F13D-4CA2-880B-356D040357D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1" name="Shape 17">
          <a:extLst>
            <a:ext uri="{FF2B5EF4-FFF2-40B4-BE49-F238E27FC236}">
              <a16:creationId xmlns:a16="http://schemas.microsoft.com/office/drawing/2014/main" id="{49348B74-1293-4B76-B9F6-28DAB7DEF50B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2" name="Shape 18">
          <a:extLst>
            <a:ext uri="{FF2B5EF4-FFF2-40B4-BE49-F238E27FC236}">
              <a16:creationId xmlns:a16="http://schemas.microsoft.com/office/drawing/2014/main" id="{158A9188-81D1-481E-BF89-5A93AC8F9A8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3" name="Shape 19">
          <a:extLst>
            <a:ext uri="{FF2B5EF4-FFF2-40B4-BE49-F238E27FC236}">
              <a16:creationId xmlns:a16="http://schemas.microsoft.com/office/drawing/2014/main" id="{E221938E-8136-4D05-B11C-A6221FF64B39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4" name="Shape 20">
          <a:extLst>
            <a:ext uri="{FF2B5EF4-FFF2-40B4-BE49-F238E27FC236}">
              <a16:creationId xmlns:a16="http://schemas.microsoft.com/office/drawing/2014/main" id="{5CCAFAF1-3D73-4FBF-A7E0-6DF6C9E679C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5" name="Shape 21">
          <a:extLst>
            <a:ext uri="{FF2B5EF4-FFF2-40B4-BE49-F238E27FC236}">
              <a16:creationId xmlns:a16="http://schemas.microsoft.com/office/drawing/2014/main" id="{F28353AA-188F-42FC-A07A-5120FB7578C2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6" name="Shape 22">
          <a:extLst>
            <a:ext uri="{FF2B5EF4-FFF2-40B4-BE49-F238E27FC236}">
              <a16:creationId xmlns:a16="http://schemas.microsoft.com/office/drawing/2014/main" id="{D427618A-7052-4BD9-BAE7-0EECE14D6AF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7" name="Shape 23">
          <a:extLst>
            <a:ext uri="{FF2B5EF4-FFF2-40B4-BE49-F238E27FC236}">
              <a16:creationId xmlns:a16="http://schemas.microsoft.com/office/drawing/2014/main" id="{23F91ACE-E671-4797-BF77-D5825A98E377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8" name="Shape 8">
          <a:extLst>
            <a:ext uri="{FF2B5EF4-FFF2-40B4-BE49-F238E27FC236}">
              <a16:creationId xmlns:a16="http://schemas.microsoft.com/office/drawing/2014/main" id="{5C4EE6B2-B713-4B5F-B3DB-2C892581C4C3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7D4C0B49-49B2-4FF0-AECB-F5244FFFA0F7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0" name="Shape 10">
          <a:extLst>
            <a:ext uri="{FF2B5EF4-FFF2-40B4-BE49-F238E27FC236}">
              <a16:creationId xmlns:a16="http://schemas.microsoft.com/office/drawing/2014/main" id="{743347D0-A194-480F-9F4E-4822B36B0942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1" name="Shape 11">
          <a:extLst>
            <a:ext uri="{FF2B5EF4-FFF2-40B4-BE49-F238E27FC236}">
              <a16:creationId xmlns:a16="http://schemas.microsoft.com/office/drawing/2014/main" id="{3E50FFA4-4258-4AA4-8ADD-A3D992987C7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2" name="Shape 12">
          <a:extLst>
            <a:ext uri="{FF2B5EF4-FFF2-40B4-BE49-F238E27FC236}">
              <a16:creationId xmlns:a16="http://schemas.microsoft.com/office/drawing/2014/main" id="{9A44AA3D-9422-4895-9AD2-FE684042ACCF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3" name="Shape 13">
          <a:extLst>
            <a:ext uri="{FF2B5EF4-FFF2-40B4-BE49-F238E27FC236}">
              <a16:creationId xmlns:a16="http://schemas.microsoft.com/office/drawing/2014/main" id="{C97CC7CF-0293-4B17-B6A9-0F0C4A890523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58B065E5-9403-44BB-A182-C188A66BCE69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5" name="Shape 15">
          <a:extLst>
            <a:ext uri="{FF2B5EF4-FFF2-40B4-BE49-F238E27FC236}">
              <a16:creationId xmlns:a16="http://schemas.microsoft.com/office/drawing/2014/main" id="{D743C759-2ECB-4F70-B6FB-4851F585E54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6" name="Shape 16">
          <a:extLst>
            <a:ext uri="{FF2B5EF4-FFF2-40B4-BE49-F238E27FC236}">
              <a16:creationId xmlns:a16="http://schemas.microsoft.com/office/drawing/2014/main" id="{6BF8F54E-2386-4C55-A2E7-3E8172CF144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7" name="Shape 17">
          <a:extLst>
            <a:ext uri="{FF2B5EF4-FFF2-40B4-BE49-F238E27FC236}">
              <a16:creationId xmlns:a16="http://schemas.microsoft.com/office/drawing/2014/main" id="{223C34FF-C160-4324-8383-6F4F4819B3A9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8" name="Shape 18">
          <a:extLst>
            <a:ext uri="{FF2B5EF4-FFF2-40B4-BE49-F238E27FC236}">
              <a16:creationId xmlns:a16="http://schemas.microsoft.com/office/drawing/2014/main" id="{8452C72D-B259-4688-B5FA-A36F6E0F7EE3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9" name="Shape 19">
          <a:extLst>
            <a:ext uri="{FF2B5EF4-FFF2-40B4-BE49-F238E27FC236}">
              <a16:creationId xmlns:a16="http://schemas.microsoft.com/office/drawing/2014/main" id="{651A0D71-53D7-4FFB-BC46-5BB802B80DC0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0" name="Shape 20">
          <a:extLst>
            <a:ext uri="{FF2B5EF4-FFF2-40B4-BE49-F238E27FC236}">
              <a16:creationId xmlns:a16="http://schemas.microsoft.com/office/drawing/2014/main" id="{65A10F09-079B-4768-85E6-4128BB1EC8F2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1" name="Shape 21">
          <a:extLst>
            <a:ext uri="{FF2B5EF4-FFF2-40B4-BE49-F238E27FC236}">
              <a16:creationId xmlns:a16="http://schemas.microsoft.com/office/drawing/2014/main" id="{7A8258F5-961A-40F8-8322-06561ABF159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2" name="Shape 22">
          <a:extLst>
            <a:ext uri="{FF2B5EF4-FFF2-40B4-BE49-F238E27FC236}">
              <a16:creationId xmlns:a16="http://schemas.microsoft.com/office/drawing/2014/main" id="{42B3C3C1-F562-4E09-AB3E-74D93DAAD323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3" name="Shape 23">
          <a:extLst>
            <a:ext uri="{FF2B5EF4-FFF2-40B4-BE49-F238E27FC236}">
              <a16:creationId xmlns:a16="http://schemas.microsoft.com/office/drawing/2014/main" id="{13A77691-4E85-415A-B9BF-48042C737848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4" name="Shape 8">
          <a:extLst>
            <a:ext uri="{FF2B5EF4-FFF2-40B4-BE49-F238E27FC236}">
              <a16:creationId xmlns:a16="http://schemas.microsoft.com/office/drawing/2014/main" id="{B8FC18D7-131B-4B39-81DA-233C62B23868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5" name="Shape 9">
          <a:extLst>
            <a:ext uri="{FF2B5EF4-FFF2-40B4-BE49-F238E27FC236}">
              <a16:creationId xmlns:a16="http://schemas.microsoft.com/office/drawing/2014/main" id="{F14B5EA2-1E07-4477-9420-6EA6D0F041F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6" name="Shape 10">
          <a:extLst>
            <a:ext uri="{FF2B5EF4-FFF2-40B4-BE49-F238E27FC236}">
              <a16:creationId xmlns:a16="http://schemas.microsoft.com/office/drawing/2014/main" id="{DA350B29-9803-41FA-BA6E-67C160690972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7" name="Shape 11">
          <a:extLst>
            <a:ext uri="{FF2B5EF4-FFF2-40B4-BE49-F238E27FC236}">
              <a16:creationId xmlns:a16="http://schemas.microsoft.com/office/drawing/2014/main" id="{DD7AA4FD-8EE2-4C6C-9831-80CC38E774C6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8" name="Shape 12">
          <a:extLst>
            <a:ext uri="{FF2B5EF4-FFF2-40B4-BE49-F238E27FC236}">
              <a16:creationId xmlns:a16="http://schemas.microsoft.com/office/drawing/2014/main" id="{4AB99D50-64D1-4B0F-8062-21002904341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9" name="Shape 13">
          <a:extLst>
            <a:ext uri="{FF2B5EF4-FFF2-40B4-BE49-F238E27FC236}">
              <a16:creationId xmlns:a16="http://schemas.microsoft.com/office/drawing/2014/main" id="{AB54D754-E4DC-4346-9FEE-8CD3D6FA654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313E2B8A-7160-4915-8C7E-4DB5CE470DF1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41" name="Shape 15">
          <a:extLst>
            <a:ext uri="{FF2B5EF4-FFF2-40B4-BE49-F238E27FC236}">
              <a16:creationId xmlns:a16="http://schemas.microsoft.com/office/drawing/2014/main" id="{CF941F94-1344-48AD-AF80-F5171F90D197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42" name="Shape 16">
          <a:extLst>
            <a:ext uri="{FF2B5EF4-FFF2-40B4-BE49-F238E27FC236}">
              <a16:creationId xmlns:a16="http://schemas.microsoft.com/office/drawing/2014/main" id="{30C0E8B8-717F-4DB6-820F-2AB34FA1772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43" name="Shape 17">
          <a:extLst>
            <a:ext uri="{FF2B5EF4-FFF2-40B4-BE49-F238E27FC236}">
              <a16:creationId xmlns:a16="http://schemas.microsoft.com/office/drawing/2014/main" id="{C3CF2A97-8B9C-4046-98C2-B60478F62CF8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44" name="Shape 18">
          <a:extLst>
            <a:ext uri="{FF2B5EF4-FFF2-40B4-BE49-F238E27FC236}">
              <a16:creationId xmlns:a16="http://schemas.microsoft.com/office/drawing/2014/main" id="{1FE5845C-D93F-40E0-AC14-40997D4F1091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45" name="Shape 19">
          <a:extLst>
            <a:ext uri="{FF2B5EF4-FFF2-40B4-BE49-F238E27FC236}">
              <a16:creationId xmlns:a16="http://schemas.microsoft.com/office/drawing/2014/main" id="{E6066A46-138C-4A3A-96BD-6FB3046B041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46" name="Shape 20">
          <a:extLst>
            <a:ext uri="{FF2B5EF4-FFF2-40B4-BE49-F238E27FC236}">
              <a16:creationId xmlns:a16="http://schemas.microsoft.com/office/drawing/2014/main" id="{54E3F901-8C37-483F-97EA-C61986060376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47" name="Shape 21">
          <a:extLst>
            <a:ext uri="{FF2B5EF4-FFF2-40B4-BE49-F238E27FC236}">
              <a16:creationId xmlns:a16="http://schemas.microsoft.com/office/drawing/2014/main" id="{7D81A0C9-38A8-4727-AFB5-73C81DD48574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48" name="Shape 22">
          <a:extLst>
            <a:ext uri="{FF2B5EF4-FFF2-40B4-BE49-F238E27FC236}">
              <a16:creationId xmlns:a16="http://schemas.microsoft.com/office/drawing/2014/main" id="{98CC6AEA-8235-4275-AEB2-42FEDBD393D3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49" name="Shape 23">
          <a:extLst>
            <a:ext uri="{FF2B5EF4-FFF2-40B4-BE49-F238E27FC236}">
              <a16:creationId xmlns:a16="http://schemas.microsoft.com/office/drawing/2014/main" id="{AC9A39A3-E084-4A94-908D-3EFB9B1DF69D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50" name="Shape 8">
          <a:extLst>
            <a:ext uri="{FF2B5EF4-FFF2-40B4-BE49-F238E27FC236}">
              <a16:creationId xmlns:a16="http://schemas.microsoft.com/office/drawing/2014/main" id="{8A24641F-4B6E-4840-9535-A205BE5DF27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51" name="Shape 9">
          <a:extLst>
            <a:ext uri="{FF2B5EF4-FFF2-40B4-BE49-F238E27FC236}">
              <a16:creationId xmlns:a16="http://schemas.microsoft.com/office/drawing/2014/main" id="{767F6748-A7DC-45C7-B7F1-1D693EE2BE29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52" name="Shape 10">
          <a:extLst>
            <a:ext uri="{FF2B5EF4-FFF2-40B4-BE49-F238E27FC236}">
              <a16:creationId xmlns:a16="http://schemas.microsoft.com/office/drawing/2014/main" id="{7B44F424-D215-47EC-99B8-FB516F0B694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53" name="Shape 11">
          <a:extLst>
            <a:ext uri="{FF2B5EF4-FFF2-40B4-BE49-F238E27FC236}">
              <a16:creationId xmlns:a16="http://schemas.microsoft.com/office/drawing/2014/main" id="{091966E1-F24D-4F09-8EE0-95C613839AC5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54" name="Shape 12">
          <a:extLst>
            <a:ext uri="{FF2B5EF4-FFF2-40B4-BE49-F238E27FC236}">
              <a16:creationId xmlns:a16="http://schemas.microsoft.com/office/drawing/2014/main" id="{FE0BCAC9-97B2-4CE0-91D4-DD8746786B2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55" name="Shape 13">
          <a:extLst>
            <a:ext uri="{FF2B5EF4-FFF2-40B4-BE49-F238E27FC236}">
              <a16:creationId xmlns:a16="http://schemas.microsoft.com/office/drawing/2014/main" id="{CF13004C-1FBE-4FBF-8904-6531F2972D3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56" name="Shape 14">
          <a:extLst>
            <a:ext uri="{FF2B5EF4-FFF2-40B4-BE49-F238E27FC236}">
              <a16:creationId xmlns:a16="http://schemas.microsoft.com/office/drawing/2014/main" id="{594B29AF-7E42-4321-B1D4-686D142C951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57" name="Shape 15">
          <a:extLst>
            <a:ext uri="{FF2B5EF4-FFF2-40B4-BE49-F238E27FC236}">
              <a16:creationId xmlns:a16="http://schemas.microsoft.com/office/drawing/2014/main" id="{F428D1E4-0607-489D-A71C-D0183A5BDC2C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58" name="Shape 16">
          <a:extLst>
            <a:ext uri="{FF2B5EF4-FFF2-40B4-BE49-F238E27FC236}">
              <a16:creationId xmlns:a16="http://schemas.microsoft.com/office/drawing/2014/main" id="{35B0796F-9FE6-4B91-8182-80347D3BC22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59" name="Shape 17">
          <a:extLst>
            <a:ext uri="{FF2B5EF4-FFF2-40B4-BE49-F238E27FC236}">
              <a16:creationId xmlns:a16="http://schemas.microsoft.com/office/drawing/2014/main" id="{E92B1760-3B00-434B-AE70-26D3FA1DAA38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60" name="Shape 18">
          <a:extLst>
            <a:ext uri="{FF2B5EF4-FFF2-40B4-BE49-F238E27FC236}">
              <a16:creationId xmlns:a16="http://schemas.microsoft.com/office/drawing/2014/main" id="{E44C8367-22F0-4A98-93F4-40913C419FA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61" name="Shape 19">
          <a:extLst>
            <a:ext uri="{FF2B5EF4-FFF2-40B4-BE49-F238E27FC236}">
              <a16:creationId xmlns:a16="http://schemas.microsoft.com/office/drawing/2014/main" id="{C1C0F878-3FC5-4543-A89D-E88DFB11AA6C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62" name="Shape 20">
          <a:extLst>
            <a:ext uri="{FF2B5EF4-FFF2-40B4-BE49-F238E27FC236}">
              <a16:creationId xmlns:a16="http://schemas.microsoft.com/office/drawing/2014/main" id="{02A0F1DA-5602-4629-A46D-8F455202A4C7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63" name="Shape 21">
          <a:extLst>
            <a:ext uri="{FF2B5EF4-FFF2-40B4-BE49-F238E27FC236}">
              <a16:creationId xmlns:a16="http://schemas.microsoft.com/office/drawing/2014/main" id="{C3BD2845-B1BA-4A85-A19E-72A0BB3AE8AB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64" name="Shape 22">
          <a:extLst>
            <a:ext uri="{FF2B5EF4-FFF2-40B4-BE49-F238E27FC236}">
              <a16:creationId xmlns:a16="http://schemas.microsoft.com/office/drawing/2014/main" id="{E2ABB137-3222-4DA1-9A96-199B4F81F89A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65" name="Shape 23">
          <a:extLst>
            <a:ext uri="{FF2B5EF4-FFF2-40B4-BE49-F238E27FC236}">
              <a16:creationId xmlns:a16="http://schemas.microsoft.com/office/drawing/2014/main" id="{E1CB6F13-11C9-4DB8-8EEA-A0723582D66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66" name="Shape 8">
          <a:extLst>
            <a:ext uri="{FF2B5EF4-FFF2-40B4-BE49-F238E27FC236}">
              <a16:creationId xmlns:a16="http://schemas.microsoft.com/office/drawing/2014/main" id="{F8ABE668-9A9B-4335-858F-6854AAA6BF7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67" name="Shape 9">
          <a:extLst>
            <a:ext uri="{FF2B5EF4-FFF2-40B4-BE49-F238E27FC236}">
              <a16:creationId xmlns:a16="http://schemas.microsoft.com/office/drawing/2014/main" id="{064C5AB7-4F25-4C61-B63E-C01293DF3749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68" name="Shape 10">
          <a:extLst>
            <a:ext uri="{FF2B5EF4-FFF2-40B4-BE49-F238E27FC236}">
              <a16:creationId xmlns:a16="http://schemas.microsoft.com/office/drawing/2014/main" id="{853EB941-73A9-4F6C-83B6-F94049DE42B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69" name="Shape 11">
          <a:extLst>
            <a:ext uri="{FF2B5EF4-FFF2-40B4-BE49-F238E27FC236}">
              <a16:creationId xmlns:a16="http://schemas.microsoft.com/office/drawing/2014/main" id="{55FE2E64-D62B-42BA-9A62-09F4EB852AB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70" name="Shape 12">
          <a:extLst>
            <a:ext uri="{FF2B5EF4-FFF2-40B4-BE49-F238E27FC236}">
              <a16:creationId xmlns:a16="http://schemas.microsoft.com/office/drawing/2014/main" id="{8D0C94BA-2830-47BB-A85D-C79AF965284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71" name="Shape 13">
          <a:extLst>
            <a:ext uri="{FF2B5EF4-FFF2-40B4-BE49-F238E27FC236}">
              <a16:creationId xmlns:a16="http://schemas.microsoft.com/office/drawing/2014/main" id="{94DF6DC5-92A2-4DC1-B93A-793C16A16DC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72" name="Shape 14">
          <a:extLst>
            <a:ext uri="{FF2B5EF4-FFF2-40B4-BE49-F238E27FC236}">
              <a16:creationId xmlns:a16="http://schemas.microsoft.com/office/drawing/2014/main" id="{3B86D78A-BFAE-419C-90E0-908BFA02ABE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73" name="Shape 15">
          <a:extLst>
            <a:ext uri="{FF2B5EF4-FFF2-40B4-BE49-F238E27FC236}">
              <a16:creationId xmlns:a16="http://schemas.microsoft.com/office/drawing/2014/main" id="{DEAD083A-AC1C-4D57-9A54-42E06E9983B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74" name="Shape 16">
          <a:extLst>
            <a:ext uri="{FF2B5EF4-FFF2-40B4-BE49-F238E27FC236}">
              <a16:creationId xmlns:a16="http://schemas.microsoft.com/office/drawing/2014/main" id="{2D1E0C00-EB15-4472-B3A5-5F805C6715B0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75" name="Shape 17">
          <a:extLst>
            <a:ext uri="{FF2B5EF4-FFF2-40B4-BE49-F238E27FC236}">
              <a16:creationId xmlns:a16="http://schemas.microsoft.com/office/drawing/2014/main" id="{F27D4DBB-02BB-4829-9403-CE59EBCB245F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76" name="Shape 18">
          <a:extLst>
            <a:ext uri="{FF2B5EF4-FFF2-40B4-BE49-F238E27FC236}">
              <a16:creationId xmlns:a16="http://schemas.microsoft.com/office/drawing/2014/main" id="{3D4152F1-2705-4B66-B80E-A9F70EB8C918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77" name="Shape 19">
          <a:extLst>
            <a:ext uri="{FF2B5EF4-FFF2-40B4-BE49-F238E27FC236}">
              <a16:creationId xmlns:a16="http://schemas.microsoft.com/office/drawing/2014/main" id="{2F88DE12-1C69-4502-9173-AB593B9A3364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78" name="Shape 20">
          <a:extLst>
            <a:ext uri="{FF2B5EF4-FFF2-40B4-BE49-F238E27FC236}">
              <a16:creationId xmlns:a16="http://schemas.microsoft.com/office/drawing/2014/main" id="{4CAF9835-C7F8-4026-8F3E-393C9AB01E9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79" name="Shape 21">
          <a:extLst>
            <a:ext uri="{FF2B5EF4-FFF2-40B4-BE49-F238E27FC236}">
              <a16:creationId xmlns:a16="http://schemas.microsoft.com/office/drawing/2014/main" id="{B0FFEE32-BEE1-4D85-A15A-CBC9620FB233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80" name="Shape 22">
          <a:extLst>
            <a:ext uri="{FF2B5EF4-FFF2-40B4-BE49-F238E27FC236}">
              <a16:creationId xmlns:a16="http://schemas.microsoft.com/office/drawing/2014/main" id="{27D2579E-2A1D-46E2-8747-58C147885D0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81" name="Shape 23">
          <a:extLst>
            <a:ext uri="{FF2B5EF4-FFF2-40B4-BE49-F238E27FC236}">
              <a16:creationId xmlns:a16="http://schemas.microsoft.com/office/drawing/2014/main" id="{292996F7-2C59-4FEF-97BF-D8B036BB86A4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82" name="Shape 8">
          <a:extLst>
            <a:ext uri="{FF2B5EF4-FFF2-40B4-BE49-F238E27FC236}">
              <a16:creationId xmlns:a16="http://schemas.microsoft.com/office/drawing/2014/main" id="{E5F66059-9B03-4635-8554-277C4406A27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83" name="Shape 9">
          <a:extLst>
            <a:ext uri="{FF2B5EF4-FFF2-40B4-BE49-F238E27FC236}">
              <a16:creationId xmlns:a16="http://schemas.microsoft.com/office/drawing/2014/main" id="{C63B1734-D153-4999-8D8D-F13EAF92D2B1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84" name="Shape 10">
          <a:extLst>
            <a:ext uri="{FF2B5EF4-FFF2-40B4-BE49-F238E27FC236}">
              <a16:creationId xmlns:a16="http://schemas.microsoft.com/office/drawing/2014/main" id="{47F0B56A-16EF-4FC8-94D3-CA966AB419D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85" name="Shape 11">
          <a:extLst>
            <a:ext uri="{FF2B5EF4-FFF2-40B4-BE49-F238E27FC236}">
              <a16:creationId xmlns:a16="http://schemas.microsoft.com/office/drawing/2014/main" id="{FDF2F3E5-F63C-4277-90B8-97CC00D1099F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86" name="Shape 12">
          <a:extLst>
            <a:ext uri="{FF2B5EF4-FFF2-40B4-BE49-F238E27FC236}">
              <a16:creationId xmlns:a16="http://schemas.microsoft.com/office/drawing/2014/main" id="{1B7B8B03-6CAA-4963-BEFE-2911BF10DC7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87" name="Shape 13">
          <a:extLst>
            <a:ext uri="{FF2B5EF4-FFF2-40B4-BE49-F238E27FC236}">
              <a16:creationId xmlns:a16="http://schemas.microsoft.com/office/drawing/2014/main" id="{F1B2B65D-4648-487B-B885-B688CBA02A3C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88" name="Shape 14">
          <a:extLst>
            <a:ext uri="{FF2B5EF4-FFF2-40B4-BE49-F238E27FC236}">
              <a16:creationId xmlns:a16="http://schemas.microsoft.com/office/drawing/2014/main" id="{37C176A9-5F7B-4FEC-BE0C-8AF9EFD34F4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89" name="Shape 15">
          <a:extLst>
            <a:ext uri="{FF2B5EF4-FFF2-40B4-BE49-F238E27FC236}">
              <a16:creationId xmlns:a16="http://schemas.microsoft.com/office/drawing/2014/main" id="{8593FE0C-889E-41D3-B2BA-77BAAEEB0DD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90" name="Shape 16">
          <a:extLst>
            <a:ext uri="{FF2B5EF4-FFF2-40B4-BE49-F238E27FC236}">
              <a16:creationId xmlns:a16="http://schemas.microsoft.com/office/drawing/2014/main" id="{70F06B96-D6D1-4784-BC26-E2277A448582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91" name="Shape 17">
          <a:extLst>
            <a:ext uri="{FF2B5EF4-FFF2-40B4-BE49-F238E27FC236}">
              <a16:creationId xmlns:a16="http://schemas.microsoft.com/office/drawing/2014/main" id="{489E55E6-AAD1-474B-8C65-DC5C155359C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92" name="Shape 18">
          <a:extLst>
            <a:ext uri="{FF2B5EF4-FFF2-40B4-BE49-F238E27FC236}">
              <a16:creationId xmlns:a16="http://schemas.microsoft.com/office/drawing/2014/main" id="{7A61E028-489F-48CC-AFA5-B58875A9DEE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93" name="Shape 19">
          <a:extLst>
            <a:ext uri="{FF2B5EF4-FFF2-40B4-BE49-F238E27FC236}">
              <a16:creationId xmlns:a16="http://schemas.microsoft.com/office/drawing/2014/main" id="{3EA8FB91-D52B-48E1-9323-2F16BEA15D8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94" name="Shape 20">
          <a:extLst>
            <a:ext uri="{FF2B5EF4-FFF2-40B4-BE49-F238E27FC236}">
              <a16:creationId xmlns:a16="http://schemas.microsoft.com/office/drawing/2014/main" id="{ADED008B-5A80-44FD-85B9-30689E0FC7C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95" name="Shape 21">
          <a:extLst>
            <a:ext uri="{FF2B5EF4-FFF2-40B4-BE49-F238E27FC236}">
              <a16:creationId xmlns:a16="http://schemas.microsoft.com/office/drawing/2014/main" id="{74BA140D-6830-4E17-BF87-376728714D5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96" name="Shape 22">
          <a:extLst>
            <a:ext uri="{FF2B5EF4-FFF2-40B4-BE49-F238E27FC236}">
              <a16:creationId xmlns:a16="http://schemas.microsoft.com/office/drawing/2014/main" id="{AA0CF913-2AB4-43C5-98CC-53FF96CB19E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97" name="Shape 23">
          <a:extLst>
            <a:ext uri="{FF2B5EF4-FFF2-40B4-BE49-F238E27FC236}">
              <a16:creationId xmlns:a16="http://schemas.microsoft.com/office/drawing/2014/main" id="{AB51B09A-4524-4148-9193-28DF5F638B8C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98" name="Shape 8">
          <a:extLst>
            <a:ext uri="{FF2B5EF4-FFF2-40B4-BE49-F238E27FC236}">
              <a16:creationId xmlns:a16="http://schemas.microsoft.com/office/drawing/2014/main" id="{8D32369D-C963-4A4B-9F54-185987725B9C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99" name="Shape 9">
          <a:extLst>
            <a:ext uri="{FF2B5EF4-FFF2-40B4-BE49-F238E27FC236}">
              <a16:creationId xmlns:a16="http://schemas.microsoft.com/office/drawing/2014/main" id="{028CAF9A-8879-4B68-AF1B-8D88FBB5F513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00" name="Shape 10">
          <a:extLst>
            <a:ext uri="{FF2B5EF4-FFF2-40B4-BE49-F238E27FC236}">
              <a16:creationId xmlns:a16="http://schemas.microsoft.com/office/drawing/2014/main" id="{B16AA3AA-EF74-4A59-B9A8-BCB66FA2E0A9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01" name="Shape 11">
          <a:extLst>
            <a:ext uri="{FF2B5EF4-FFF2-40B4-BE49-F238E27FC236}">
              <a16:creationId xmlns:a16="http://schemas.microsoft.com/office/drawing/2014/main" id="{E3CEBEC6-F141-4E52-A666-E92A4E190796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02" name="Shape 12">
          <a:extLst>
            <a:ext uri="{FF2B5EF4-FFF2-40B4-BE49-F238E27FC236}">
              <a16:creationId xmlns:a16="http://schemas.microsoft.com/office/drawing/2014/main" id="{DCAC1E94-0C06-4E19-9787-B4C0DFDE99F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03" name="Shape 13">
          <a:extLst>
            <a:ext uri="{FF2B5EF4-FFF2-40B4-BE49-F238E27FC236}">
              <a16:creationId xmlns:a16="http://schemas.microsoft.com/office/drawing/2014/main" id="{4FB95A6A-E2C0-4A89-8CA6-79CE2C8F7632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04" name="Shape 14">
          <a:extLst>
            <a:ext uri="{FF2B5EF4-FFF2-40B4-BE49-F238E27FC236}">
              <a16:creationId xmlns:a16="http://schemas.microsoft.com/office/drawing/2014/main" id="{37892A5F-BE27-4060-8222-345226C9294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05" name="Shape 15">
          <a:extLst>
            <a:ext uri="{FF2B5EF4-FFF2-40B4-BE49-F238E27FC236}">
              <a16:creationId xmlns:a16="http://schemas.microsoft.com/office/drawing/2014/main" id="{0B401D9B-C9E9-46F5-8DE2-19ABDFD749F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06" name="Shape 16">
          <a:extLst>
            <a:ext uri="{FF2B5EF4-FFF2-40B4-BE49-F238E27FC236}">
              <a16:creationId xmlns:a16="http://schemas.microsoft.com/office/drawing/2014/main" id="{7B2CFD67-2693-445E-A15A-3E7B560BBCD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07" name="Shape 17">
          <a:extLst>
            <a:ext uri="{FF2B5EF4-FFF2-40B4-BE49-F238E27FC236}">
              <a16:creationId xmlns:a16="http://schemas.microsoft.com/office/drawing/2014/main" id="{01F44D1F-DE1B-42E6-BC4C-3613224BAC4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08" name="Shape 18">
          <a:extLst>
            <a:ext uri="{FF2B5EF4-FFF2-40B4-BE49-F238E27FC236}">
              <a16:creationId xmlns:a16="http://schemas.microsoft.com/office/drawing/2014/main" id="{2F4E6AF1-E54D-491E-9A40-1C671C42AF07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09" name="Shape 19">
          <a:extLst>
            <a:ext uri="{FF2B5EF4-FFF2-40B4-BE49-F238E27FC236}">
              <a16:creationId xmlns:a16="http://schemas.microsoft.com/office/drawing/2014/main" id="{CEDD9DFA-4234-47A2-A984-5EE051A5E39B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10" name="Shape 20">
          <a:extLst>
            <a:ext uri="{FF2B5EF4-FFF2-40B4-BE49-F238E27FC236}">
              <a16:creationId xmlns:a16="http://schemas.microsoft.com/office/drawing/2014/main" id="{29C948FA-530C-4784-809C-76837F93244B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11" name="Shape 21">
          <a:extLst>
            <a:ext uri="{FF2B5EF4-FFF2-40B4-BE49-F238E27FC236}">
              <a16:creationId xmlns:a16="http://schemas.microsoft.com/office/drawing/2014/main" id="{FF9362B5-B3F9-4B7B-8E60-085A57B24CD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12" name="Shape 22">
          <a:extLst>
            <a:ext uri="{FF2B5EF4-FFF2-40B4-BE49-F238E27FC236}">
              <a16:creationId xmlns:a16="http://schemas.microsoft.com/office/drawing/2014/main" id="{7B0D6128-93B9-40CB-8F0F-171F37E7CFDB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13" name="Shape 23">
          <a:extLst>
            <a:ext uri="{FF2B5EF4-FFF2-40B4-BE49-F238E27FC236}">
              <a16:creationId xmlns:a16="http://schemas.microsoft.com/office/drawing/2014/main" id="{E8A0312E-BDD6-4398-B3F7-B5B8425AC73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14" name="Shape 8">
          <a:extLst>
            <a:ext uri="{FF2B5EF4-FFF2-40B4-BE49-F238E27FC236}">
              <a16:creationId xmlns:a16="http://schemas.microsoft.com/office/drawing/2014/main" id="{95FBA6C2-187D-492B-BBDA-06A4B35CF90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15" name="Shape 9">
          <a:extLst>
            <a:ext uri="{FF2B5EF4-FFF2-40B4-BE49-F238E27FC236}">
              <a16:creationId xmlns:a16="http://schemas.microsoft.com/office/drawing/2014/main" id="{C7E5ED41-EB6B-4173-A66E-2E6318D4B5E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16" name="Shape 10">
          <a:extLst>
            <a:ext uri="{FF2B5EF4-FFF2-40B4-BE49-F238E27FC236}">
              <a16:creationId xmlns:a16="http://schemas.microsoft.com/office/drawing/2014/main" id="{E96E8865-C940-4018-B442-25C39E08236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17" name="Shape 11">
          <a:extLst>
            <a:ext uri="{FF2B5EF4-FFF2-40B4-BE49-F238E27FC236}">
              <a16:creationId xmlns:a16="http://schemas.microsoft.com/office/drawing/2014/main" id="{233ADCA0-FECE-4CB9-A2B4-DB8E1312ECE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18" name="Shape 12">
          <a:extLst>
            <a:ext uri="{FF2B5EF4-FFF2-40B4-BE49-F238E27FC236}">
              <a16:creationId xmlns:a16="http://schemas.microsoft.com/office/drawing/2014/main" id="{530197B0-B7AF-4C3D-B486-36D63D6DA02B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19" name="Shape 13">
          <a:extLst>
            <a:ext uri="{FF2B5EF4-FFF2-40B4-BE49-F238E27FC236}">
              <a16:creationId xmlns:a16="http://schemas.microsoft.com/office/drawing/2014/main" id="{FCB2EA42-D2DA-4F75-ACD2-823FAAE0F749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20" name="Shape 14">
          <a:extLst>
            <a:ext uri="{FF2B5EF4-FFF2-40B4-BE49-F238E27FC236}">
              <a16:creationId xmlns:a16="http://schemas.microsoft.com/office/drawing/2014/main" id="{435EB13D-8671-4DD1-BD11-5760DC97FAD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21" name="Shape 15">
          <a:extLst>
            <a:ext uri="{FF2B5EF4-FFF2-40B4-BE49-F238E27FC236}">
              <a16:creationId xmlns:a16="http://schemas.microsoft.com/office/drawing/2014/main" id="{2ED2B5B8-E0D0-476C-A1DA-32C1D140389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22" name="Shape 16">
          <a:extLst>
            <a:ext uri="{FF2B5EF4-FFF2-40B4-BE49-F238E27FC236}">
              <a16:creationId xmlns:a16="http://schemas.microsoft.com/office/drawing/2014/main" id="{ADDB3DEA-4B59-4036-A1AE-7CBBEFAB74D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23" name="Shape 17">
          <a:extLst>
            <a:ext uri="{FF2B5EF4-FFF2-40B4-BE49-F238E27FC236}">
              <a16:creationId xmlns:a16="http://schemas.microsoft.com/office/drawing/2014/main" id="{B1E82408-0D2B-4B50-A1BA-5FE9DBCD1B3B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24" name="Shape 18">
          <a:extLst>
            <a:ext uri="{FF2B5EF4-FFF2-40B4-BE49-F238E27FC236}">
              <a16:creationId xmlns:a16="http://schemas.microsoft.com/office/drawing/2014/main" id="{86582246-06DA-4CB4-9861-1B0F55F3C5B2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25" name="Shape 19">
          <a:extLst>
            <a:ext uri="{FF2B5EF4-FFF2-40B4-BE49-F238E27FC236}">
              <a16:creationId xmlns:a16="http://schemas.microsoft.com/office/drawing/2014/main" id="{E77AC992-05DA-45E8-9025-25AFE812888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26" name="Shape 20">
          <a:extLst>
            <a:ext uri="{FF2B5EF4-FFF2-40B4-BE49-F238E27FC236}">
              <a16:creationId xmlns:a16="http://schemas.microsoft.com/office/drawing/2014/main" id="{69A66F24-A84A-4BAB-948C-167B2B96976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27" name="Shape 21">
          <a:extLst>
            <a:ext uri="{FF2B5EF4-FFF2-40B4-BE49-F238E27FC236}">
              <a16:creationId xmlns:a16="http://schemas.microsoft.com/office/drawing/2014/main" id="{702EB83D-C750-4414-BF6E-D7C6E917440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28" name="Shape 22">
          <a:extLst>
            <a:ext uri="{FF2B5EF4-FFF2-40B4-BE49-F238E27FC236}">
              <a16:creationId xmlns:a16="http://schemas.microsoft.com/office/drawing/2014/main" id="{63CE431B-47D6-4048-B9BB-3E535E57814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29" name="Shape 23">
          <a:extLst>
            <a:ext uri="{FF2B5EF4-FFF2-40B4-BE49-F238E27FC236}">
              <a16:creationId xmlns:a16="http://schemas.microsoft.com/office/drawing/2014/main" id="{6F42AACE-34A0-4E17-A92F-1AA039538DD7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30" name="Shape 8">
          <a:extLst>
            <a:ext uri="{FF2B5EF4-FFF2-40B4-BE49-F238E27FC236}">
              <a16:creationId xmlns:a16="http://schemas.microsoft.com/office/drawing/2014/main" id="{C212ABCB-C776-4876-B3F0-1711CEDD083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31" name="Shape 9">
          <a:extLst>
            <a:ext uri="{FF2B5EF4-FFF2-40B4-BE49-F238E27FC236}">
              <a16:creationId xmlns:a16="http://schemas.microsoft.com/office/drawing/2014/main" id="{EF292F1D-7687-42A3-994E-25D895AB25E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32" name="Shape 10">
          <a:extLst>
            <a:ext uri="{FF2B5EF4-FFF2-40B4-BE49-F238E27FC236}">
              <a16:creationId xmlns:a16="http://schemas.microsoft.com/office/drawing/2014/main" id="{B523B52F-FD3D-4550-982A-9AF29D5A3253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33" name="Shape 11">
          <a:extLst>
            <a:ext uri="{FF2B5EF4-FFF2-40B4-BE49-F238E27FC236}">
              <a16:creationId xmlns:a16="http://schemas.microsoft.com/office/drawing/2014/main" id="{D5F281C8-ED7E-4290-9817-F27414AF6121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34" name="Shape 12">
          <a:extLst>
            <a:ext uri="{FF2B5EF4-FFF2-40B4-BE49-F238E27FC236}">
              <a16:creationId xmlns:a16="http://schemas.microsoft.com/office/drawing/2014/main" id="{89C6D573-8A1B-4BB0-9724-FE19A1DFA06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35" name="Shape 13">
          <a:extLst>
            <a:ext uri="{FF2B5EF4-FFF2-40B4-BE49-F238E27FC236}">
              <a16:creationId xmlns:a16="http://schemas.microsoft.com/office/drawing/2014/main" id="{0DCD3560-DACE-4C86-9F67-61EDB277AAE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36" name="Shape 14">
          <a:extLst>
            <a:ext uri="{FF2B5EF4-FFF2-40B4-BE49-F238E27FC236}">
              <a16:creationId xmlns:a16="http://schemas.microsoft.com/office/drawing/2014/main" id="{7D833E9A-B2B8-41B9-B64C-92E3D851D87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37" name="Shape 15">
          <a:extLst>
            <a:ext uri="{FF2B5EF4-FFF2-40B4-BE49-F238E27FC236}">
              <a16:creationId xmlns:a16="http://schemas.microsoft.com/office/drawing/2014/main" id="{5E599614-B8AB-428A-819F-2224DE2966E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38" name="Shape 16">
          <a:extLst>
            <a:ext uri="{FF2B5EF4-FFF2-40B4-BE49-F238E27FC236}">
              <a16:creationId xmlns:a16="http://schemas.microsoft.com/office/drawing/2014/main" id="{18400003-8762-425C-9887-7F56D34D179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39" name="Shape 17">
          <a:extLst>
            <a:ext uri="{FF2B5EF4-FFF2-40B4-BE49-F238E27FC236}">
              <a16:creationId xmlns:a16="http://schemas.microsoft.com/office/drawing/2014/main" id="{09160998-477E-444D-8B01-9B2401210C9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40" name="Shape 18">
          <a:extLst>
            <a:ext uri="{FF2B5EF4-FFF2-40B4-BE49-F238E27FC236}">
              <a16:creationId xmlns:a16="http://schemas.microsoft.com/office/drawing/2014/main" id="{F868B292-F8D7-47CD-B8BE-54BA6C57276C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41" name="Shape 19">
          <a:extLst>
            <a:ext uri="{FF2B5EF4-FFF2-40B4-BE49-F238E27FC236}">
              <a16:creationId xmlns:a16="http://schemas.microsoft.com/office/drawing/2014/main" id="{6B46FFE9-06A5-47EC-BF2D-CA66B0977786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42" name="Shape 20">
          <a:extLst>
            <a:ext uri="{FF2B5EF4-FFF2-40B4-BE49-F238E27FC236}">
              <a16:creationId xmlns:a16="http://schemas.microsoft.com/office/drawing/2014/main" id="{E1CEF4CE-0757-4365-90D8-452C4765669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43" name="Shape 21">
          <a:extLst>
            <a:ext uri="{FF2B5EF4-FFF2-40B4-BE49-F238E27FC236}">
              <a16:creationId xmlns:a16="http://schemas.microsoft.com/office/drawing/2014/main" id="{B203C575-CCDB-4036-996A-9A037B5A610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44" name="Shape 22">
          <a:extLst>
            <a:ext uri="{FF2B5EF4-FFF2-40B4-BE49-F238E27FC236}">
              <a16:creationId xmlns:a16="http://schemas.microsoft.com/office/drawing/2014/main" id="{7FE353FC-F215-4FC1-9EF8-F2467F6CA71C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45" name="Shape 23">
          <a:extLst>
            <a:ext uri="{FF2B5EF4-FFF2-40B4-BE49-F238E27FC236}">
              <a16:creationId xmlns:a16="http://schemas.microsoft.com/office/drawing/2014/main" id="{D21F66A1-D6B6-4FF9-B7DA-8E12C2E73304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46" name="Shape 8">
          <a:extLst>
            <a:ext uri="{FF2B5EF4-FFF2-40B4-BE49-F238E27FC236}">
              <a16:creationId xmlns:a16="http://schemas.microsoft.com/office/drawing/2014/main" id="{0DD76772-4FFC-484B-9558-2D571CD1604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47" name="Shape 9">
          <a:extLst>
            <a:ext uri="{FF2B5EF4-FFF2-40B4-BE49-F238E27FC236}">
              <a16:creationId xmlns:a16="http://schemas.microsoft.com/office/drawing/2014/main" id="{E5B852D2-BD2D-461E-B686-F7D143D4242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48" name="Shape 10">
          <a:extLst>
            <a:ext uri="{FF2B5EF4-FFF2-40B4-BE49-F238E27FC236}">
              <a16:creationId xmlns:a16="http://schemas.microsoft.com/office/drawing/2014/main" id="{9BF37B64-472B-4B8B-97B1-61C93B68235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49" name="Shape 11">
          <a:extLst>
            <a:ext uri="{FF2B5EF4-FFF2-40B4-BE49-F238E27FC236}">
              <a16:creationId xmlns:a16="http://schemas.microsoft.com/office/drawing/2014/main" id="{D15C2687-D261-413D-A312-A0F500E1FE8E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50" name="Shape 12">
          <a:extLst>
            <a:ext uri="{FF2B5EF4-FFF2-40B4-BE49-F238E27FC236}">
              <a16:creationId xmlns:a16="http://schemas.microsoft.com/office/drawing/2014/main" id="{FA313BDF-62DB-4150-BD2F-23D611DE5AB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51" name="Shape 13">
          <a:extLst>
            <a:ext uri="{FF2B5EF4-FFF2-40B4-BE49-F238E27FC236}">
              <a16:creationId xmlns:a16="http://schemas.microsoft.com/office/drawing/2014/main" id="{876E3AE8-15FC-4055-A6B9-6CEDD5B46EE4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52" name="Shape 14">
          <a:extLst>
            <a:ext uri="{FF2B5EF4-FFF2-40B4-BE49-F238E27FC236}">
              <a16:creationId xmlns:a16="http://schemas.microsoft.com/office/drawing/2014/main" id="{A2D838C9-4B92-4C45-B7C2-4F63E3E7B2F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53" name="Shape 15">
          <a:extLst>
            <a:ext uri="{FF2B5EF4-FFF2-40B4-BE49-F238E27FC236}">
              <a16:creationId xmlns:a16="http://schemas.microsoft.com/office/drawing/2014/main" id="{538B5412-948A-49F8-84CE-C4911BB7206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54" name="Shape 16">
          <a:extLst>
            <a:ext uri="{FF2B5EF4-FFF2-40B4-BE49-F238E27FC236}">
              <a16:creationId xmlns:a16="http://schemas.microsoft.com/office/drawing/2014/main" id="{566AE25D-9E17-4C68-A67E-BC94D9ECEE3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55" name="Shape 17">
          <a:extLst>
            <a:ext uri="{FF2B5EF4-FFF2-40B4-BE49-F238E27FC236}">
              <a16:creationId xmlns:a16="http://schemas.microsoft.com/office/drawing/2014/main" id="{AC58CB39-A705-4D1F-AD2E-6C6C19391B5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56" name="Shape 18">
          <a:extLst>
            <a:ext uri="{FF2B5EF4-FFF2-40B4-BE49-F238E27FC236}">
              <a16:creationId xmlns:a16="http://schemas.microsoft.com/office/drawing/2014/main" id="{3B1DF1D6-6A74-41BB-9B55-2447E9BEB193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57" name="Shape 19">
          <a:extLst>
            <a:ext uri="{FF2B5EF4-FFF2-40B4-BE49-F238E27FC236}">
              <a16:creationId xmlns:a16="http://schemas.microsoft.com/office/drawing/2014/main" id="{863CC0B2-04F1-47AD-A59E-A1CF7E44C7B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58" name="Shape 20">
          <a:extLst>
            <a:ext uri="{FF2B5EF4-FFF2-40B4-BE49-F238E27FC236}">
              <a16:creationId xmlns:a16="http://schemas.microsoft.com/office/drawing/2014/main" id="{D5757433-F7C4-493D-9C1A-4B7DB81A1A3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59" name="Shape 21">
          <a:extLst>
            <a:ext uri="{FF2B5EF4-FFF2-40B4-BE49-F238E27FC236}">
              <a16:creationId xmlns:a16="http://schemas.microsoft.com/office/drawing/2014/main" id="{518C41FF-118D-40B7-A5E8-840CD284D45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60" name="Shape 22">
          <a:extLst>
            <a:ext uri="{FF2B5EF4-FFF2-40B4-BE49-F238E27FC236}">
              <a16:creationId xmlns:a16="http://schemas.microsoft.com/office/drawing/2014/main" id="{A2D5F49A-C635-4E44-B0A8-364C23C2A1C2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61" name="Shape 23">
          <a:extLst>
            <a:ext uri="{FF2B5EF4-FFF2-40B4-BE49-F238E27FC236}">
              <a16:creationId xmlns:a16="http://schemas.microsoft.com/office/drawing/2014/main" id="{E21199E0-36E5-4CD1-9F25-8E5A6FA29F5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162" name="Shape 8">
          <a:extLst>
            <a:ext uri="{FF2B5EF4-FFF2-40B4-BE49-F238E27FC236}">
              <a16:creationId xmlns:a16="http://schemas.microsoft.com/office/drawing/2014/main" id="{FF404CEA-B84D-43FF-87DD-1A332726AA26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163" name="Shape 9">
          <a:extLst>
            <a:ext uri="{FF2B5EF4-FFF2-40B4-BE49-F238E27FC236}">
              <a16:creationId xmlns:a16="http://schemas.microsoft.com/office/drawing/2014/main" id="{C4C57252-9FA1-49C4-9024-71FA7456A7A4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64" name="Shape 10">
          <a:extLst>
            <a:ext uri="{FF2B5EF4-FFF2-40B4-BE49-F238E27FC236}">
              <a16:creationId xmlns:a16="http://schemas.microsoft.com/office/drawing/2014/main" id="{8CA5F920-CDCE-4571-B27E-3AF1822BCE4B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65" name="Shape 11">
          <a:extLst>
            <a:ext uri="{FF2B5EF4-FFF2-40B4-BE49-F238E27FC236}">
              <a16:creationId xmlns:a16="http://schemas.microsoft.com/office/drawing/2014/main" id="{35E2195E-EE97-43DD-ACCA-B5079BDFA2FF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66" name="Shape 12">
          <a:extLst>
            <a:ext uri="{FF2B5EF4-FFF2-40B4-BE49-F238E27FC236}">
              <a16:creationId xmlns:a16="http://schemas.microsoft.com/office/drawing/2014/main" id="{91EFF8DE-98FB-4DE8-99E8-E193F119DC25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67" name="Shape 13">
          <a:extLst>
            <a:ext uri="{FF2B5EF4-FFF2-40B4-BE49-F238E27FC236}">
              <a16:creationId xmlns:a16="http://schemas.microsoft.com/office/drawing/2014/main" id="{FF97E186-2E52-4B8D-9292-92EC69D8111C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168" name="Shape 14">
          <a:extLst>
            <a:ext uri="{FF2B5EF4-FFF2-40B4-BE49-F238E27FC236}">
              <a16:creationId xmlns:a16="http://schemas.microsoft.com/office/drawing/2014/main" id="{5259F4BA-8CF3-428F-80D4-248CE2EDF104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169" name="Shape 15">
          <a:extLst>
            <a:ext uri="{FF2B5EF4-FFF2-40B4-BE49-F238E27FC236}">
              <a16:creationId xmlns:a16="http://schemas.microsoft.com/office/drawing/2014/main" id="{67A739DF-AF1E-4A7A-AA2B-4F4AAD91E0F8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170" name="Shape 20">
          <a:extLst>
            <a:ext uri="{FF2B5EF4-FFF2-40B4-BE49-F238E27FC236}">
              <a16:creationId xmlns:a16="http://schemas.microsoft.com/office/drawing/2014/main" id="{F515C154-A0DD-4219-98D2-9C6A01291246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171" name="Shape 21">
          <a:extLst>
            <a:ext uri="{FF2B5EF4-FFF2-40B4-BE49-F238E27FC236}">
              <a16:creationId xmlns:a16="http://schemas.microsoft.com/office/drawing/2014/main" id="{E495ECDD-68D5-40C5-B990-F6837F32C5D6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72" name="Shape 22">
          <a:extLst>
            <a:ext uri="{FF2B5EF4-FFF2-40B4-BE49-F238E27FC236}">
              <a16:creationId xmlns:a16="http://schemas.microsoft.com/office/drawing/2014/main" id="{6E85D863-1738-4F17-94B2-04BD6F95D217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73" name="Shape 23">
          <a:extLst>
            <a:ext uri="{FF2B5EF4-FFF2-40B4-BE49-F238E27FC236}">
              <a16:creationId xmlns:a16="http://schemas.microsoft.com/office/drawing/2014/main" id="{B52718DE-AF58-44E0-9281-A0CF25D85B99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74" name="Shape 8">
          <a:extLst>
            <a:ext uri="{FF2B5EF4-FFF2-40B4-BE49-F238E27FC236}">
              <a16:creationId xmlns:a16="http://schemas.microsoft.com/office/drawing/2014/main" id="{A24EDB5B-058D-4EA0-8BD5-44E7332882B0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75" name="Shape 9">
          <a:extLst>
            <a:ext uri="{FF2B5EF4-FFF2-40B4-BE49-F238E27FC236}">
              <a16:creationId xmlns:a16="http://schemas.microsoft.com/office/drawing/2014/main" id="{B1857E64-EE3F-414F-8220-4835DF5EDE7A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76" name="Shape 10">
          <a:extLst>
            <a:ext uri="{FF2B5EF4-FFF2-40B4-BE49-F238E27FC236}">
              <a16:creationId xmlns:a16="http://schemas.microsoft.com/office/drawing/2014/main" id="{FB9B144D-F420-41CF-A2C8-AC11CE44DAE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77" name="Shape 11">
          <a:extLst>
            <a:ext uri="{FF2B5EF4-FFF2-40B4-BE49-F238E27FC236}">
              <a16:creationId xmlns:a16="http://schemas.microsoft.com/office/drawing/2014/main" id="{C5F17205-303B-40DC-9932-D01CA9A3784B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78" name="Shape 12">
          <a:extLst>
            <a:ext uri="{FF2B5EF4-FFF2-40B4-BE49-F238E27FC236}">
              <a16:creationId xmlns:a16="http://schemas.microsoft.com/office/drawing/2014/main" id="{ED2F6300-ECE6-4E98-AC93-6F25620F0537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79" name="Shape 13">
          <a:extLst>
            <a:ext uri="{FF2B5EF4-FFF2-40B4-BE49-F238E27FC236}">
              <a16:creationId xmlns:a16="http://schemas.microsoft.com/office/drawing/2014/main" id="{429B4A5D-6485-4B27-B52C-6874C97E8347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80" name="Shape 14">
          <a:extLst>
            <a:ext uri="{FF2B5EF4-FFF2-40B4-BE49-F238E27FC236}">
              <a16:creationId xmlns:a16="http://schemas.microsoft.com/office/drawing/2014/main" id="{7F192B74-B70B-4A26-9BBB-E3CC33BFE7A5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81" name="Shape 15">
          <a:extLst>
            <a:ext uri="{FF2B5EF4-FFF2-40B4-BE49-F238E27FC236}">
              <a16:creationId xmlns:a16="http://schemas.microsoft.com/office/drawing/2014/main" id="{0F4164DE-C05B-4B4C-9723-D393CAE55B44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82" name="Shape 20">
          <a:extLst>
            <a:ext uri="{FF2B5EF4-FFF2-40B4-BE49-F238E27FC236}">
              <a16:creationId xmlns:a16="http://schemas.microsoft.com/office/drawing/2014/main" id="{F38AC1B9-8214-45A4-A627-0710DA5E7E62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83" name="Shape 21">
          <a:extLst>
            <a:ext uri="{FF2B5EF4-FFF2-40B4-BE49-F238E27FC236}">
              <a16:creationId xmlns:a16="http://schemas.microsoft.com/office/drawing/2014/main" id="{49671171-F666-4BAE-A5E2-2E5FBE63C37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84" name="Shape 22">
          <a:extLst>
            <a:ext uri="{FF2B5EF4-FFF2-40B4-BE49-F238E27FC236}">
              <a16:creationId xmlns:a16="http://schemas.microsoft.com/office/drawing/2014/main" id="{62EF3267-A3FD-4414-9902-250E2EB81649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85" name="Shape 23">
          <a:extLst>
            <a:ext uri="{FF2B5EF4-FFF2-40B4-BE49-F238E27FC236}">
              <a16:creationId xmlns:a16="http://schemas.microsoft.com/office/drawing/2014/main" id="{1B3B1E85-3725-479D-9F7C-EBFFB5CF71AC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86" name="Shape 8">
          <a:extLst>
            <a:ext uri="{FF2B5EF4-FFF2-40B4-BE49-F238E27FC236}">
              <a16:creationId xmlns:a16="http://schemas.microsoft.com/office/drawing/2014/main" id="{0B1D94B9-1AFB-4ECA-AC20-B0CC42EE0B05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87" name="Shape 9">
          <a:extLst>
            <a:ext uri="{FF2B5EF4-FFF2-40B4-BE49-F238E27FC236}">
              <a16:creationId xmlns:a16="http://schemas.microsoft.com/office/drawing/2014/main" id="{3660FAE3-F1D1-434F-B3C6-E3EA4D2E5F6A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88" name="Shape 10">
          <a:extLst>
            <a:ext uri="{FF2B5EF4-FFF2-40B4-BE49-F238E27FC236}">
              <a16:creationId xmlns:a16="http://schemas.microsoft.com/office/drawing/2014/main" id="{F9F65E3A-39B7-4588-AFA7-C157A6D03599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89" name="Shape 11">
          <a:extLst>
            <a:ext uri="{FF2B5EF4-FFF2-40B4-BE49-F238E27FC236}">
              <a16:creationId xmlns:a16="http://schemas.microsoft.com/office/drawing/2014/main" id="{C189A387-E485-48D3-B90B-0CCDB927390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90" name="Shape 12">
          <a:extLst>
            <a:ext uri="{FF2B5EF4-FFF2-40B4-BE49-F238E27FC236}">
              <a16:creationId xmlns:a16="http://schemas.microsoft.com/office/drawing/2014/main" id="{F8C387B5-324B-4410-AA9C-712BE5B2C59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91" name="Shape 13">
          <a:extLst>
            <a:ext uri="{FF2B5EF4-FFF2-40B4-BE49-F238E27FC236}">
              <a16:creationId xmlns:a16="http://schemas.microsoft.com/office/drawing/2014/main" id="{8148100B-BC78-4246-80E2-61612526032C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92" name="Shape 14">
          <a:extLst>
            <a:ext uri="{FF2B5EF4-FFF2-40B4-BE49-F238E27FC236}">
              <a16:creationId xmlns:a16="http://schemas.microsoft.com/office/drawing/2014/main" id="{60DCBE7A-B671-4289-B45D-823CF91AD975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93" name="Shape 15">
          <a:extLst>
            <a:ext uri="{FF2B5EF4-FFF2-40B4-BE49-F238E27FC236}">
              <a16:creationId xmlns:a16="http://schemas.microsoft.com/office/drawing/2014/main" id="{1066664A-ACE3-4A08-9505-1A6B8D447CAB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94" name="Shape 20">
          <a:extLst>
            <a:ext uri="{FF2B5EF4-FFF2-40B4-BE49-F238E27FC236}">
              <a16:creationId xmlns:a16="http://schemas.microsoft.com/office/drawing/2014/main" id="{372AE74D-3507-4E37-8081-2544A98485E0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95" name="Shape 21">
          <a:extLst>
            <a:ext uri="{FF2B5EF4-FFF2-40B4-BE49-F238E27FC236}">
              <a16:creationId xmlns:a16="http://schemas.microsoft.com/office/drawing/2014/main" id="{6A204DFF-C439-424A-9A31-CCD43B0CBDD7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196" name="Shape 22">
          <a:extLst>
            <a:ext uri="{FF2B5EF4-FFF2-40B4-BE49-F238E27FC236}">
              <a16:creationId xmlns:a16="http://schemas.microsoft.com/office/drawing/2014/main" id="{79B2063A-B153-44F4-8276-CFF71FF387A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197" name="Shape 23">
          <a:extLst>
            <a:ext uri="{FF2B5EF4-FFF2-40B4-BE49-F238E27FC236}">
              <a16:creationId xmlns:a16="http://schemas.microsoft.com/office/drawing/2014/main" id="{20F76071-A43F-4F20-9AA0-BA6D92A064E7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198" name="Shape 8">
          <a:extLst>
            <a:ext uri="{FF2B5EF4-FFF2-40B4-BE49-F238E27FC236}">
              <a16:creationId xmlns:a16="http://schemas.microsoft.com/office/drawing/2014/main" id="{5A2DECFA-B4E2-48D9-A438-48F44B64077C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199" name="Shape 9">
          <a:extLst>
            <a:ext uri="{FF2B5EF4-FFF2-40B4-BE49-F238E27FC236}">
              <a16:creationId xmlns:a16="http://schemas.microsoft.com/office/drawing/2014/main" id="{03CC4C84-A7DA-40AF-84F8-D23A9F107236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00" name="Shape 10">
          <a:extLst>
            <a:ext uri="{FF2B5EF4-FFF2-40B4-BE49-F238E27FC236}">
              <a16:creationId xmlns:a16="http://schemas.microsoft.com/office/drawing/2014/main" id="{E17FC183-C1F6-4EA6-9ED2-434ACA94165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01" name="Shape 11">
          <a:extLst>
            <a:ext uri="{FF2B5EF4-FFF2-40B4-BE49-F238E27FC236}">
              <a16:creationId xmlns:a16="http://schemas.microsoft.com/office/drawing/2014/main" id="{3063D2A8-3A05-491B-8723-C5D5CFE77B4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02" name="Shape 12">
          <a:extLst>
            <a:ext uri="{FF2B5EF4-FFF2-40B4-BE49-F238E27FC236}">
              <a16:creationId xmlns:a16="http://schemas.microsoft.com/office/drawing/2014/main" id="{421A303C-5380-47DB-A1EC-A52E3BEF20B7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03" name="Shape 13">
          <a:extLst>
            <a:ext uri="{FF2B5EF4-FFF2-40B4-BE49-F238E27FC236}">
              <a16:creationId xmlns:a16="http://schemas.microsoft.com/office/drawing/2014/main" id="{CF7AA3C0-9985-4E67-B4E2-6664ADEDDF6C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04" name="Shape 14">
          <a:extLst>
            <a:ext uri="{FF2B5EF4-FFF2-40B4-BE49-F238E27FC236}">
              <a16:creationId xmlns:a16="http://schemas.microsoft.com/office/drawing/2014/main" id="{8B4B080B-0499-4A2A-8326-9E91A80187F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05" name="Shape 15">
          <a:extLst>
            <a:ext uri="{FF2B5EF4-FFF2-40B4-BE49-F238E27FC236}">
              <a16:creationId xmlns:a16="http://schemas.microsoft.com/office/drawing/2014/main" id="{85EDBE3C-DC1C-4317-A1E3-FCE5B74CF65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06" name="Shape 20">
          <a:extLst>
            <a:ext uri="{FF2B5EF4-FFF2-40B4-BE49-F238E27FC236}">
              <a16:creationId xmlns:a16="http://schemas.microsoft.com/office/drawing/2014/main" id="{E63B0AEC-127C-4A2E-9AEF-F01F0B793DB3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07" name="Shape 21">
          <a:extLst>
            <a:ext uri="{FF2B5EF4-FFF2-40B4-BE49-F238E27FC236}">
              <a16:creationId xmlns:a16="http://schemas.microsoft.com/office/drawing/2014/main" id="{2DFF6AD8-A8DF-47AD-8AFB-09293A849D1F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08" name="Shape 22">
          <a:extLst>
            <a:ext uri="{FF2B5EF4-FFF2-40B4-BE49-F238E27FC236}">
              <a16:creationId xmlns:a16="http://schemas.microsoft.com/office/drawing/2014/main" id="{B843E239-9EF6-4103-966F-C32A90E99897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09" name="Shape 23">
          <a:extLst>
            <a:ext uri="{FF2B5EF4-FFF2-40B4-BE49-F238E27FC236}">
              <a16:creationId xmlns:a16="http://schemas.microsoft.com/office/drawing/2014/main" id="{FC3AEC22-2935-41A2-BFF4-3BE15E3A3A8B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10" name="Shape 8">
          <a:extLst>
            <a:ext uri="{FF2B5EF4-FFF2-40B4-BE49-F238E27FC236}">
              <a16:creationId xmlns:a16="http://schemas.microsoft.com/office/drawing/2014/main" id="{68C81877-5E86-4E13-A25C-C8CF5645C02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11" name="Shape 9">
          <a:extLst>
            <a:ext uri="{FF2B5EF4-FFF2-40B4-BE49-F238E27FC236}">
              <a16:creationId xmlns:a16="http://schemas.microsoft.com/office/drawing/2014/main" id="{6AA0F2D2-9800-4415-95C5-88B267C0562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12" name="Shape 10">
          <a:extLst>
            <a:ext uri="{FF2B5EF4-FFF2-40B4-BE49-F238E27FC236}">
              <a16:creationId xmlns:a16="http://schemas.microsoft.com/office/drawing/2014/main" id="{2C222EB6-9907-4DF2-A58C-01B38989A60B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13" name="Shape 11">
          <a:extLst>
            <a:ext uri="{FF2B5EF4-FFF2-40B4-BE49-F238E27FC236}">
              <a16:creationId xmlns:a16="http://schemas.microsoft.com/office/drawing/2014/main" id="{829B28BD-3F47-4E35-A581-FD1DA0CAA536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14" name="Shape 12">
          <a:extLst>
            <a:ext uri="{FF2B5EF4-FFF2-40B4-BE49-F238E27FC236}">
              <a16:creationId xmlns:a16="http://schemas.microsoft.com/office/drawing/2014/main" id="{719A51F7-C67B-425E-ACA9-4BC6518A6DE1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15" name="Shape 13">
          <a:extLst>
            <a:ext uri="{FF2B5EF4-FFF2-40B4-BE49-F238E27FC236}">
              <a16:creationId xmlns:a16="http://schemas.microsoft.com/office/drawing/2014/main" id="{F7C7B187-76D4-402B-BD67-F730719F0589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16" name="Shape 14">
          <a:extLst>
            <a:ext uri="{FF2B5EF4-FFF2-40B4-BE49-F238E27FC236}">
              <a16:creationId xmlns:a16="http://schemas.microsoft.com/office/drawing/2014/main" id="{AF90AE12-DA91-499D-ACC8-00D0051512F7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17" name="Shape 15">
          <a:extLst>
            <a:ext uri="{FF2B5EF4-FFF2-40B4-BE49-F238E27FC236}">
              <a16:creationId xmlns:a16="http://schemas.microsoft.com/office/drawing/2014/main" id="{51E9DB68-E2F8-4A78-8870-D6FD73A73A94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18" name="Shape 20">
          <a:extLst>
            <a:ext uri="{FF2B5EF4-FFF2-40B4-BE49-F238E27FC236}">
              <a16:creationId xmlns:a16="http://schemas.microsoft.com/office/drawing/2014/main" id="{EC8EC47B-8CED-4EEF-AA47-FFC04DA3A0F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19" name="Shape 21">
          <a:extLst>
            <a:ext uri="{FF2B5EF4-FFF2-40B4-BE49-F238E27FC236}">
              <a16:creationId xmlns:a16="http://schemas.microsoft.com/office/drawing/2014/main" id="{A2F0FA06-4B93-4C99-BA93-2AC1457D970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20" name="Shape 22">
          <a:extLst>
            <a:ext uri="{FF2B5EF4-FFF2-40B4-BE49-F238E27FC236}">
              <a16:creationId xmlns:a16="http://schemas.microsoft.com/office/drawing/2014/main" id="{E145DE16-C735-4AF6-ACDD-88CC34D5271A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21" name="Shape 23">
          <a:extLst>
            <a:ext uri="{FF2B5EF4-FFF2-40B4-BE49-F238E27FC236}">
              <a16:creationId xmlns:a16="http://schemas.microsoft.com/office/drawing/2014/main" id="{A06A1465-57B3-4B95-8B41-406E331C3F9D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22" name="Shape 8">
          <a:extLst>
            <a:ext uri="{FF2B5EF4-FFF2-40B4-BE49-F238E27FC236}">
              <a16:creationId xmlns:a16="http://schemas.microsoft.com/office/drawing/2014/main" id="{65A08F8B-8358-4117-BA51-A40D6EB1981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23" name="Shape 9">
          <a:extLst>
            <a:ext uri="{FF2B5EF4-FFF2-40B4-BE49-F238E27FC236}">
              <a16:creationId xmlns:a16="http://schemas.microsoft.com/office/drawing/2014/main" id="{D9E5F6BE-41AB-478E-898F-6B2108C4EA07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24" name="Shape 10">
          <a:extLst>
            <a:ext uri="{FF2B5EF4-FFF2-40B4-BE49-F238E27FC236}">
              <a16:creationId xmlns:a16="http://schemas.microsoft.com/office/drawing/2014/main" id="{A693F55D-C95A-4DFC-953A-BB57FD3A455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25" name="Shape 11">
          <a:extLst>
            <a:ext uri="{FF2B5EF4-FFF2-40B4-BE49-F238E27FC236}">
              <a16:creationId xmlns:a16="http://schemas.microsoft.com/office/drawing/2014/main" id="{C6FD4B65-591A-4EFE-BFC6-F8AF6C15881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26" name="Shape 12">
          <a:extLst>
            <a:ext uri="{FF2B5EF4-FFF2-40B4-BE49-F238E27FC236}">
              <a16:creationId xmlns:a16="http://schemas.microsoft.com/office/drawing/2014/main" id="{E391A063-0034-472D-AC4F-EE5B130CBE07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27" name="Shape 13">
          <a:extLst>
            <a:ext uri="{FF2B5EF4-FFF2-40B4-BE49-F238E27FC236}">
              <a16:creationId xmlns:a16="http://schemas.microsoft.com/office/drawing/2014/main" id="{D0A580E1-E345-459A-A6B3-0362AD81EE14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28" name="Shape 14">
          <a:extLst>
            <a:ext uri="{FF2B5EF4-FFF2-40B4-BE49-F238E27FC236}">
              <a16:creationId xmlns:a16="http://schemas.microsoft.com/office/drawing/2014/main" id="{7BD7089C-2640-4E4F-AC36-FEC9C7FF20EF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29" name="Shape 15">
          <a:extLst>
            <a:ext uri="{FF2B5EF4-FFF2-40B4-BE49-F238E27FC236}">
              <a16:creationId xmlns:a16="http://schemas.microsoft.com/office/drawing/2014/main" id="{1D5ABB00-49DA-4D7F-A6F6-505AE446E71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30" name="Shape 20">
          <a:extLst>
            <a:ext uri="{FF2B5EF4-FFF2-40B4-BE49-F238E27FC236}">
              <a16:creationId xmlns:a16="http://schemas.microsoft.com/office/drawing/2014/main" id="{A43239D9-0005-44A3-ADCF-28904AAC779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31" name="Shape 21">
          <a:extLst>
            <a:ext uri="{FF2B5EF4-FFF2-40B4-BE49-F238E27FC236}">
              <a16:creationId xmlns:a16="http://schemas.microsoft.com/office/drawing/2014/main" id="{96C49A5E-7C30-415F-AC85-63B047D064B3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32" name="Shape 22">
          <a:extLst>
            <a:ext uri="{FF2B5EF4-FFF2-40B4-BE49-F238E27FC236}">
              <a16:creationId xmlns:a16="http://schemas.microsoft.com/office/drawing/2014/main" id="{99E125DA-1AED-4297-8E52-70442E00F0CA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33" name="Shape 23">
          <a:extLst>
            <a:ext uri="{FF2B5EF4-FFF2-40B4-BE49-F238E27FC236}">
              <a16:creationId xmlns:a16="http://schemas.microsoft.com/office/drawing/2014/main" id="{556559B0-A28A-45CE-98F0-558D7D4E1896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34" name="Shape 8">
          <a:extLst>
            <a:ext uri="{FF2B5EF4-FFF2-40B4-BE49-F238E27FC236}">
              <a16:creationId xmlns:a16="http://schemas.microsoft.com/office/drawing/2014/main" id="{F28DFD0A-6BD0-4679-B23A-9C8D9B90F46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35" name="Shape 9">
          <a:extLst>
            <a:ext uri="{FF2B5EF4-FFF2-40B4-BE49-F238E27FC236}">
              <a16:creationId xmlns:a16="http://schemas.microsoft.com/office/drawing/2014/main" id="{74CE9923-0E2D-4994-ABB0-9BDE7C79AD8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36" name="Shape 10">
          <a:extLst>
            <a:ext uri="{FF2B5EF4-FFF2-40B4-BE49-F238E27FC236}">
              <a16:creationId xmlns:a16="http://schemas.microsoft.com/office/drawing/2014/main" id="{4B3A92D9-5381-40FD-A3C1-73136AD3388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37" name="Shape 11">
          <a:extLst>
            <a:ext uri="{FF2B5EF4-FFF2-40B4-BE49-F238E27FC236}">
              <a16:creationId xmlns:a16="http://schemas.microsoft.com/office/drawing/2014/main" id="{8B85270A-41AB-4E4F-80A4-AC065C117D0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38" name="Shape 12">
          <a:extLst>
            <a:ext uri="{FF2B5EF4-FFF2-40B4-BE49-F238E27FC236}">
              <a16:creationId xmlns:a16="http://schemas.microsoft.com/office/drawing/2014/main" id="{FA25A27E-91AB-412D-9739-C9DDFC841F4B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39" name="Shape 13">
          <a:extLst>
            <a:ext uri="{FF2B5EF4-FFF2-40B4-BE49-F238E27FC236}">
              <a16:creationId xmlns:a16="http://schemas.microsoft.com/office/drawing/2014/main" id="{377377A8-4889-4CB7-B9EE-E6B268AE1BB5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40" name="Shape 14">
          <a:extLst>
            <a:ext uri="{FF2B5EF4-FFF2-40B4-BE49-F238E27FC236}">
              <a16:creationId xmlns:a16="http://schemas.microsoft.com/office/drawing/2014/main" id="{836C6D0F-1FE7-4B23-A1E2-55FA1A98FDC8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41" name="Shape 15">
          <a:extLst>
            <a:ext uri="{FF2B5EF4-FFF2-40B4-BE49-F238E27FC236}">
              <a16:creationId xmlns:a16="http://schemas.microsoft.com/office/drawing/2014/main" id="{D2209153-4EBC-485D-A47A-5FE95F2385C5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42" name="Shape 20">
          <a:extLst>
            <a:ext uri="{FF2B5EF4-FFF2-40B4-BE49-F238E27FC236}">
              <a16:creationId xmlns:a16="http://schemas.microsoft.com/office/drawing/2014/main" id="{58EC43A7-C18B-4A60-93C2-E2D7AA356164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43" name="Shape 21">
          <a:extLst>
            <a:ext uri="{FF2B5EF4-FFF2-40B4-BE49-F238E27FC236}">
              <a16:creationId xmlns:a16="http://schemas.microsoft.com/office/drawing/2014/main" id="{2BDB3ADC-1B69-4952-89F9-C6BEE52A3BDD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244" name="Shape 22">
          <a:extLst>
            <a:ext uri="{FF2B5EF4-FFF2-40B4-BE49-F238E27FC236}">
              <a16:creationId xmlns:a16="http://schemas.microsoft.com/office/drawing/2014/main" id="{81BD33D3-3351-4E20-9F7D-12871277D132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245" name="Shape 23">
          <a:extLst>
            <a:ext uri="{FF2B5EF4-FFF2-40B4-BE49-F238E27FC236}">
              <a16:creationId xmlns:a16="http://schemas.microsoft.com/office/drawing/2014/main" id="{90FC0156-90FD-4AB1-AE39-843155899269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46" name="Shape 8">
          <a:extLst>
            <a:ext uri="{FF2B5EF4-FFF2-40B4-BE49-F238E27FC236}">
              <a16:creationId xmlns:a16="http://schemas.microsoft.com/office/drawing/2014/main" id="{5A0D1E8F-2B86-4B45-AF0E-4C06FB757249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47" name="Shape 9">
          <a:extLst>
            <a:ext uri="{FF2B5EF4-FFF2-40B4-BE49-F238E27FC236}">
              <a16:creationId xmlns:a16="http://schemas.microsoft.com/office/drawing/2014/main" id="{02DD7E67-A21F-4F08-9583-E971A508757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48" name="Shape 10">
          <a:extLst>
            <a:ext uri="{FF2B5EF4-FFF2-40B4-BE49-F238E27FC236}">
              <a16:creationId xmlns:a16="http://schemas.microsoft.com/office/drawing/2014/main" id="{FDBF91CB-E6B0-4438-B820-1A6D7FA96BA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49" name="Shape 11">
          <a:extLst>
            <a:ext uri="{FF2B5EF4-FFF2-40B4-BE49-F238E27FC236}">
              <a16:creationId xmlns:a16="http://schemas.microsoft.com/office/drawing/2014/main" id="{0163F770-F7E0-46D3-A44C-5B9B9BF41F2E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50" name="Shape 12">
          <a:extLst>
            <a:ext uri="{FF2B5EF4-FFF2-40B4-BE49-F238E27FC236}">
              <a16:creationId xmlns:a16="http://schemas.microsoft.com/office/drawing/2014/main" id="{740CBA01-CC30-46E6-8B00-1F99EA739612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51" name="Shape 13">
          <a:extLst>
            <a:ext uri="{FF2B5EF4-FFF2-40B4-BE49-F238E27FC236}">
              <a16:creationId xmlns:a16="http://schemas.microsoft.com/office/drawing/2014/main" id="{81847E80-9DC9-4E00-8AA6-4D3AC38E88C2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52" name="Shape 14">
          <a:extLst>
            <a:ext uri="{FF2B5EF4-FFF2-40B4-BE49-F238E27FC236}">
              <a16:creationId xmlns:a16="http://schemas.microsoft.com/office/drawing/2014/main" id="{2DF960B9-E763-46A1-878C-C4239A1A3FB9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53" name="Shape 15">
          <a:extLst>
            <a:ext uri="{FF2B5EF4-FFF2-40B4-BE49-F238E27FC236}">
              <a16:creationId xmlns:a16="http://schemas.microsoft.com/office/drawing/2014/main" id="{B068E8D2-7A89-4B34-9114-B19078261E19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54" name="Shape 20">
          <a:extLst>
            <a:ext uri="{FF2B5EF4-FFF2-40B4-BE49-F238E27FC236}">
              <a16:creationId xmlns:a16="http://schemas.microsoft.com/office/drawing/2014/main" id="{ADD8A2CA-7785-41C3-8015-970E6E0F047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55" name="Shape 21">
          <a:extLst>
            <a:ext uri="{FF2B5EF4-FFF2-40B4-BE49-F238E27FC236}">
              <a16:creationId xmlns:a16="http://schemas.microsoft.com/office/drawing/2014/main" id="{1A10AAF6-8365-44B1-9297-4E19FC36057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56" name="Shape 22">
          <a:extLst>
            <a:ext uri="{FF2B5EF4-FFF2-40B4-BE49-F238E27FC236}">
              <a16:creationId xmlns:a16="http://schemas.microsoft.com/office/drawing/2014/main" id="{7FAF9BF5-BD98-4C63-891D-50F7820ABF78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57" name="Shape 23">
          <a:extLst>
            <a:ext uri="{FF2B5EF4-FFF2-40B4-BE49-F238E27FC236}">
              <a16:creationId xmlns:a16="http://schemas.microsoft.com/office/drawing/2014/main" id="{622C8E37-B377-4623-B8E1-70D26925CEC1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58" name="Shape 8">
          <a:extLst>
            <a:ext uri="{FF2B5EF4-FFF2-40B4-BE49-F238E27FC236}">
              <a16:creationId xmlns:a16="http://schemas.microsoft.com/office/drawing/2014/main" id="{479B6D9A-BD6E-41E0-838C-9F09D1979E7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59" name="Shape 9">
          <a:extLst>
            <a:ext uri="{FF2B5EF4-FFF2-40B4-BE49-F238E27FC236}">
              <a16:creationId xmlns:a16="http://schemas.microsoft.com/office/drawing/2014/main" id="{A8E52F88-0766-478F-8602-7E2871826963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60" name="Shape 10">
          <a:extLst>
            <a:ext uri="{FF2B5EF4-FFF2-40B4-BE49-F238E27FC236}">
              <a16:creationId xmlns:a16="http://schemas.microsoft.com/office/drawing/2014/main" id="{FD8ED0A5-738E-4998-8B8D-BAA27E188DB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61" name="Shape 11">
          <a:extLst>
            <a:ext uri="{FF2B5EF4-FFF2-40B4-BE49-F238E27FC236}">
              <a16:creationId xmlns:a16="http://schemas.microsoft.com/office/drawing/2014/main" id="{CCC421B6-ABDF-405A-8535-5D24ED3ABFFC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62" name="Shape 12">
          <a:extLst>
            <a:ext uri="{FF2B5EF4-FFF2-40B4-BE49-F238E27FC236}">
              <a16:creationId xmlns:a16="http://schemas.microsoft.com/office/drawing/2014/main" id="{0B1A3D1C-C6D9-4F15-AFEE-49D25692886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63" name="Shape 13">
          <a:extLst>
            <a:ext uri="{FF2B5EF4-FFF2-40B4-BE49-F238E27FC236}">
              <a16:creationId xmlns:a16="http://schemas.microsoft.com/office/drawing/2014/main" id="{637ADC3B-9B60-493B-B2FE-CDAD4315D6A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64" name="Shape 14">
          <a:extLst>
            <a:ext uri="{FF2B5EF4-FFF2-40B4-BE49-F238E27FC236}">
              <a16:creationId xmlns:a16="http://schemas.microsoft.com/office/drawing/2014/main" id="{E5FC6D82-E45E-4597-A4E4-B84EE3FC6D7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65" name="Shape 15">
          <a:extLst>
            <a:ext uri="{FF2B5EF4-FFF2-40B4-BE49-F238E27FC236}">
              <a16:creationId xmlns:a16="http://schemas.microsoft.com/office/drawing/2014/main" id="{F617CB5E-4A56-427F-B5EC-A80675903342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66" name="Shape 20">
          <a:extLst>
            <a:ext uri="{FF2B5EF4-FFF2-40B4-BE49-F238E27FC236}">
              <a16:creationId xmlns:a16="http://schemas.microsoft.com/office/drawing/2014/main" id="{58327112-2CC4-4D7D-8BAE-E10673F47CC8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67" name="Shape 21">
          <a:extLst>
            <a:ext uri="{FF2B5EF4-FFF2-40B4-BE49-F238E27FC236}">
              <a16:creationId xmlns:a16="http://schemas.microsoft.com/office/drawing/2014/main" id="{1CB295E0-A976-41F2-A27A-0037EDCB251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68" name="Shape 22">
          <a:extLst>
            <a:ext uri="{FF2B5EF4-FFF2-40B4-BE49-F238E27FC236}">
              <a16:creationId xmlns:a16="http://schemas.microsoft.com/office/drawing/2014/main" id="{209C1CFD-D462-4D21-87E7-390DBAACFCE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69" name="Shape 23">
          <a:extLst>
            <a:ext uri="{FF2B5EF4-FFF2-40B4-BE49-F238E27FC236}">
              <a16:creationId xmlns:a16="http://schemas.microsoft.com/office/drawing/2014/main" id="{8AEAFBDA-BFAA-4CF1-AC41-3BBAEEDA60E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70" name="Shape 8">
          <a:extLst>
            <a:ext uri="{FF2B5EF4-FFF2-40B4-BE49-F238E27FC236}">
              <a16:creationId xmlns:a16="http://schemas.microsoft.com/office/drawing/2014/main" id="{570E7595-D865-4C57-94D2-7B6C4A58998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71" name="Shape 9">
          <a:extLst>
            <a:ext uri="{FF2B5EF4-FFF2-40B4-BE49-F238E27FC236}">
              <a16:creationId xmlns:a16="http://schemas.microsoft.com/office/drawing/2014/main" id="{780D0AA3-2923-46FF-A39F-BE94B3FCE34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72" name="Shape 10">
          <a:extLst>
            <a:ext uri="{FF2B5EF4-FFF2-40B4-BE49-F238E27FC236}">
              <a16:creationId xmlns:a16="http://schemas.microsoft.com/office/drawing/2014/main" id="{AB7AE43A-A0B4-4DB7-AA93-D1047E1DC7C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73" name="Shape 11">
          <a:extLst>
            <a:ext uri="{FF2B5EF4-FFF2-40B4-BE49-F238E27FC236}">
              <a16:creationId xmlns:a16="http://schemas.microsoft.com/office/drawing/2014/main" id="{702DD9F5-02D2-4B01-B0F6-22E4240B670F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74" name="Shape 12">
          <a:extLst>
            <a:ext uri="{FF2B5EF4-FFF2-40B4-BE49-F238E27FC236}">
              <a16:creationId xmlns:a16="http://schemas.microsoft.com/office/drawing/2014/main" id="{34D60968-0010-435B-91C3-B0A7A648CEB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75" name="Shape 13">
          <a:extLst>
            <a:ext uri="{FF2B5EF4-FFF2-40B4-BE49-F238E27FC236}">
              <a16:creationId xmlns:a16="http://schemas.microsoft.com/office/drawing/2014/main" id="{DA204A91-2938-41E2-8DA6-F4EFB5A7669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76" name="Shape 14">
          <a:extLst>
            <a:ext uri="{FF2B5EF4-FFF2-40B4-BE49-F238E27FC236}">
              <a16:creationId xmlns:a16="http://schemas.microsoft.com/office/drawing/2014/main" id="{78832205-ABD5-4BFF-8BDA-20A475E7C380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77" name="Shape 15">
          <a:extLst>
            <a:ext uri="{FF2B5EF4-FFF2-40B4-BE49-F238E27FC236}">
              <a16:creationId xmlns:a16="http://schemas.microsoft.com/office/drawing/2014/main" id="{996D9364-BB76-4332-90FC-4588F4A36AA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78" name="Shape 20">
          <a:extLst>
            <a:ext uri="{FF2B5EF4-FFF2-40B4-BE49-F238E27FC236}">
              <a16:creationId xmlns:a16="http://schemas.microsoft.com/office/drawing/2014/main" id="{9539626B-E64E-48D1-BCA0-1412C3B1B9F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79" name="Shape 21">
          <a:extLst>
            <a:ext uri="{FF2B5EF4-FFF2-40B4-BE49-F238E27FC236}">
              <a16:creationId xmlns:a16="http://schemas.microsoft.com/office/drawing/2014/main" id="{CB585F05-5EFF-46E9-A047-4DC3689E67C7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80" name="Shape 22">
          <a:extLst>
            <a:ext uri="{FF2B5EF4-FFF2-40B4-BE49-F238E27FC236}">
              <a16:creationId xmlns:a16="http://schemas.microsoft.com/office/drawing/2014/main" id="{6E05A267-327A-4183-8F07-D3A3D512336A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81" name="Shape 23">
          <a:extLst>
            <a:ext uri="{FF2B5EF4-FFF2-40B4-BE49-F238E27FC236}">
              <a16:creationId xmlns:a16="http://schemas.microsoft.com/office/drawing/2014/main" id="{17EA8CFB-7F81-41D7-A041-9DAC6708588C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82" name="Shape 8">
          <a:extLst>
            <a:ext uri="{FF2B5EF4-FFF2-40B4-BE49-F238E27FC236}">
              <a16:creationId xmlns:a16="http://schemas.microsoft.com/office/drawing/2014/main" id="{D7F0D320-357B-4B25-87C9-3D148B2B1EDB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83" name="Shape 9">
          <a:extLst>
            <a:ext uri="{FF2B5EF4-FFF2-40B4-BE49-F238E27FC236}">
              <a16:creationId xmlns:a16="http://schemas.microsoft.com/office/drawing/2014/main" id="{996046B2-A8DF-4FEC-AA9F-77BD38BCC19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84" name="Shape 10">
          <a:extLst>
            <a:ext uri="{FF2B5EF4-FFF2-40B4-BE49-F238E27FC236}">
              <a16:creationId xmlns:a16="http://schemas.microsoft.com/office/drawing/2014/main" id="{5704CC67-A3F9-4459-9E5C-92E09DC5EEB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85" name="Shape 11">
          <a:extLst>
            <a:ext uri="{FF2B5EF4-FFF2-40B4-BE49-F238E27FC236}">
              <a16:creationId xmlns:a16="http://schemas.microsoft.com/office/drawing/2014/main" id="{BF4918F0-9F5F-4772-AD2C-E06F5B9C0688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86" name="Shape 12">
          <a:extLst>
            <a:ext uri="{FF2B5EF4-FFF2-40B4-BE49-F238E27FC236}">
              <a16:creationId xmlns:a16="http://schemas.microsoft.com/office/drawing/2014/main" id="{838C206B-87DD-46E2-8254-826CD2D6C1CD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87" name="Shape 13">
          <a:extLst>
            <a:ext uri="{FF2B5EF4-FFF2-40B4-BE49-F238E27FC236}">
              <a16:creationId xmlns:a16="http://schemas.microsoft.com/office/drawing/2014/main" id="{481E2772-B29A-43A4-A9ED-27CBBB6318C9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88" name="Shape 14">
          <a:extLst>
            <a:ext uri="{FF2B5EF4-FFF2-40B4-BE49-F238E27FC236}">
              <a16:creationId xmlns:a16="http://schemas.microsoft.com/office/drawing/2014/main" id="{A20384A1-4777-434F-BE7F-B49793F8A08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89" name="Shape 15">
          <a:extLst>
            <a:ext uri="{FF2B5EF4-FFF2-40B4-BE49-F238E27FC236}">
              <a16:creationId xmlns:a16="http://schemas.microsoft.com/office/drawing/2014/main" id="{38996088-AD96-4DF1-921D-49952E8785E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90" name="Shape 20">
          <a:extLst>
            <a:ext uri="{FF2B5EF4-FFF2-40B4-BE49-F238E27FC236}">
              <a16:creationId xmlns:a16="http://schemas.microsoft.com/office/drawing/2014/main" id="{FE79FCD6-E805-4718-9C32-4657B3A6CC0F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91" name="Shape 21">
          <a:extLst>
            <a:ext uri="{FF2B5EF4-FFF2-40B4-BE49-F238E27FC236}">
              <a16:creationId xmlns:a16="http://schemas.microsoft.com/office/drawing/2014/main" id="{88FD8818-E362-4BD9-B073-B973012024F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92" name="Shape 22">
          <a:extLst>
            <a:ext uri="{FF2B5EF4-FFF2-40B4-BE49-F238E27FC236}">
              <a16:creationId xmlns:a16="http://schemas.microsoft.com/office/drawing/2014/main" id="{EB7BB295-11FA-4191-A2BC-295B3884BE60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93" name="Shape 23">
          <a:extLst>
            <a:ext uri="{FF2B5EF4-FFF2-40B4-BE49-F238E27FC236}">
              <a16:creationId xmlns:a16="http://schemas.microsoft.com/office/drawing/2014/main" id="{E5583E49-2A3E-4C0D-8B90-20EB606514C6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94" name="Shape 8">
          <a:extLst>
            <a:ext uri="{FF2B5EF4-FFF2-40B4-BE49-F238E27FC236}">
              <a16:creationId xmlns:a16="http://schemas.microsoft.com/office/drawing/2014/main" id="{ADC32D8E-C78C-4372-8ED3-D117BFA63D25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95" name="Shape 9">
          <a:extLst>
            <a:ext uri="{FF2B5EF4-FFF2-40B4-BE49-F238E27FC236}">
              <a16:creationId xmlns:a16="http://schemas.microsoft.com/office/drawing/2014/main" id="{E8BFBC16-0232-4830-AEC6-49D0027D668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96" name="Shape 10">
          <a:extLst>
            <a:ext uri="{FF2B5EF4-FFF2-40B4-BE49-F238E27FC236}">
              <a16:creationId xmlns:a16="http://schemas.microsoft.com/office/drawing/2014/main" id="{F5E5897C-9CAD-4DD1-BDFE-C49DF0BE7D03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97" name="Shape 11">
          <a:extLst>
            <a:ext uri="{FF2B5EF4-FFF2-40B4-BE49-F238E27FC236}">
              <a16:creationId xmlns:a16="http://schemas.microsoft.com/office/drawing/2014/main" id="{375C922E-CCCB-4E1E-AC53-00AF86683243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298" name="Shape 12">
          <a:extLst>
            <a:ext uri="{FF2B5EF4-FFF2-40B4-BE49-F238E27FC236}">
              <a16:creationId xmlns:a16="http://schemas.microsoft.com/office/drawing/2014/main" id="{2C066D7B-DC94-4444-A8B9-08E133100067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299" name="Shape 13">
          <a:extLst>
            <a:ext uri="{FF2B5EF4-FFF2-40B4-BE49-F238E27FC236}">
              <a16:creationId xmlns:a16="http://schemas.microsoft.com/office/drawing/2014/main" id="{7A14EDBD-765E-40E8-9374-F5B35E63634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00" name="Shape 14">
          <a:extLst>
            <a:ext uri="{FF2B5EF4-FFF2-40B4-BE49-F238E27FC236}">
              <a16:creationId xmlns:a16="http://schemas.microsoft.com/office/drawing/2014/main" id="{8EDFC458-72E0-48D1-8EB1-DD6A02B18C36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01" name="Shape 15">
          <a:extLst>
            <a:ext uri="{FF2B5EF4-FFF2-40B4-BE49-F238E27FC236}">
              <a16:creationId xmlns:a16="http://schemas.microsoft.com/office/drawing/2014/main" id="{AC6A8751-B3A5-452F-9910-EC92E259E18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02" name="Shape 20">
          <a:extLst>
            <a:ext uri="{FF2B5EF4-FFF2-40B4-BE49-F238E27FC236}">
              <a16:creationId xmlns:a16="http://schemas.microsoft.com/office/drawing/2014/main" id="{E542D343-161C-4D63-BFAC-61EA804CC6E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03" name="Shape 21">
          <a:extLst>
            <a:ext uri="{FF2B5EF4-FFF2-40B4-BE49-F238E27FC236}">
              <a16:creationId xmlns:a16="http://schemas.microsoft.com/office/drawing/2014/main" id="{F6E423DB-36BF-48B7-8A35-F1900BCE9DE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04" name="Shape 22">
          <a:extLst>
            <a:ext uri="{FF2B5EF4-FFF2-40B4-BE49-F238E27FC236}">
              <a16:creationId xmlns:a16="http://schemas.microsoft.com/office/drawing/2014/main" id="{BD75F310-2386-45F0-B345-84564B4730AC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05" name="Shape 23">
          <a:extLst>
            <a:ext uri="{FF2B5EF4-FFF2-40B4-BE49-F238E27FC236}">
              <a16:creationId xmlns:a16="http://schemas.microsoft.com/office/drawing/2014/main" id="{14A1084D-DEBF-4E3D-97D4-E36B65015000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06" name="Shape 8">
          <a:extLst>
            <a:ext uri="{FF2B5EF4-FFF2-40B4-BE49-F238E27FC236}">
              <a16:creationId xmlns:a16="http://schemas.microsoft.com/office/drawing/2014/main" id="{EF4EE04C-7E0A-4F18-85AD-DFE4A89EF1B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07" name="Shape 9">
          <a:extLst>
            <a:ext uri="{FF2B5EF4-FFF2-40B4-BE49-F238E27FC236}">
              <a16:creationId xmlns:a16="http://schemas.microsoft.com/office/drawing/2014/main" id="{D0CE9030-0B6A-4D86-A3B1-6F0AA24DB4CD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08" name="Shape 10">
          <a:extLst>
            <a:ext uri="{FF2B5EF4-FFF2-40B4-BE49-F238E27FC236}">
              <a16:creationId xmlns:a16="http://schemas.microsoft.com/office/drawing/2014/main" id="{7EEEAE36-CB5D-45BB-B954-B6C7E256726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09" name="Shape 11">
          <a:extLst>
            <a:ext uri="{FF2B5EF4-FFF2-40B4-BE49-F238E27FC236}">
              <a16:creationId xmlns:a16="http://schemas.microsoft.com/office/drawing/2014/main" id="{7E33E221-E6C9-4717-A4AC-768843F48786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10" name="Shape 12">
          <a:extLst>
            <a:ext uri="{FF2B5EF4-FFF2-40B4-BE49-F238E27FC236}">
              <a16:creationId xmlns:a16="http://schemas.microsoft.com/office/drawing/2014/main" id="{51E06CB3-17FC-4EC2-9819-D1807620DF8E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11" name="Shape 13">
          <a:extLst>
            <a:ext uri="{FF2B5EF4-FFF2-40B4-BE49-F238E27FC236}">
              <a16:creationId xmlns:a16="http://schemas.microsoft.com/office/drawing/2014/main" id="{FB316E3B-838C-438D-A6DB-397469278427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12" name="Shape 14">
          <a:extLst>
            <a:ext uri="{FF2B5EF4-FFF2-40B4-BE49-F238E27FC236}">
              <a16:creationId xmlns:a16="http://schemas.microsoft.com/office/drawing/2014/main" id="{B0D5C867-A576-4B9E-BA2C-0E35EDCAEEB9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13" name="Shape 15">
          <a:extLst>
            <a:ext uri="{FF2B5EF4-FFF2-40B4-BE49-F238E27FC236}">
              <a16:creationId xmlns:a16="http://schemas.microsoft.com/office/drawing/2014/main" id="{763824D4-2488-4F61-88F4-EDC482C4F6FA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14" name="Shape 20">
          <a:extLst>
            <a:ext uri="{FF2B5EF4-FFF2-40B4-BE49-F238E27FC236}">
              <a16:creationId xmlns:a16="http://schemas.microsoft.com/office/drawing/2014/main" id="{E81904DC-EFAB-4910-8E60-7F575549E6EC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15" name="Shape 21">
          <a:extLst>
            <a:ext uri="{FF2B5EF4-FFF2-40B4-BE49-F238E27FC236}">
              <a16:creationId xmlns:a16="http://schemas.microsoft.com/office/drawing/2014/main" id="{A7865F5C-A9B1-4431-8E87-E187BCFA65DF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16" name="Shape 22">
          <a:extLst>
            <a:ext uri="{FF2B5EF4-FFF2-40B4-BE49-F238E27FC236}">
              <a16:creationId xmlns:a16="http://schemas.microsoft.com/office/drawing/2014/main" id="{7312D904-D776-4961-BF68-F5F10BCFC394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17" name="Shape 23">
          <a:extLst>
            <a:ext uri="{FF2B5EF4-FFF2-40B4-BE49-F238E27FC236}">
              <a16:creationId xmlns:a16="http://schemas.microsoft.com/office/drawing/2014/main" id="{F25F450D-9BFD-4E6A-A80E-6F2E82A5F945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34925</xdr:rowOff>
    </xdr:to>
    <xdr:sp macro="" textlink="">
      <xdr:nvSpPr>
        <xdr:cNvPr id="318" name="Shape 24">
          <a:extLst>
            <a:ext uri="{FF2B5EF4-FFF2-40B4-BE49-F238E27FC236}">
              <a16:creationId xmlns:a16="http://schemas.microsoft.com/office/drawing/2014/main" id="{69CBE0EB-8AC4-4367-A8BC-3E3C29B15271}"/>
            </a:ext>
          </a:extLst>
        </xdr:cNvPr>
        <xdr:cNvSpPr/>
      </xdr:nvSpPr>
      <xdr:spPr>
        <a:xfrm>
          <a:off x="1722755" y="561975"/>
          <a:ext cx="451485" cy="3492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34925</xdr:rowOff>
    </xdr:to>
    <xdr:sp macro="" textlink="">
      <xdr:nvSpPr>
        <xdr:cNvPr id="319" name="Shape 25">
          <a:extLst>
            <a:ext uri="{FF2B5EF4-FFF2-40B4-BE49-F238E27FC236}">
              <a16:creationId xmlns:a16="http://schemas.microsoft.com/office/drawing/2014/main" id="{D1A48284-92A9-4E56-B558-41FAF877130B}"/>
            </a:ext>
          </a:extLst>
        </xdr:cNvPr>
        <xdr:cNvSpPr/>
      </xdr:nvSpPr>
      <xdr:spPr>
        <a:xfrm>
          <a:off x="511492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320" name="Shape 8">
          <a:extLst>
            <a:ext uri="{FF2B5EF4-FFF2-40B4-BE49-F238E27FC236}">
              <a16:creationId xmlns:a16="http://schemas.microsoft.com/office/drawing/2014/main" id="{9B721B94-28C8-43BA-A944-7F22464807FA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321" name="Shape 9">
          <a:extLst>
            <a:ext uri="{FF2B5EF4-FFF2-40B4-BE49-F238E27FC236}">
              <a16:creationId xmlns:a16="http://schemas.microsoft.com/office/drawing/2014/main" id="{6C9FD185-1904-49D4-BFBE-9F7560B45AD8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22" name="Shape 10">
          <a:extLst>
            <a:ext uri="{FF2B5EF4-FFF2-40B4-BE49-F238E27FC236}">
              <a16:creationId xmlns:a16="http://schemas.microsoft.com/office/drawing/2014/main" id="{B4AFE0E3-E1B7-4352-BFC3-A11881A01F23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23" name="Shape 11">
          <a:extLst>
            <a:ext uri="{FF2B5EF4-FFF2-40B4-BE49-F238E27FC236}">
              <a16:creationId xmlns:a16="http://schemas.microsoft.com/office/drawing/2014/main" id="{828D93A6-7832-4C3A-B19F-915F072673ED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24" name="Shape 12">
          <a:extLst>
            <a:ext uri="{FF2B5EF4-FFF2-40B4-BE49-F238E27FC236}">
              <a16:creationId xmlns:a16="http://schemas.microsoft.com/office/drawing/2014/main" id="{9BE13CDD-3C1A-4835-86C5-353C0D8245C8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25" name="Shape 13">
          <a:extLst>
            <a:ext uri="{FF2B5EF4-FFF2-40B4-BE49-F238E27FC236}">
              <a16:creationId xmlns:a16="http://schemas.microsoft.com/office/drawing/2014/main" id="{3787C828-E1D8-4F0D-B7A2-B80A8862C7C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326" name="Shape 14">
          <a:extLst>
            <a:ext uri="{FF2B5EF4-FFF2-40B4-BE49-F238E27FC236}">
              <a16:creationId xmlns:a16="http://schemas.microsoft.com/office/drawing/2014/main" id="{3E73991D-347E-4215-9B06-2D938084FE50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327" name="Shape 15">
          <a:extLst>
            <a:ext uri="{FF2B5EF4-FFF2-40B4-BE49-F238E27FC236}">
              <a16:creationId xmlns:a16="http://schemas.microsoft.com/office/drawing/2014/main" id="{FAAE3C75-4472-45E9-922E-1072B096F4E5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328" name="Shape 20">
          <a:extLst>
            <a:ext uri="{FF2B5EF4-FFF2-40B4-BE49-F238E27FC236}">
              <a16:creationId xmlns:a16="http://schemas.microsoft.com/office/drawing/2014/main" id="{D105EE32-D2CF-4CB4-9386-8BA7AEC4947B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329" name="Shape 21">
          <a:extLst>
            <a:ext uri="{FF2B5EF4-FFF2-40B4-BE49-F238E27FC236}">
              <a16:creationId xmlns:a16="http://schemas.microsoft.com/office/drawing/2014/main" id="{9AAD53F5-16CC-472D-B574-D9EE469F9E7D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30" name="Shape 22">
          <a:extLst>
            <a:ext uri="{FF2B5EF4-FFF2-40B4-BE49-F238E27FC236}">
              <a16:creationId xmlns:a16="http://schemas.microsoft.com/office/drawing/2014/main" id="{58745E1F-E194-473C-9F8C-AF0D6CEBA682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31" name="Shape 23">
          <a:extLst>
            <a:ext uri="{FF2B5EF4-FFF2-40B4-BE49-F238E27FC236}">
              <a16:creationId xmlns:a16="http://schemas.microsoft.com/office/drawing/2014/main" id="{1FC1C18E-AC21-443B-BACC-209ACC845563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104775</xdr:rowOff>
    </xdr:to>
    <xdr:sp macro="" textlink="">
      <xdr:nvSpPr>
        <xdr:cNvPr id="332" name="Shape 24">
          <a:extLst>
            <a:ext uri="{FF2B5EF4-FFF2-40B4-BE49-F238E27FC236}">
              <a16:creationId xmlns:a16="http://schemas.microsoft.com/office/drawing/2014/main" id="{CBD27A50-9CB0-41AE-A17C-04B1179E8CC2}"/>
            </a:ext>
          </a:extLst>
        </xdr:cNvPr>
        <xdr:cNvSpPr/>
      </xdr:nvSpPr>
      <xdr:spPr>
        <a:xfrm>
          <a:off x="1722755" y="561975"/>
          <a:ext cx="451485" cy="104775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104775</xdr:rowOff>
    </xdr:to>
    <xdr:sp macro="" textlink="">
      <xdr:nvSpPr>
        <xdr:cNvPr id="333" name="Shape 25">
          <a:extLst>
            <a:ext uri="{FF2B5EF4-FFF2-40B4-BE49-F238E27FC236}">
              <a16:creationId xmlns:a16="http://schemas.microsoft.com/office/drawing/2014/main" id="{3C828465-02C7-40DF-83F0-066645AAB46A}"/>
            </a:ext>
          </a:extLst>
        </xdr:cNvPr>
        <xdr:cNvSpPr/>
      </xdr:nvSpPr>
      <xdr:spPr>
        <a:xfrm>
          <a:off x="511492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34" name="Shape 8">
          <a:extLst>
            <a:ext uri="{FF2B5EF4-FFF2-40B4-BE49-F238E27FC236}">
              <a16:creationId xmlns:a16="http://schemas.microsoft.com/office/drawing/2014/main" id="{BB41FB2E-4F90-4C1F-AF72-CDC30DE6E7D5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35" name="Shape 9">
          <a:extLst>
            <a:ext uri="{FF2B5EF4-FFF2-40B4-BE49-F238E27FC236}">
              <a16:creationId xmlns:a16="http://schemas.microsoft.com/office/drawing/2014/main" id="{6E12C81F-EEBE-44D0-BE54-C95C2912CFB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36" name="Shape 10">
          <a:extLst>
            <a:ext uri="{FF2B5EF4-FFF2-40B4-BE49-F238E27FC236}">
              <a16:creationId xmlns:a16="http://schemas.microsoft.com/office/drawing/2014/main" id="{27ED7D70-24AA-4B92-A3F6-52E6D29E5D90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37" name="Shape 11">
          <a:extLst>
            <a:ext uri="{FF2B5EF4-FFF2-40B4-BE49-F238E27FC236}">
              <a16:creationId xmlns:a16="http://schemas.microsoft.com/office/drawing/2014/main" id="{A1195704-0022-41B5-8F34-57A8E104F1A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38" name="Shape 12">
          <a:extLst>
            <a:ext uri="{FF2B5EF4-FFF2-40B4-BE49-F238E27FC236}">
              <a16:creationId xmlns:a16="http://schemas.microsoft.com/office/drawing/2014/main" id="{8D4D17A1-39A1-4E60-A239-596C9E59A37B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39" name="Shape 13">
          <a:extLst>
            <a:ext uri="{FF2B5EF4-FFF2-40B4-BE49-F238E27FC236}">
              <a16:creationId xmlns:a16="http://schemas.microsoft.com/office/drawing/2014/main" id="{5B339E2A-6CF1-4214-B36F-615227933748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40" name="Shape 14">
          <a:extLst>
            <a:ext uri="{FF2B5EF4-FFF2-40B4-BE49-F238E27FC236}">
              <a16:creationId xmlns:a16="http://schemas.microsoft.com/office/drawing/2014/main" id="{85CF8573-FE3F-4F02-9279-F35DDD6D1EB9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41" name="Shape 15">
          <a:extLst>
            <a:ext uri="{FF2B5EF4-FFF2-40B4-BE49-F238E27FC236}">
              <a16:creationId xmlns:a16="http://schemas.microsoft.com/office/drawing/2014/main" id="{EBE340B3-22D6-48B9-80B4-71A3ACE9E4A0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42" name="Shape 20">
          <a:extLst>
            <a:ext uri="{FF2B5EF4-FFF2-40B4-BE49-F238E27FC236}">
              <a16:creationId xmlns:a16="http://schemas.microsoft.com/office/drawing/2014/main" id="{EC837ED5-7B53-4B0C-AB51-8AC3B9E36FD1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43" name="Shape 21">
          <a:extLst>
            <a:ext uri="{FF2B5EF4-FFF2-40B4-BE49-F238E27FC236}">
              <a16:creationId xmlns:a16="http://schemas.microsoft.com/office/drawing/2014/main" id="{7829990C-56B2-4367-A97F-3CC2D390ACAF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44" name="Shape 22">
          <a:extLst>
            <a:ext uri="{FF2B5EF4-FFF2-40B4-BE49-F238E27FC236}">
              <a16:creationId xmlns:a16="http://schemas.microsoft.com/office/drawing/2014/main" id="{D4296264-03EA-4589-8B1A-29D17E3BBBD1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45" name="Shape 23">
          <a:extLst>
            <a:ext uri="{FF2B5EF4-FFF2-40B4-BE49-F238E27FC236}">
              <a16:creationId xmlns:a16="http://schemas.microsoft.com/office/drawing/2014/main" id="{67B1B436-48A5-4373-8154-89B2349014D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46" name="Shape 24">
          <a:extLst>
            <a:ext uri="{FF2B5EF4-FFF2-40B4-BE49-F238E27FC236}">
              <a16:creationId xmlns:a16="http://schemas.microsoft.com/office/drawing/2014/main" id="{4B1D0E85-69D7-4638-A3D4-536588367565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47" name="Shape 25">
          <a:extLst>
            <a:ext uri="{FF2B5EF4-FFF2-40B4-BE49-F238E27FC236}">
              <a16:creationId xmlns:a16="http://schemas.microsoft.com/office/drawing/2014/main" id="{C9CC8694-9950-49AA-924D-1E88DA3FD791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48" name="Shape 8">
          <a:extLst>
            <a:ext uri="{FF2B5EF4-FFF2-40B4-BE49-F238E27FC236}">
              <a16:creationId xmlns:a16="http://schemas.microsoft.com/office/drawing/2014/main" id="{B65500EB-6573-402E-8737-60F5E5C1996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49" name="Shape 9">
          <a:extLst>
            <a:ext uri="{FF2B5EF4-FFF2-40B4-BE49-F238E27FC236}">
              <a16:creationId xmlns:a16="http://schemas.microsoft.com/office/drawing/2014/main" id="{5C5063C0-34A5-4606-AD47-B0414E280E1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50" name="Shape 10">
          <a:extLst>
            <a:ext uri="{FF2B5EF4-FFF2-40B4-BE49-F238E27FC236}">
              <a16:creationId xmlns:a16="http://schemas.microsoft.com/office/drawing/2014/main" id="{FEB39EC3-709A-45C3-AC2F-8B1618F2766A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51" name="Shape 11">
          <a:extLst>
            <a:ext uri="{FF2B5EF4-FFF2-40B4-BE49-F238E27FC236}">
              <a16:creationId xmlns:a16="http://schemas.microsoft.com/office/drawing/2014/main" id="{76E9C418-F5B1-45BD-8AB7-6A9503F10E6C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52" name="Shape 12">
          <a:extLst>
            <a:ext uri="{FF2B5EF4-FFF2-40B4-BE49-F238E27FC236}">
              <a16:creationId xmlns:a16="http://schemas.microsoft.com/office/drawing/2014/main" id="{1642D699-276C-4A06-B565-10E0E09CDDD7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8D566051-995D-4635-BB27-826FB4C38B5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54" name="Shape 14">
          <a:extLst>
            <a:ext uri="{FF2B5EF4-FFF2-40B4-BE49-F238E27FC236}">
              <a16:creationId xmlns:a16="http://schemas.microsoft.com/office/drawing/2014/main" id="{852C6CEE-0609-4CFB-88C0-2ECA784B95CC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55" name="Shape 15">
          <a:extLst>
            <a:ext uri="{FF2B5EF4-FFF2-40B4-BE49-F238E27FC236}">
              <a16:creationId xmlns:a16="http://schemas.microsoft.com/office/drawing/2014/main" id="{90B5E0B7-12F2-46F2-BBB9-06A761464365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56" name="Shape 20">
          <a:extLst>
            <a:ext uri="{FF2B5EF4-FFF2-40B4-BE49-F238E27FC236}">
              <a16:creationId xmlns:a16="http://schemas.microsoft.com/office/drawing/2014/main" id="{153B4984-26A7-474E-925C-77E8ABB50DAE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57" name="Shape 21">
          <a:extLst>
            <a:ext uri="{FF2B5EF4-FFF2-40B4-BE49-F238E27FC236}">
              <a16:creationId xmlns:a16="http://schemas.microsoft.com/office/drawing/2014/main" id="{6DD7AA3E-E1F5-4F5C-8D10-B67CE2E1A199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58" name="Shape 22">
          <a:extLst>
            <a:ext uri="{FF2B5EF4-FFF2-40B4-BE49-F238E27FC236}">
              <a16:creationId xmlns:a16="http://schemas.microsoft.com/office/drawing/2014/main" id="{8D33C47A-D3E1-45ED-B9AF-E4BDACF13419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59" name="Shape 23">
          <a:extLst>
            <a:ext uri="{FF2B5EF4-FFF2-40B4-BE49-F238E27FC236}">
              <a16:creationId xmlns:a16="http://schemas.microsoft.com/office/drawing/2014/main" id="{8736EBA6-62F3-4C97-9E36-00413D5EDEE2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2</xdr:col>
      <xdr:colOff>106680</xdr:colOff>
      <xdr:row>3</xdr:row>
      <xdr:rowOff>0</xdr:rowOff>
    </xdr:from>
    <xdr:to>
      <xdr:col>2</xdr:col>
      <xdr:colOff>558165</xdr:colOff>
      <xdr:row>3</xdr:row>
      <xdr:rowOff>69850</xdr:rowOff>
    </xdr:to>
    <xdr:sp macro="" textlink="">
      <xdr:nvSpPr>
        <xdr:cNvPr id="360" name="Shape 24">
          <a:extLst>
            <a:ext uri="{FF2B5EF4-FFF2-40B4-BE49-F238E27FC236}">
              <a16:creationId xmlns:a16="http://schemas.microsoft.com/office/drawing/2014/main" id="{8C53243C-3174-45E4-BAED-C68421B5DF16}"/>
            </a:ext>
          </a:extLst>
        </xdr:cNvPr>
        <xdr:cNvSpPr/>
      </xdr:nvSpPr>
      <xdr:spPr>
        <a:xfrm>
          <a:off x="1722755" y="561975"/>
          <a:ext cx="451485" cy="6985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71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473710</xdr:colOff>
      <xdr:row>3</xdr:row>
      <xdr:rowOff>69850</xdr:rowOff>
    </xdr:to>
    <xdr:sp macro="" textlink="">
      <xdr:nvSpPr>
        <xdr:cNvPr id="361" name="Shape 25">
          <a:extLst>
            <a:ext uri="{FF2B5EF4-FFF2-40B4-BE49-F238E27FC236}">
              <a16:creationId xmlns:a16="http://schemas.microsoft.com/office/drawing/2014/main" id="{CD90DDD1-EBAB-46AB-BB56-968E1C6E600E}"/>
            </a:ext>
          </a:extLst>
        </xdr:cNvPr>
        <xdr:cNvSpPr/>
      </xdr:nvSpPr>
      <xdr:spPr>
        <a:xfrm>
          <a:off x="511492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two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2" name="Shape 9">
          <a:extLst>
            <a:ext uri="{FF2B5EF4-FFF2-40B4-BE49-F238E27FC236}">
              <a16:creationId xmlns:a16="http://schemas.microsoft.com/office/drawing/2014/main" id="{5A0F67F4-19DE-4D47-B742-57AFB6A1181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3" name="Shape 11">
          <a:extLst>
            <a:ext uri="{FF2B5EF4-FFF2-40B4-BE49-F238E27FC236}">
              <a16:creationId xmlns:a16="http://schemas.microsoft.com/office/drawing/2014/main" id="{B659FFBE-B746-4EFB-9591-301DBB095BA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4" name="Shape 13">
          <a:extLst>
            <a:ext uri="{FF2B5EF4-FFF2-40B4-BE49-F238E27FC236}">
              <a16:creationId xmlns:a16="http://schemas.microsoft.com/office/drawing/2014/main" id="{4566B6DC-5576-410D-96A9-2EF048E727BC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5" name="Shape 15">
          <a:extLst>
            <a:ext uri="{FF2B5EF4-FFF2-40B4-BE49-F238E27FC236}">
              <a16:creationId xmlns:a16="http://schemas.microsoft.com/office/drawing/2014/main" id="{7518A813-7739-4875-94F0-877C6FD0DA8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6" name="Shape 17">
          <a:extLst>
            <a:ext uri="{FF2B5EF4-FFF2-40B4-BE49-F238E27FC236}">
              <a16:creationId xmlns:a16="http://schemas.microsoft.com/office/drawing/2014/main" id="{DC4ED54E-1AF3-44EC-AB7F-EAEE3477B9F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7" name="Shape 19">
          <a:extLst>
            <a:ext uri="{FF2B5EF4-FFF2-40B4-BE49-F238E27FC236}">
              <a16:creationId xmlns:a16="http://schemas.microsoft.com/office/drawing/2014/main" id="{88906D33-0D85-4FCD-81BE-A90BBE6CA9C4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8" name="Shape 21">
          <a:extLst>
            <a:ext uri="{FF2B5EF4-FFF2-40B4-BE49-F238E27FC236}">
              <a16:creationId xmlns:a16="http://schemas.microsoft.com/office/drawing/2014/main" id="{21299FD6-166C-42AC-89D5-1EBA0F479B99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69" name="Shape 23">
          <a:extLst>
            <a:ext uri="{FF2B5EF4-FFF2-40B4-BE49-F238E27FC236}">
              <a16:creationId xmlns:a16="http://schemas.microsoft.com/office/drawing/2014/main" id="{72820F6A-6A42-4D0B-BD5F-C8AFAC3BA71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0" name="Shape 9">
          <a:extLst>
            <a:ext uri="{FF2B5EF4-FFF2-40B4-BE49-F238E27FC236}">
              <a16:creationId xmlns:a16="http://schemas.microsoft.com/office/drawing/2014/main" id="{38052BA5-C3BB-4626-AB10-C0307B823981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1" name="Shape 11">
          <a:extLst>
            <a:ext uri="{FF2B5EF4-FFF2-40B4-BE49-F238E27FC236}">
              <a16:creationId xmlns:a16="http://schemas.microsoft.com/office/drawing/2014/main" id="{E6AF3423-1970-479E-B529-C4D66B0343C5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2" name="Shape 13">
          <a:extLst>
            <a:ext uri="{FF2B5EF4-FFF2-40B4-BE49-F238E27FC236}">
              <a16:creationId xmlns:a16="http://schemas.microsoft.com/office/drawing/2014/main" id="{A6866E16-E91C-456E-9E9B-A40BA4D15A3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3" name="Shape 15">
          <a:extLst>
            <a:ext uri="{FF2B5EF4-FFF2-40B4-BE49-F238E27FC236}">
              <a16:creationId xmlns:a16="http://schemas.microsoft.com/office/drawing/2014/main" id="{8E9164B5-F32A-487C-9E44-EE750EFF7C9C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4" name="Shape 17">
          <a:extLst>
            <a:ext uri="{FF2B5EF4-FFF2-40B4-BE49-F238E27FC236}">
              <a16:creationId xmlns:a16="http://schemas.microsoft.com/office/drawing/2014/main" id="{C1753298-57F8-4B49-813C-DDD87826339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5" name="Shape 19">
          <a:extLst>
            <a:ext uri="{FF2B5EF4-FFF2-40B4-BE49-F238E27FC236}">
              <a16:creationId xmlns:a16="http://schemas.microsoft.com/office/drawing/2014/main" id="{3ADB10A4-0D4D-4B87-BF86-93CC2B94B6C5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6" name="Shape 21">
          <a:extLst>
            <a:ext uri="{FF2B5EF4-FFF2-40B4-BE49-F238E27FC236}">
              <a16:creationId xmlns:a16="http://schemas.microsoft.com/office/drawing/2014/main" id="{861709D4-079B-4941-A87F-7549ECB912B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7" name="Shape 23">
          <a:extLst>
            <a:ext uri="{FF2B5EF4-FFF2-40B4-BE49-F238E27FC236}">
              <a16:creationId xmlns:a16="http://schemas.microsoft.com/office/drawing/2014/main" id="{E722A39F-8876-40DF-AEC1-8D8AAD740AF7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8" name="Shape 9">
          <a:extLst>
            <a:ext uri="{FF2B5EF4-FFF2-40B4-BE49-F238E27FC236}">
              <a16:creationId xmlns:a16="http://schemas.microsoft.com/office/drawing/2014/main" id="{516020AF-00D6-47FD-824A-82056682D822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79" name="Shape 11">
          <a:extLst>
            <a:ext uri="{FF2B5EF4-FFF2-40B4-BE49-F238E27FC236}">
              <a16:creationId xmlns:a16="http://schemas.microsoft.com/office/drawing/2014/main" id="{FF0CD173-5F62-4C46-A993-CAEBC3E177FB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67BC91E7-3EC8-47A7-BD45-1491FE92AAC9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1" name="Shape 15">
          <a:extLst>
            <a:ext uri="{FF2B5EF4-FFF2-40B4-BE49-F238E27FC236}">
              <a16:creationId xmlns:a16="http://schemas.microsoft.com/office/drawing/2014/main" id="{7AF68826-D92D-4174-A921-1D021E6E2F35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2" name="Shape 17">
          <a:extLst>
            <a:ext uri="{FF2B5EF4-FFF2-40B4-BE49-F238E27FC236}">
              <a16:creationId xmlns:a16="http://schemas.microsoft.com/office/drawing/2014/main" id="{47F01758-788E-4F41-A27F-6AB50CAD4EAF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3" name="Shape 19">
          <a:extLst>
            <a:ext uri="{FF2B5EF4-FFF2-40B4-BE49-F238E27FC236}">
              <a16:creationId xmlns:a16="http://schemas.microsoft.com/office/drawing/2014/main" id="{F2A4BA9D-A142-478E-9FC6-9CA06CC1281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4" name="Shape 21">
          <a:extLst>
            <a:ext uri="{FF2B5EF4-FFF2-40B4-BE49-F238E27FC236}">
              <a16:creationId xmlns:a16="http://schemas.microsoft.com/office/drawing/2014/main" id="{7BE2CBD7-6A62-46BE-BE1E-5B14EB2A5D3C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5" name="Shape 23">
          <a:extLst>
            <a:ext uri="{FF2B5EF4-FFF2-40B4-BE49-F238E27FC236}">
              <a16:creationId xmlns:a16="http://schemas.microsoft.com/office/drawing/2014/main" id="{F4C24F72-7272-4058-8407-EDD2C9A2DFCA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6" name="Shape 9">
          <a:extLst>
            <a:ext uri="{FF2B5EF4-FFF2-40B4-BE49-F238E27FC236}">
              <a16:creationId xmlns:a16="http://schemas.microsoft.com/office/drawing/2014/main" id="{7534CB6A-1F01-4A03-9BF5-36653507CDB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7" name="Shape 11">
          <a:extLst>
            <a:ext uri="{FF2B5EF4-FFF2-40B4-BE49-F238E27FC236}">
              <a16:creationId xmlns:a16="http://schemas.microsoft.com/office/drawing/2014/main" id="{46E15E0A-5100-4853-BBE5-7C764FE060C5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8" name="Shape 13">
          <a:extLst>
            <a:ext uri="{FF2B5EF4-FFF2-40B4-BE49-F238E27FC236}">
              <a16:creationId xmlns:a16="http://schemas.microsoft.com/office/drawing/2014/main" id="{B18CC6F2-BCA4-4BFD-B200-BB8BF874D543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05299669-DE1F-410F-860F-095FC2939A51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90" name="Shape 17">
          <a:extLst>
            <a:ext uri="{FF2B5EF4-FFF2-40B4-BE49-F238E27FC236}">
              <a16:creationId xmlns:a16="http://schemas.microsoft.com/office/drawing/2014/main" id="{C23C6311-B6B9-4227-BDC1-2605BF2BF55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91" name="Shape 19">
          <a:extLst>
            <a:ext uri="{FF2B5EF4-FFF2-40B4-BE49-F238E27FC236}">
              <a16:creationId xmlns:a16="http://schemas.microsoft.com/office/drawing/2014/main" id="{4187F501-9DC0-4D71-AA12-9BADF318FC70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92" name="Shape 21">
          <a:extLst>
            <a:ext uri="{FF2B5EF4-FFF2-40B4-BE49-F238E27FC236}">
              <a16:creationId xmlns:a16="http://schemas.microsoft.com/office/drawing/2014/main" id="{5BE4848A-354B-4051-88A4-4D660137AB7B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393" name="Shape 23">
          <a:extLst>
            <a:ext uri="{FF2B5EF4-FFF2-40B4-BE49-F238E27FC236}">
              <a16:creationId xmlns:a16="http://schemas.microsoft.com/office/drawing/2014/main" id="{889197FD-D449-4749-A97B-3F637915929B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94" name="Shape 9">
          <a:extLst>
            <a:ext uri="{FF2B5EF4-FFF2-40B4-BE49-F238E27FC236}">
              <a16:creationId xmlns:a16="http://schemas.microsoft.com/office/drawing/2014/main" id="{2E15E7C9-9F73-45B3-B56B-808E5114FAEE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95" name="Shape 11">
          <a:extLst>
            <a:ext uri="{FF2B5EF4-FFF2-40B4-BE49-F238E27FC236}">
              <a16:creationId xmlns:a16="http://schemas.microsoft.com/office/drawing/2014/main" id="{7AE17E97-99C4-4CBF-8F0C-B11B605F8D9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13DAA70C-7F20-4E0D-B620-571D9554AFEC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589D5F0D-5D83-4BA4-9AE2-C2F55AD9602C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98" name="Shape 17">
          <a:extLst>
            <a:ext uri="{FF2B5EF4-FFF2-40B4-BE49-F238E27FC236}">
              <a16:creationId xmlns:a16="http://schemas.microsoft.com/office/drawing/2014/main" id="{2BC8BFDD-F3CD-4503-B752-63BC64FC8990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399" name="Shape 19">
          <a:extLst>
            <a:ext uri="{FF2B5EF4-FFF2-40B4-BE49-F238E27FC236}">
              <a16:creationId xmlns:a16="http://schemas.microsoft.com/office/drawing/2014/main" id="{C0079ED1-D4F2-43E7-AC02-41EC5179E231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0" name="Shape 21">
          <a:extLst>
            <a:ext uri="{FF2B5EF4-FFF2-40B4-BE49-F238E27FC236}">
              <a16:creationId xmlns:a16="http://schemas.microsoft.com/office/drawing/2014/main" id="{874B04B1-DB41-4ED7-B3DF-ACFDD8AC9634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1" name="Shape 23">
          <a:extLst>
            <a:ext uri="{FF2B5EF4-FFF2-40B4-BE49-F238E27FC236}">
              <a16:creationId xmlns:a16="http://schemas.microsoft.com/office/drawing/2014/main" id="{7767236F-4AFD-4EB9-816A-A69537294917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2" name="Shape 9">
          <a:extLst>
            <a:ext uri="{FF2B5EF4-FFF2-40B4-BE49-F238E27FC236}">
              <a16:creationId xmlns:a16="http://schemas.microsoft.com/office/drawing/2014/main" id="{972207CD-801F-4987-B1E5-D07890CC1D1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3" name="Shape 11">
          <a:extLst>
            <a:ext uri="{FF2B5EF4-FFF2-40B4-BE49-F238E27FC236}">
              <a16:creationId xmlns:a16="http://schemas.microsoft.com/office/drawing/2014/main" id="{E29E65FC-C9EC-4A2C-9B61-831E5ACD81A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4" name="Shape 13">
          <a:extLst>
            <a:ext uri="{FF2B5EF4-FFF2-40B4-BE49-F238E27FC236}">
              <a16:creationId xmlns:a16="http://schemas.microsoft.com/office/drawing/2014/main" id="{D6AA87D7-F092-4779-8420-7B8BD37AA28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2FA48234-1674-45D9-865C-8F6EAAFD93D8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6" name="Shape 17">
          <a:extLst>
            <a:ext uri="{FF2B5EF4-FFF2-40B4-BE49-F238E27FC236}">
              <a16:creationId xmlns:a16="http://schemas.microsoft.com/office/drawing/2014/main" id="{51B00FDD-6E48-46BF-A447-B4868F73A6B6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7" name="Shape 19">
          <a:extLst>
            <a:ext uri="{FF2B5EF4-FFF2-40B4-BE49-F238E27FC236}">
              <a16:creationId xmlns:a16="http://schemas.microsoft.com/office/drawing/2014/main" id="{2421E977-C2A0-449F-BDEC-1AAEB187AA7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8" name="Shape 21">
          <a:extLst>
            <a:ext uri="{FF2B5EF4-FFF2-40B4-BE49-F238E27FC236}">
              <a16:creationId xmlns:a16="http://schemas.microsoft.com/office/drawing/2014/main" id="{C8B1F310-9ACA-46A8-99CB-E59BF665F031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09" name="Shape 23">
          <a:extLst>
            <a:ext uri="{FF2B5EF4-FFF2-40B4-BE49-F238E27FC236}">
              <a16:creationId xmlns:a16="http://schemas.microsoft.com/office/drawing/2014/main" id="{5C4D4D7B-8C58-4BD7-9191-3476C3956E0F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0" name="Shape 9">
          <a:extLst>
            <a:ext uri="{FF2B5EF4-FFF2-40B4-BE49-F238E27FC236}">
              <a16:creationId xmlns:a16="http://schemas.microsoft.com/office/drawing/2014/main" id="{81391515-48A5-4075-B26F-1109C6D7A1D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1" name="Shape 11">
          <a:extLst>
            <a:ext uri="{FF2B5EF4-FFF2-40B4-BE49-F238E27FC236}">
              <a16:creationId xmlns:a16="http://schemas.microsoft.com/office/drawing/2014/main" id="{CD8BE196-02F6-44A0-ADAD-699BA1125C8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F7AE8361-03CA-43A9-A42F-5E6075B824A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3" name="Shape 15">
          <a:extLst>
            <a:ext uri="{FF2B5EF4-FFF2-40B4-BE49-F238E27FC236}">
              <a16:creationId xmlns:a16="http://schemas.microsoft.com/office/drawing/2014/main" id="{60F2887A-2870-4B10-88ED-E7695F1EED44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4" name="Shape 17">
          <a:extLst>
            <a:ext uri="{FF2B5EF4-FFF2-40B4-BE49-F238E27FC236}">
              <a16:creationId xmlns:a16="http://schemas.microsoft.com/office/drawing/2014/main" id="{0D57E9F8-BEB6-4C62-87DA-45AA23CCD01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5" name="Shape 19">
          <a:extLst>
            <a:ext uri="{FF2B5EF4-FFF2-40B4-BE49-F238E27FC236}">
              <a16:creationId xmlns:a16="http://schemas.microsoft.com/office/drawing/2014/main" id="{5E000E61-C362-403C-9274-6073CF4921D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6" name="Shape 21">
          <a:extLst>
            <a:ext uri="{FF2B5EF4-FFF2-40B4-BE49-F238E27FC236}">
              <a16:creationId xmlns:a16="http://schemas.microsoft.com/office/drawing/2014/main" id="{DD28DAB5-2688-4910-B83A-45C9DBE8858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7" name="Shape 23">
          <a:extLst>
            <a:ext uri="{FF2B5EF4-FFF2-40B4-BE49-F238E27FC236}">
              <a16:creationId xmlns:a16="http://schemas.microsoft.com/office/drawing/2014/main" id="{158F4706-2488-4CEE-905E-4ACC436B26B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8" name="Shape 9">
          <a:extLst>
            <a:ext uri="{FF2B5EF4-FFF2-40B4-BE49-F238E27FC236}">
              <a16:creationId xmlns:a16="http://schemas.microsoft.com/office/drawing/2014/main" id="{CD65BB41-8351-4713-95D6-E1EA715F9777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19" name="Shape 11">
          <a:extLst>
            <a:ext uri="{FF2B5EF4-FFF2-40B4-BE49-F238E27FC236}">
              <a16:creationId xmlns:a16="http://schemas.microsoft.com/office/drawing/2014/main" id="{2FAD0E97-7677-41D9-8769-0FF904CB80F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0" name="Shape 13">
          <a:extLst>
            <a:ext uri="{FF2B5EF4-FFF2-40B4-BE49-F238E27FC236}">
              <a16:creationId xmlns:a16="http://schemas.microsoft.com/office/drawing/2014/main" id="{E4FBBAFE-AA09-4D3B-BDD8-86A32FDA3F3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1" name="Shape 15">
          <a:extLst>
            <a:ext uri="{FF2B5EF4-FFF2-40B4-BE49-F238E27FC236}">
              <a16:creationId xmlns:a16="http://schemas.microsoft.com/office/drawing/2014/main" id="{1746B71A-2D0D-4709-AC7F-037CCA34ED2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2" name="Shape 17">
          <a:extLst>
            <a:ext uri="{FF2B5EF4-FFF2-40B4-BE49-F238E27FC236}">
              <a16:creationId xmlns:a16="http://schemas.microsoft.com/office/drawing/2014/main" id="{97ABE2AD-8F73-405C-978F-F5E3F39F05E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3" name="Shape 19">
          <a:extLst>
            <a:ext uri="{FF2B5EF4-FFF2-40B4-BE49-F238E27FC236}">
              <a16:creationId xmlns:a16="http://schemas.microsoft.com/office/drawing/2014/main" id="{2F2644FE-F87D-4B17-89B6-3306B2CA15F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4" name="Shape 21">
          <a:extLst>
            <a:ext uri="{FF2B5EF4-FFF2-40B4-BE49-F238E27FC236}">
              <a16:creationId xmlns:a16="http://schemas.microsoft.com/office/drawing/2014/main" id="{CA6CD067-875B-4C76-B57D-4943E155B5B0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5" name="Shape 23">
          <a:extLst>
            <a:ext uri="{FF2B5EF4-FFF2-40B4-BE49-F238E27FC236}">
              <a16:creationId xmlns:a16="http://schemas.microsoft.com/office/drawing/2014/main" id="{55545613-95DC-4D9A-BC14-286D868A08D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6" name="Shape 9">
          <a:extLst>
            <a:ext uri="{FF2B5EF4-FFF2-40B4-BE49-F238E27FC236}">
              <a16:creationId xmlns:a16="http://schemas.microsoft.com/office/drawing/2014/main" id="{1EC1DECC-441C-454B-BEA4-70EE4FE268C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7" name="Shape 11">
          <a:extLst>
            <a:ext uri="{FF2B5EF4-FFF2-40B4-BE49-F238E27FC236}">
              <a16:creationId xmlns:a16="http://schemas.microsoft.com/office/drawing/2014/main" id="{C113BAF7-A761-4F7F-9671-B3DD5BAF32E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81B866B8-3E03-41B1-A563-3320142169D7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29" name="Shape 15">
          <a:extLst>
            <a:ext uri="{FF2B5EF4-FFF2-40B4-BE49-F238E27FC236}">
              <a16:creationId xmlns:a16="http://schemas.microsoft.com/office/drawing/2014/main" id="{3A33201D-FDA9-453E-A865-05EE5ECCE6BF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0" name="Shape 17">
          <a:extLst>
            <a:ext uri="{FF2B5EF4-FFF2-40B4-BE49-F238E27FC236}">
              <a16:creationId xmlns:a16="http://schemas.microsoft.com/office/drawing/2014/main" id="{A34B0BDA-D0FF-42DE-B232-3081B85B97DE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1" name="Shape 19">
          <a:extLst>
            <a:ext uri="{FF2B5EF4-FFF2-40B4-BE49-F238E27FC236}">
              <a16:creationId xmlns:a16="http://schemas.microsoft.com/office/drawing/2014/main" id="{74E0DC50-FCF2-4186-B3A1-A283430122AF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2" name="Shape 21">
          <a:extLst>
            <a:ext uri="{FF2B5EF4-FFF2-40B4-BE49-F238E27FC236}">
              <a16:creationId xmlns:a16="http://schemas.microsoft.com/office/drawing/2014/main" id="{E313D40C-0727-4175-89FA-A6335E3A943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3" name="Shape 23">
          <a:extLst>
            <a:ext uri="{FF2B5EF4-FFF2-40B4-BE49-F238E27FC236}">
              <a16:creationId xmlns:a16="http://schemas.microsoft.com/office/drawing/2014/main" id="{A766EB6C-3D1D-408D-8195-A15255E5774C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4" name="Shape 9">
          <a:extLst>
            <a:ext uri="{FF2B5EF4-FFF2-40B4-BE49-F238E27FC236}">
              <a16:creationId xmlns:a16="http://schemas.microsoft.com/office/drawing/2014/main" id="{1D28A596-BED2-4CD4-A588-C876997BAA24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5" name="Shape 11">
          <a:extLst>
            <a:ext uri="{FF2B5EF4-FFF2-40B4-BE49-F238E27FC236}">
              <a16:creationId xmlns:a16="http://schemas.microsoft.com/office/drawing/2014/main" id="{F4585334-25DC-4BBC-BFFC-24270FFC679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6" name="Shape 13">
          <a:extLst>
            <a:ext uri="{FF2B5EF4-FFF2-40B4-BE49-F238E27FC236}">
              <a16:creationId xmlns:a16="http://schemas.microsoft.com/office/drawing/2014/main" id="{D873AF00-0BA3-4422-B2A7-27D0535DD651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7" name="Shape 15">
          <a:extLst>
            <a:ext uri="{FF2B5EF4-FFF2-40B4-BE49-F238E27FC236}">
              <a16:creationId xmlns:a16="http://schemas.microsoft.com/office/drawing/2014/main" id="{269E2356-D66E-4989-AF08-0822EE24B19F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8" name="Shape 17">
          <a:extLst>
            <a:ext uri="{FF2B5EF4-FFF2-40B4-BE49-F238E27FC236}">
              <a16:creationId xmlns:a16="http://schemas.microsoft.com/office/drawing/2014/main" id="{9BD8D914-B504-40CF-AFF3-FA7B16793B7F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39" name="Shape 19">
          <a:extLst>
            <a:ext uri="{FF2B5EF4-FFF2-40B4-BE49-F238E27FC236}">
              <a16:creationId xmlns:a16="http://schemas.microsoft.com/office/drawing/2014/main" id="{F54928C3-7A1F-4F52-97A6-99A3672BE4C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40" name="Shape 21">
          <a:extLst>
            <a:ext uri="{FF2B5EF4-FFF2-40B4-BE49-F238E27FC236}">
              <a16:creationId xmlns:a16="http://schemas.microsoft.com/office/drawing/2014/main" id="{12B066B8-F4E9-4B3B-B1BC-2F2A82889944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41" name="Shape 23">
          <a:extLst>
            <a:ext uri="{FF2B5EF4-FFF2-40B4-BE49-F238E27FC236}">
              <a16:creationId xmlns:a16="http://schemas.microsoft.com/office/drawing/2014/main" id="{857C7C29-0245-492E-950B-0CF0D433D03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442" name="Shape 9">
          <a:extLst>
            <a:ext uri="{FF2B5EF4-FFF2-40B4-BE49-F238E27FC236}">
              <a16:creationId xmlns:a16="http://schemas.microsoft.com/office/drawing/2014/main" id="{C5A3231D-527F-41E3-AC9D-974B7F5268E9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43" name="Shape 11">
          <a:extLst>
            <a:ext uri="{FF2B5EF4-FFF2-40B4-BE49-F238E27FC236}">
              <a16:creationId xmlns:a16="http://schemas.microsoft.com/office/drawing/2014/main" id="{CAF22CD7-D018-4EB7-9BBE-EE107000E23E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44" name="Shape 13">
          <a:extLst>
            <a:ext uri="{FF2B5EF4-FFF2-40B4-BE49-F238E27FC236}">
              <a16:creationId xmlns:a16="http://schemas.microsoft.com/office/drawing/2014/main" id="{D0902160-B34E-44BD-AD0D-C8E70657C09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445" name="Shape 15">
          <a:extLst>
            <a:ext uri="{FF2B5EF4-FFF2-40B4-BE49-F238E27FC236}">
              <a16:creationId xmlns:a16="http://schemas.microsoft.com/office/drawing/2014/main" id="{05C576BD-A593-48D7-BA93-35E58C27934B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446" name="Shape 21">
          <a:extLst>
            <a:ext uri="{FF2B5EF4-FFF2-40B4-BE49-F238E27FC236}">
              <a16:creationId xmlns:a16="http://schemas.microsoft.com/office/drawing/2014/main" id="{C4C7D326-6F72-46C2-9524-059AAC9B7705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47" name="Shape 23">
          <a:extLst>
            <a:ext uri="{FF2B5EF4-FFF2-40B4-BE49-F238E27FC236}">
              <a16:creationId xmlns:a16="http://schemas.microsoft.com/office/drawing/2014/main" id="{64B0DA8F-DF32-43C5-B8CD-822BD604394B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48" name="Shape 9">
          <a:extLst>
            <a:ext uri="{FF2B5EF4-FFF2-40B4-BE49-F238E27FC236}">
              <a16:creationId xmlns:a16="http://schemas.microsoft.com/office/drawing/2014/main" id="{9EC0AFCB-B92E-4118-9E3A-79A0D8B7193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49" name="Shape 11">
          <a:extLst>
            <a:ext uri="{FF2B5EF4-FFF2-40B4-BE49-F238E27FC236}">
              <a16:creationId xmlns:a16="http://schemas.microsoft.com/office/drawing/2014/main" id="{70522059-48FC-4760-8221-CFA413FC931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0" name="Shape 13">
          <a:extLst>
            <a:ext uri="{FF2B5EF4-FFF2-40B4-BE49-F238E27FC236}">
              <a16:creationId xmlns:a16="http://schemas.microsoft.com/office/drawing/2014/main" id="{3B2FAFA0-84CB-4BEE-9B06-3EB71F945A0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1" name="Shape 15">
          <a:extLst>
            <a:ext uri="{FF2B5EF4-FFF2-40B4-BE49-F238E27FC236}">
              <a16:creationId xmlns:a16="http://schemas.microsoft.com/office/drawing/2014/main" id="{81E36C5C-B8F3-4EE9-83EC-7B62E895DCA0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2" name="Shape 21">
          <a:extLst>
            <a:ext uri="{FF2B5EF4-FFF2-40B4-BE49-F238E27FC236}">
              <a16:creationId xmlns:a16="http://schemas.microsoft.com/office/drawing/2014/main" id="{A05B6DAC-7716-41C3-8D88-4C60DFF6663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3" name="Shape 23">
          <a:extLst>
            <a:ext uri="{FF2B5EF4-FFF2-40B4-BE49-F238E27FC236}">
              <a16:creationId xmlns:a16="http://schemas.microsoft.com/office/drawing/2014/main" id="{7D9394A9-A94D-47CC-AF53-9EF2F9E26407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4" name="Shape 9">
          <a:extLst>
            <a:ext uri="{FF2B5EF4-FFF2-40B4-BE49-F238E27FC236}">
              <a16:creationId xmlns:a16="http://schemas.microsoft.com/office/drawing/2014/main" id="{CA598242-F008-4086-A190-CE2737E68470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5" name="Shape 11">
          <a:extLst>
            <a:ext uri="{FF2B5EF4-FFF2-40B4-BE49-F238E27FC236}">
              <a16:creationId xmlns:a16="http://schemas.microsoft.com/office/drawing/2014/main" id="{78CC6B3D-6AF2-45CB-9164-FC47CD9F5A0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B3A33AEA-B872-43B9-9C3B-EFD757CCC37A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7" name="Shape 15">
          <a:extLst>
            <a:ext uri="{FF2B5EF4-FFF2-40B4-BE49-F238E27FC236}">
              <a16:creationId xmlns:a16="http://schemas.microsoft.com/office/drawing/2014/main" id="{53572447-DFC4-4713-B2E6-5158DF79CC52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8" name="Shape 21">
          <a:extLst>
            <a:ext uri="{FF2B5EF4-FFF2-40B4-BE49-F238E27FC236}">
              <a16:creationId xmlns:a16="http://schemas.microsoft.com/office/drawing/2014/main" id="{36220D9C-BA1B-4655-A614-C58F301854F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59" name="Shape 23">
          <a:extLst>
            <a:ext uri="{FF2B5EF4-FFF2-40B4-BE49-F238E27FC236}">
              <a16:creationId xmlns:a16="http://schemas.microsoft.com/office/drawing/2014/main" id="{7846287A-38A2-43F7-8B01-65CEE1722DB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60" name="Shape 9">
          <a:extLst>
            <a:ext uri="{FF2B5EF4-FFF2-40B4-BE49-F238E27FC236}">
              <a16:creationId xmlns:a16="http://schemas.microsoft.com/office/drawing/2014/main" id="{D5223942-F420-42C1-ACD5-52CBDAF4B95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61" name="Shape 11">
          <a:extLst>
            <a:ext uri="{FF2B5EF4-FFF2-40B4-BE49-F238E27FC236}">
              <a16:creationId xmlns:a16="http://schemas.microsoft.com/office/drawing/2014/main" id="{F2A42711-B692-43D5-9691-0BE6CFA7D26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62" name="Shape 13">
          <a:extLst>
            <a:ext uri="{FF2B5EF4-FFF2-40B4-BE49-F238E27FC236}">
              <a16:creationId xmlns:a16="http://schemas.microsoft.com/office/drawing/2014/main" id="{ADFC39BD-FD82-4D39-B709-2478850F897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63" name="Shape 15">
          <a:extLst>
            <a:ext uri="{FF2B5EF4-FFF2-40B4-BE49-F238E27FC236}">
              <a16:creationId xmlns:a16="http://schemas.microsoft.com/office/drawing/2014/main" id="{4B1DFFEB-C164-4919-B24F-36DA3BE408F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64" name="Shape 21">
          <a:extLst>
            <a:ext uri="{FF2B5EF4-FFF2-40B4-BE49-F238E27FC236}">
              <a16:creationId xmlns:a16="http://schemas.microsoft.com/office/drawing/2014/main" id="{2DF7C0BA-8D45-4C04-BC80-D6FEBEF4AE4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65" name="Shape 23">
          <a:extLst>
            <a:ext uri="{FF2B5EF4-FFF2-40B4-BE49-F238E27FC236}">
              <a16:creationId xmlns:a16="http://schemas.microsoft.com/office/drawing/2014/main" id="{E8F7C972-F9F1-49B0-A1E7-D099A2A067BE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66" name="Shape 9">
          <a:extLst>
            <a:ext uri="{FF2B5EF4-FFF2-40B4-BE49-F238E27FC236}">
              <a16:creationId xmlns:a16="http://schemas.microsoft.com/office/drawing/2014/main" id="{CDE3C681-0D13-4CA5-A76C-4BC5A752F815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67" name="Shape 11">
          <a:extLst>
            <a:ext uri="{FF2B5EF4-FFF2-40B4-BE49-F238E27FC236}">
              <a16:creationId xmlns:a16="http://schemas.microsoft.com/office/drawing/2014/main" id="{A4D912CA-25AE-4D39-9909-8B26562A8FB9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68" name="Shape 13">
          <a:extLst>
            <a:ext uri="{FF2B5EF4-FFF2-40B4-BE49-F238E27FC236}">
              <a16:creationId xmlns:a16="http://schemas.microsoft.com/office/drawing/2014/main" id="{D5A477EF-0BC7-4662-AB59-91E54E2FBC5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69" name="Shape 15">
          <a:extLst>
            <a:ext uri="{FF2B5EF4-FFF2-40B4-BE49-F238E27FC236}">
              <a16:creationId xmlns:a16="http://schemas.microsoft.com/office/drawing/2014/main" id="{DF0BFED6-057F-4B3E-A3F3-AF4BAA14F891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0" name="Shape 21">
          <a:extLst>
            <a:ext uri="{FF2B5EF4-FFF2-40B4-BE49-F238E27FC236}">
              <a16:creationId xmlns:a16="http://schemas.microsoft.com/office/drawing/2014/main" id="{5AFB058A-384F-431B-9C94-0F11A1E5B042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1" name="Shape 23">
          <a:extLst>
            <a:ext uri="{FF2B5EF4-FFF2-40B4-BE49-F238E27FC236}">
              <a16:creationId xmlns:a16="http://schemas.microsoft.com/office/drawing/2014/main" id="{C65D7AB4-7B7B-4667-8095-8FBA1DAC4919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2" name="Shape 9">
          <a:extLst>
            <a:ext uri="{FF2B5EF4-FFF2-40B4-BE49-F238E27FC236}">
              <a16:creationId xmlns:a16="http://schemas.microsoft.com/office/drawing/2014/main" id="{12296244-2D04-4153-BA05-34F38F175C63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3" name="Shape 11">
          <a:extLst>
            <a:ext uri="{FF2B5EF4-FFF2-40B4-BE49-F238E27FC236}">
              <a16:creationId xmlns:a16="http://schemas.microsoft.com/office/drawing/2014/main" id="{507DF8F9-6AD2-47EB-9162-7AD641B4F053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4" name="Shape 13">
          <a:extLst>
            <a:ext uri="{FF2B5EF4-FFF2-40B4-BE49-F238E27FC236}">
              <a16:creationId xmlns:a16="http://schemas.microsoft.com/office/drawing/2014/main" id="{3AB6C0E3-2F91-44F9-AA90-67C3930B8F9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5" name="Shape 15">
          <a:extLst>
            <a:ext uri="{FF2B5EF4-FFF2-40B4-BE49-F238E27FC236}">
              <a16:creationId xmlns:a16="http://schemas.microsoft.com/office/drawing/2014/main" id="{6A4C7302-8F5B-4F39-A565-DCF6A1279A9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6" name="Shape 21">
          <a:extLst>
            <a:ext uri="{FF2B5EF4-FFF2-40B4-BE49-F238E27FC236}">
              <a16:creationId xmlns:a16="http://schemas.microsoft.com/office/drawing/2014/main" id="{22F36CEC-212E-4AAD-9DA6-41D1C7A0F337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7" name="Shape 23">
          <a:extLst>
            <a:ext uri="{FF2B5EF4-FFF2-40B4-BE49-F238E27FC236}">
              <a16:creationId xmlns:a16="http://schemas.microsoft.com/office/drawing/2014/main" id="{B38C4DAE-B079-4BAB-BDC1-FD00E53BDF17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8" name="Shape 9">
          <a:extLst>
            <a:ext uri="{FF2B5EF4-FFF2-40B4-BE49-F238E27FC236}">
              <a16:creationId xmlns:a16="http://schemas.microsoft.com/office/drawing/2014/main" id="{F79C341B-3C71-471A-933C-FC624829C078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79" name="Shape 11">
          <a:extLst>
            <a:ext uri="{FF2B5EF4-FFF2-40B4-BE49-F238E27FC236}">
              <a16:creationId xmlns:a16="http://schemas.microsoft.com/office/drawing/2014/main" id="{1E43900A-0BBF-482C-8790-D592359FD45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80" name="Shape 13">
          <a:extLst>
            <a:ext uri="{FF2B5EF4-FFF2-40B4-BE49-F238E27FC236}">
              <a16:creationId xmlns:a16="http://schemas.microsoft.com/office/drawing/2014/main" id="{285AD614-1E21-46C2-80B3-2AC63E86835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81" name="Shape 15">
          <a:extLst>
            <a:ext uri="{FF2B5EF4-FFF2-40B4-BE49-F238E27FC236}">
              <a16:creationId xmlns:a16="http://schemas.microsoft.com/office/drawing/2014/main" id="{65FC46EA-BA9D-471F-8F5A-F437514E2E1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82" name="Shape 21">
          <a:extLst>
            <a:ext uri="{FF2B5EF4-FFF2-40B4-BE49-F238E27FC236}">
              <a16:creationId xmlns:a16="http://schemas.microsoft.com/office/drawing/2014/main" id="{DEB7BFEE-5464-44D2-A43B-847FD12217F2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483" name="Shape 23">
          <a:extLst>
            <a:ext uri="{FF2B5EF4-FFF2-40B4-BE49-F238E27FC236}">
              <a16:creationId xmlns:a16="http://schemas.microsoft.com/office/drawing/2014/main" id="{43D4A518-0DDD-4A21-A441-E3642ADA5EAA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84" name="Shape 9">
          <a:extLst>
            <a:ext uri="{FF2B5EF4-FFF2-40B4-BE49-F238E27FC236}">
              <a16:creationId xmlns:a16="http://schemas.microsoft.com/office/drawing/2014/main" id="{E4A889BF-F09A-4843-9B86-AE82A62E5EE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85" name="Shape 11">
          <a:extLst>
            <a:ext uri="{FF2B5EF4-FFF2-40B4-BE49-F238E27FC236}">
              <a16:creationId xmlns:a16="http://schemas.microsoft.com/office/drawing/2014/main" id="{CB9A4147-32DC-4C58-B2A3-049FA33064F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E6462DBE-34E9-4C2F-96F2-1E5CA06D01F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87" name="Shape 15">
          <a:extLst>
            <a:ext uri="{FF2B5EF4-FFF2-40B4-BE49-F238E27FC236}">
              <a16:creationId xmlns:a16="http://schemas.microsoft.com/office/drawing/2014/main" id="{273A8C95-B3A8-43B2-92C9-92028F9CAF50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88" name="Shape 21">
          <a:extLst>
            <a:ext uri="{FF2B5EF4-FFF2-40B4-BE49-F238E27FC236}">
              <a16:creationId xmlns:a16="http://schemas.microsoft.com/office/drawing/2014/main" id="{4E9628EF-0537-48B2-9E79-2F7F3824FA1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89" name="Shape 23">
          <a:extLst>
            <a:ext uri="{FF2B5EF4-FFF2-40B4-BE49-F238E27FC236}">
              <a16:creationId xmlns:a16="http://schemas.microsoft.com/office/drawing/2014/main" id="{A59EBC6C-3430-49B7-87A7-1B0BE37A3A28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0" name="Shape 9">
          <a:extLst>
            <a:ext uri="{FF2B5EF4-FFF2-40B4-BE49-F238E27FC236}">
              <a16:creationId xmlns:a16="http://schemas.microsoft.com/office/drawing/2014/main" id="{56AF6B0D-01C8-4004-A8A6-4B0D29C69A9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1" name="Shape 11">
          <a:extLst>
            <a:ext uri="{FF2B5EF4-FFF2-40B4-BE49-F238E27FC236}">
              <a16:creationId xmlns:a16="http://schemas.microsoft.com/office/drawing/2014/main" id="{CB29AA43-01C1-412F-84FE-6F90D7DD742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2" name="Shape 13">
          <a:extLst>
            <a:ext uri="{FF2B5EF4-FFF2-40B4-BE49-F238E27FC236}">
              <a16:creationId xmlns:a16="http://schemas.microsoft.com/office/drawing/2014/main" id="{46988A56-DDCD-4B92-8ADF-A74042A216D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3" name="Shape 15">
          <a:extLst>
            <a:ext uri="{FF2B5EF4-FFF2-40B4-BE49-F238E27FC236}">
              <a16:creationId xmlns:a16="http://schemas.microsoft.com/office/drawing/2014/main" id="{F8C8C6CA-33A9-4258-820A-BCC8B0A60C8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4" name="Shape 21">
          <a:extLst>
            <a:ext uri="{FF2B5EF4-FFF2-40B4-BE49-F238E27FC236}">
              <a16:creationId xmlns:a16="http://schemas.microsoft.com/office/drawing/2014/main" id="{A8A2789B-E8D2-4CDA-A342-AEA3743DFD5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5" name="Shape 23">
          <a:extLst>
            <a:ext uri="{FF2B5EF4-FFF2-40B4-BE49-F238E27FC236}">
              <a16:creationId xmlns:a16="http://schemas.microsoft.com/office/drawing/2014/main" id="{ACDB7006-B65D-46A6-927A-AF57C901D980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6" name="Shape 9">
          <a:extLst>
            <a:ext uri="{FF2B5EF4-FFF2-40B4-BE49-F238E27FC236}">
              <a16:creationId xmlns:a16="http://schemas.microsoft.com/office/drawing/2014/main" id="{A543D977-FA8B-4990-9EFC-A60A51A4C558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7" name="Shape 11">
          <a:extLst>
            <a:ext uri="{FF2B5EF4-FFF2-40B4-BE49-F238E27FC236}">
              <a16:creationId xmlns:a16="http://schemas.microsoft.com/office/drawing/2014/main" id="{30A1C7E8-E1C1-4838-87B6-0A2D03C23598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8" name="Shape 13">
          <a:extLst>
            <a:ext uri="{FF2B5EF4-FFF2-40B4-BE49-F238E27FC236}">
              <a16:creationId xmlns:a16="http://schemas.microsoft.com/office/drawing/2014/main" id="{274DDE57-D246-4EC2-84A8-E3E9DF360D4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499" name="Shape 15">
          <a:extLst>
            <a:ext uri="{FF2B5EF4-FFF2-40B4-BE49-F238E27FC236}">
              <a16:creationId xmlns:a16="http://schemas.microsoft.com/office/drawing/2014/main" id="{943D2A27-1DA2-4BFD-A909-71C1B2D46590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0" name="Shape 21">
          <a:extLst>
            <a:ext uri="{FF2B5EF4-FFF2-40B4-BE49-F238E27FC236}">
              <a16:creationId xmlns:a16="http://schemas.microsoft.com/office/drawing/2014/main" id="{3A06E5B3-DB9D-4A56-A4A3-CE27CFCF788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1" name="Shape 23">
          <a:extLst>
            <a:ext uri="{FF2B5EF4-FFF2-40B4-BE49-F238E27FC236}">
              <a16:creationId xmlns:a16="http://schemas.microsoft.com/office/drawing/2014/main" id="{D1F5F883-85DF-42D5-930A-05FC61CCFE3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2" name="Shape 9">
          <a:extLst>
            <a:ext uri="{FF2B5EF4-FFF2-40B4-BE49-F238E27FC236}">
              <a16:creationId xmlns:a16="http://schemas.microsoft.com/office/drawing/2014/main" id="{BA5F0649-1E90-4C8E-9548-6A181272C60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3" name="Shape 11">
          <a:extLst>
            <a:ext uri="{FF2B5EF4-FFF2-40B4-BE49-F238E27FC236}">
              <a16:creationId xmlns:a16="http://schemas.microsoft.com/office/drawing/2014/main" id="{3D340001-1808-4115-8FA8-BD66E8F343F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4" name="Shape 13">
          <a:extLst>
            <a:ext uri="{FF2B5EF4-FFF2-40B4-BE49-F238E27FC236}">
              <a16:creationId xmlns:a16="http://schemas.microsoft.com/office/drawing/2014/main" id="{46F077D1-7770-46B2-A06C-8B19733F3BE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5" name="Shape 15">
          <a:extLst>
            <a:ext uri="{FF2B5EF4-FFF2-40B4-BE49-F238E27FC236}">
              <a16:creationId xmlns:a16="http://schemas.microsoft.com/office/drawing/2014/main" id="{A3037BF7-4836-40DF-8E4B-BA6A7D68A6E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6" name="Shape 21">
          <a:extLst>
            <a:ext uri="{FF2B5EF4-FFF2-40B4-BE49-F238E27FC236}">
              <a16:creationId xmlns:a16="http://schemas.microsoft.com/office/drawing/2014/main" id="{97AB9167-4E56-4104-B02E-BFCE4A0E906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7" name="Shape 23">
          <a:extLst>
            <a:ext uri="{FF2B5EF4-FFF2-40B4-BE49-F238E27FC236}">
              <a16:creationId xmlns:a16="http://schemas.microsoft.com/office/drawing/2014/main" id="{4F15B8BF-4D56-4816-BD6F-0C1B89206DE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8" name="Shape 9">
          <a:extLst>
            <a:ext uri="{FF2B5EF4-FFF2-40B4-BE49-F238E27FC236}">
              <a16:creationId xmlns:a16="http://schemas.microsoft.com/office/drawing/2014/main" id="{3A29BFCF-2F97-4E54-9336-20D992A065E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09" name="Shape 11">
          <a:extLst>
            <a:ext uri="{FF2B5EF4-FFF2-40B4-BE49-F238E27FC236}">
              <a16:creationId xmlns:a16="http://schemas.microsoft.com/office/drawing/2014/main" id="{3F1E0D58-EEE4-4B06-8BDB-05436045BA4C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0" name="Shape 13">
          <a:extLst>
            <a:ext uri="{FF2B5EF4-FFF2-40B4-BE49-F238E27FC236}">
              <a16:creationId xmlns:a16="http://schemas.microsoft.com/office/drawing/2014/main" id="{A27F63D9-3674-47E2-A554-29C5E5FD7DB3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1" name="Shape 15">
          <a:extLst>
            <a:ext uri="{FF2B5EF4-FFF2-40B4-BE49-F238E27FC236}">
              <a16:creationId xmlns:a16="http://schemas.microsoft.com/office/drawing/2014/main" id="{C3CA2EFB-5A0E-4ED9-9D97-1371C1499EB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2" name="Shape 21">
          <a:extLst>
            <a:ext uri="{FF2B5EF4-FFF2-40B4-BE49-F238E27FC236}">
              <a16:creationId xmlns:a16="http://schemas.microsoft.com/office/drawing/2014/main" id="{C6448BD7-4443-4283-BC62-B20B9F26A240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3" name="Shape 23">
          <a:extLst>
            <a:ext uri="{FF2B5EF4-FFF2-40B4-BE49-F238E27FC236}">
              <a16:creationId xmlns:a16="http://schemas.microsoft.com/office/drawing/2014/main" id="{28210CE2-6CC0-4075-8372-F4A39078BC3D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4" name="Shape 9">
          <a:extLst>
            <a:ext uri="{FF2B5EF4-FFF2-40B4-BE49-F238E27FC236}">
              <a16:creationId xmlns:a16="http://schemas.microsoft.com/office/drawing/2014/main" id="{3013F99C-986D-4218-96F9-576949561E3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5" name="Shape 11">
          <a:extLst>
            <a:ext uri="{FF2B5EF4-FFF2-40B4-BE49-F238E27FC236}">
              <a16:creationId xmlns:a16="http://schemas.microsoft.com/office/drawing/2014/main" id="{8498E56D-FEFF-4B23-AC14-D6F23C38C6E2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382CCBBD-B98E-4659-8638-BB9A02900AF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7" name="Shape 15">
          <a:extLst>
            <a:ext uri="{FF2B5EF4-FFF2-40B4-BE49-F238E27FC236}">
              <a16:creationId xmlns:a16="http://schemas.microsoft.com/office/drawing/2014/main" id="{E56B73AB-8841-4A9C-A6F8-D5982217C44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8" name="Shape 21">
          <a:extLst>
            <a:ext uri="{FF2B5EF4-FFF2-40B4-BE49-F238E27FC236}">
              <a16:creationId xmlns:a16="http://schemas.microsoft.com/office/drawing/2014/main" id="{A052559E-8B92-455C-B8A5-7C0D20171F4A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19" name="Shape 23">
          <a:extLst>
            <a:ext uri="{FF2B5EF4-FFF2-40B4-BE49-F238E27FC236}">
              <a16:creationId xmlns:a16="http://schemas.microsoft.com/office/drawing/2014/main" id="{9BB8486D-8CF5-4CBC-ABA5-83693A94D155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34925"/>
    <xdr:sp macro="" textlink="">
      <xdr:nvSpPr>
        <xdr:cNvPr id="520" name="Shape 25">
          <a:extLst>
            <a:ext uri="{FF2B5EF4-FFF2-40B4-BE49-F238E27FC236}">
              <a16:creationId xmlns:a16="http://schemas.microsoft.com/office/drawing/2014/main" id="{555E0BE4-8F70-4202-8969-D5F64809E02B}"/>
            </a:ext>
          </a:extLst>
        </xdr:cNvPr>
        <xdr:cNvSpPr/>
      </xdr:nvSpPr>
      <xdr:spPr>
        <a:xfrm>
          <a:off x="1616075" y="561975"/>
          <a:ext cx="473710" cy="3492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521" name="Shape 9">
          <a:extLst>
            <a:ext uri="{FF2B5EF4-FFF2-40B4-BE49-F238E27FC236}">
              <a16:creationId xmlns:a16="http://schemas.microsoft.com/office/drawing/2014/main" id="{C86C554D-391E-46D7-AEE7-299D5710FD5C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22" name="Shape 11">
          <a:extLst>
            <a:ext uri="{FF2B5EF4-FFF2-40B4-BE49-F238E27FC236}">
              <a16:creationId xmlns:a16="http://schemas.microsoft.com/office/drawing/2014/main" id="{F95AE902-228F-4511-BE67-E5B152800B9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23" name="Shape 13">
          <a:extLst>
            <a:ext uri="{FF2B5EF4-FFF2-40B4-BE49-F238E27FC236}">
              <a16:creationId xmlns:a16="http://schemas.microsoft.com/office/drawing/2014/main" id="{0C4EFB8C-8A49-4D4F-A948-082FBDFCE3CC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524" name="Shape 15">
          <a:extLst>
            <a:ext uri="{FF2B5EF4-FFF2-40B4-BE49-F238E27FC236}">
              <a16:creationId xmlns:a16="http://schemas.microsoft.com/office/drawing/2014/main" id="{E97DB265-6B58-421E-82F5-EE249695AE48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525" name="Shape 21">
          <a:extLst>
            <a:ext uri="{FF2B5EF4-FFF2-40B4-BE49-F238E27FC236}">
              <a16:creationId xmlns:a16="http://schemas.microsoft.com/office/drawing/2014/main" id="{D8AAFF43-F38D-4573-9770-525D0E839AFD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26" name="Shape 23">
          <a:extLst>
            <a:ext uri="{FF2B5EF4-FFF2-40B4-BE49-F238E27FC236}">
              <a16:creationId xmlns:a16="http://schemas.microsoft.com/office/drawing/2014/main" id="{970E0E8A-9BD8-4C52-9AA8-D1B547714A06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104775"/>
    <xdr:sp macro="" textlink="">
      <xdr:nvSpPr>
        <xdr:cNvPr id="527" name="Shape 25">
          <a:extLst>
            <a:ext uri="{FF2B5EF4-FFF2-40B4-BE49-F238E27FC236}">
              <a16:creationId xmlns:a16="http://schemas.microsoft.com/office/drawing/2014/main" id="{A0E90FE9-0034-4C09-A10F-21E9D67E32E8}"/>
            </a:ext>
          </a:extLst>
        </xdr:cNvPr>
        <xdr:cNvSpPr/>
      </xdr:nvSpPr>
      <xdr:spPr>
        <a:xfrm>
          <a:off x="1616075" y="561975"/>
          <a:ext cx="473710" cy="104775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28" name="Shape 9">
          <a:extLst>
            <a:ext uri="{FF2B5EF4-FFF2-40B4-BE49-F238E27FC236}">
              <a16:creationId xmlns:a16="http://schemas.microsoft.com/office/drawing/2014/main" id="{04760FE6-15A8-4D25-B5CA-FFC8B05D3213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29" name="Shape 11">
          <a:extLst>
            <a:ext uri="{FF2B5EF4-FFF2-40B4-BE49-F238E27FC236}">
              <a16:creationId xmlns:a16="http://schemas.microsoft.com/office/drawing/2014/main" id="{B7A52B66-34D4-40EF-9C49-4336D087AA2F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0" name="Shape 13">
          <a:extLst>
            <a:ext uri="{FF2B5EF4-FFF2-40B4-BE49-F238E27FC236}">
              <a16:creationId xmlns:a16="http://schemas.microsoft.com/office/drawing/2014/main" id="{7437B985-71EC-4F44-9656-2C0220488D31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1" name="Shape 15">
          <a:extLst>
            <a:ext uri="{FF2B5EF4-FFF2-40B4-BE49-F238E27FC236}">
              <a16:creationId xmlns:a16="http://schemas.microsoft.com/office/drawing/2014/main" id="{E4903A67-45D9-4132-9398-7FB07B8DB451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2" name="Shape 21">
          <a:extLst>
            <a:ext uri="{FF2B5EF4-FFF2-40B4-BE49-F238E27FC236}">
              <a16:creationId xmlns:a16="http://schemas.microsoft.com/office/drawing/2014/main" id="{8F7F632D-DE31-4862-8723-884C491A66FC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3" name="Shape 23">
          <a:extLst>
            <a:ext uri="{FF2B5EF4-FFF2-40B4-BE49-F238E27FC236}">
              <a16:creationId xmlns:a16="http://schemas.microsoft.com/office/drawing/2014/main" id="{F80799B7-38A1-43E2-936D-971A9D0ECBCC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4" name="Shape 25">
          <a:extLst>
            <a:ext uri="{FF2B5EF4-FFF2-40B4-BE49-F238E27FC236}">
              <a16:creationId xmlns:a16="http://schemas.microsoft.com/office/drawing/2014/main" id="{E35E7BA4-604F-4710-BE14-F5CA7FB90FCD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5" name="Shape 9">
          <a:extLst>
            <a:ext uri="{FF2B5EF4-FFF2-40B4-BE49-F238E27FC236}">
              <a16:creationId xmlns:a16="http://schemas.microsoft.com/office/drawing/2014/main" id="{4A4B6019-36E0-4477-9120-273D8CFFB760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6" name="Shape 11">
          <a:extLst>
            <a:ext uri="{FF2B5EF4-FFF2-40B4-BE49-F238E27FC236}">
              <a16:creationId xmlns:a16="http://schemas.microsoft.com/office/drawing/2014/main" id="{3068A59E-E52B-4546-B8E3-137C95611595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7" name="Shape 13">
          <a:extLst>
            <a:ext uri="{FF2B5EF4-FFF2-40B4-BE49-F238E27FC236}">
              <a16:creationId xmlns:a16="http://schemas.microsoft.com/office/drawing/2014/main" id="{015D6668-B23B-4BD7-8B52-C359C3600A00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8" name="Shape 15">
          <a:extLst>
            <a:ext uri="{FF2B5EF4-FFF2-40B4-BE49-F238E27FC236}">
              <a16:creationId xmlns:a16="http://schemas.microsoft.com/office/drawing/2014/main" id="{F204FD39-364F-46ED-9750-8C635B889E41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39" name="Shape 21">
          <a:extLst>
            <a:ext uri="{FF2B5EF4-FFF2-40B4-BE49-F238E27FC236}">
              <a16:creationId xmlns:a16="http://schemas.microsoft.com/office/drawing/2014/main" id="{D71F44F0-E708-436B-BB93-C9110E58C7D4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40" name="Shape 23">
          <a:extLst>
            <a:ext uri="{FF2B5EF4-FFF2-40B4-BE49-F238E27FC236}">
              <a16:creationId xmlns:a16="http://schemas.microsoft.com/office/drawing/2014/main" id="{F48835F7-42D9-418C-A367-36D312BCF73A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  <xdr:oneCellAnchor>
    <xdr:from>
      <xdr:col>2</xdr:col>
      <xdr:colOff>0</xdr:colOff>
      <xdr:row>3</xdr:row>
      <xdr:rowOff>0</xdr:rowOff>
    </xdr:from>
    <xdr:ext cx="473710" cy="69850"/>
    <xdr:sp macro="" textlink="">
      <xdr:nvSpPr>
        <xdr:cNvPr id="541" name="Shape 25">
          <a:extLst>
            <a:ext uri="{FF2B5EF4-FFF2-40B4-BE49-F238E27FC236}">
              <a16:creationId xmlns:a16="http://schemas.microsoft.com/office/drawing/2014/main" id="{93333862-3C18-4157-83C3-7FDD04174B5A}"/>
            </a:ext>
          </a:extLst>
        </xdr:cNvPr>
        <xdr:cNvSpPr/>
      </xdr:nvSpPr>
      <xdr:spPr>
        <a:xfrm>
          <a:off x="1616075" y="561975"/>
          <a:ext cx="473710" cy="6985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670" y="0"/>
              </a:lnTo>
            </a:path>
          </a:pathLst>
        </a:custGeom>
        <a:ln w="7518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854"/>
  <sheetViews>
    <sheetView tabSelected="1" workbookViewId="0">
      <selection sqref="A1:XFD1048576"/>
    </sheetView>
  </sheetViews>
  <sheetFormatPr defaultColWidth="10.04296875" defaultRowHeight="14.75" x14ac:dyDescent="0.75"/>
  <cols>
    <col min="1" max="1" width="11.5" style="3" customWidth="1"/>
    <col min="2" max="2" width="11.6328125" style="3" customWidth="1"/>
    <col min="3" max="3" width="50.08984375" style="3" customWidth="1"/>
    <col min="4" max="6" width="10.04296875" style="3"/>
    <col min="7" max="7" width="12.453125" style="3" customWidth="1"/>
    <col min="8" max="8" width="10.04296875" style="3"/>
    <col min="9" max="9" width="16.31640625" style="3" customWidth="1"/>
    <col min="10" max="16384" width="10.04296875" style="3"/>
  </cols>
  <sheetData>
    <row r="4" spans="1:10" x14ac:dyDescent="0.75">
      <c r="A4" s="1" t="s">
        <v>0</v>
      </c>
      <c r="B4" s="1" t="s">
        <v>1</v>
      </c>
      <c r="C4" s="2" t="s">
        <v>2</v>
      </c>
      <c r="D4" s="2"/>
      <c r="E4" s="2" t="s">
        <v>3</v>
      </c>
      <c r="F4" s="2" t="s">
        <v>4</v>
      </c>
      <c r="G4" s="2" t="s">
        <v>5</v>
      </c>
      <c r="H4" s="2"/>
      <c r="I4" s="2" t="s">
        <v>6</v>
      </c>
      <c r="J4" s="2" t="s">
        <v>7</v>
      </c>
    </row>
    <row r="5" spans="1:10" x14ac:dyDescent="0.75">
      <c r="A5" s="3" t="s">
        <v>8</v>
      </c>
      <c r="B5" s="3" t="s">
        <v>9</v>
      </c>
      <c r="C5" s="3" t="s">
        <v>10</v>
      </c>
      <c r="E5" s="3" t="s">
        <v>11</v>
      </c>
      <c r="F5" s="4">
        <v>2702.04</v>
      </c>
      <c r="G5" s="4">
        <v>2702.04</v>
      </c>
      <c r="I5" s="4">
        <f>SUM($F$5:$F5)-SUM($E$5:$E5)</f>
        <v>2702.04</v>
      </c>
      <c r="J5" s="4">
        <f>I5-G5</f>
        <v>0</v>
      </c>
    </row>
    <row r="6" spans="1:10" x14ac:dyDescent="0.75">
      <c r="A6" s="3" t="s">
        <v>9</v>
      </c>
      <c r="B6" s="3" t="s">
        <v>9</v>
      </c>
      <c r="C6" s="3" t="s">
        <v>12</v>
      </c>
      <c r="E6" s="3" t="s">
        <v>11</v>
      </c>
      <c r="F6" s="4">
        <v>13454.33</v>
      </c>
      <c r="G6" s="4">
        <v>16156.37</v>
      </c>
      <c r="I6" s="4">
        <f>SUM($F$5:$F6)-SUM($E$5:$E6)</f>
        <v>16156.369999999999</v>
      </c>
      <c r="J6" s="4">
        <f t="shared" ref="J6:J69" si="0">I6-G6</f>
        <v>0</v>
      </c>
    </row>
    <row r="7" spans="1:10" x14ac:dyDescent="0.75">
      <c r="A7" s="3" t="s">
        <v>9</v>
      </c>
      <c r="B7" s="3" t="s">
        <v>9</v>
      </c>
      <c r="C7" s="3" t="s">
        <v>13</v>
      </c>
      <c r="E7" s="4">
        <v>2702.04</v>
      </c>
      <c r="F7" s="3" t="s">
        <v>11</v>
      </c>
      <c r="G7" s="4">
        <v>13454.33</v>
      </c>
      <c r="I7" s="4">
        <f>SUM($F$5:$F7)-SUM($E$5:$E7)</f>
        <v>13454.329999999998</v>
      </c>
      <c r="J7" s="4">
        <f t="shared" si="0"/>
        <v>0</v>
      </c>
    </row>
    <row r="8" spans="1:10" x14ac:dyDescent="0.75">
      <c r="A8" s="3" t="s">
        <v>9</v>
      </c>
      <c r="B8" s="3" t="s">
        <v>9</v>
      </c>
      <c r="C8" s="3" t="s">
        <v>14</v>
      </c>
      <c r="E8" s="4">
        <v>13454.33</v>
      </c>
      <c r="F8" s="3" t="s">
        <v>11</v>
      </c>
      <c r="G8" s="4">
        <v>0</v>
      </c>
      <c r="I8" s="4">
        <f>SUM($F$5:$F8)-SUM($E$5:$E8)</f>
        <v>0</v>
      </c>
      <c r="J8" s="4">
        <f t="shared" si="0"/>
        <v>0</v>
      </c>
    </row>
    <row r="9" spans="1:10" x14ac:dyDescent="0.75">
      <c r="A9" s="3" t="s">
        <v>9</v>
      </c>
      <c r="B9" s="3" t="s">
        <v>15</v>
      </c>
      <c r="C9" s="3" t="s">
        <v>16</v>
      </c>
      <c r="E9" s="4">
        <v>23487.55</v>
      </c>
      <c r="F9" s="3" t="s">
        <v>11</v>
      </c>
      <c r="G9" s="4">
        <v>-23487.55</v>
      </c>
      <c r="I9" s="4">
        <f>SUM($F$5:$F9)-SUM($E$5:$E9)</f>
        <v>-23487.55</v>
      </c>
      <c r="J9" s="4">
        <f t="shared" si="0"/>
        <v>0</v>
      </c>
    </row>
    <row r="10" spans="1:10" x14ac:dyDescent="0.75">
      <c r="A10" s="3" t="s">
        <v>15</v>
      </c>
      <c r="B10" s="3" t="s">
        <v>17</v>
      </c>
      <c r="C10" s="3" t="s">
        <v>18</v>
      </c>
      <c r="E10" s="3" t="s">
        <v>11</v>
      </c>
      <c r="F10" s="4">
        <v>100000</v>
      </c>
      <c r="G10" s="4">
        <v>76512.45</v>
      </c>
      <c r="I10" s="4">
        <f>SUM($F$5:$F10)-SUM($E$5:$E10)</f>
        <v>76512.45</v>
      </c>
      <c r="J10" s="4">
        <f t="shared" si="0"/>
        <v>0</v>
      </c>
    </row>
    <row r="11" spans="1:10" x14ac:dyDescent="0.75">
      <c r="A11" s="3" t="s">
        <v>17</v>
      </c>
      <c r="B11" s="3" t="s">
        <v>17</v>
      </c>
      <c r="C11" s="3" t="s">
        <v>19</v>
      </c>
      <c r="E11" s="3" t="s">
        <v>11</v>
      </c>
      <c r="F11" s="3">
        <v>645.04999999999995</v>
      </c>
      <c r="G11" s="4">
        <v>77157.5</v>
      </c>
      <c r="I11" s="4">
        <f>SUM($F$5:$F11)-SUM($E$5:$E11)</f>
        <v>77157.5</v>
      </c>
      <c r="J11" s="4">
        <f t="shared" si="0"/>
        <v>0</v>
      </c>
    </row>
    <row r="12" spans="1:10" x14ac:dyDescent="0.75">
      <c r="A12" s="3" t="s">
        <v>17</v>
      </c>
      <c r="B12" s="3" t="s">
        <v>17</v>
      </c>
      <c r="C12" s="3" t="s">
        <v>20</v>
      </c>
      <c r="E12" s="3">
        <v>645.04999999999995</v>
      </c>
      <c r="F12" s="3" t="s">
        <v>11</v>
      </c>
      <c r="G12" s="4">
        <v>76512.45</v>
      </c>
      <c r="I12" s="4">
        <f>SUM($F$5:$F12)-SUM($E$5:$E12)</f>
        <v>76512.45</v>
      </c>
      <c r="J12" s="4">
        <f t="shared" si="0"/>
        <v>0</v>
      </c>
    </row>
    <row r="13" spans="1:10" x14ac:dyDescent="0.75">
      <c r="A13" s="3" t="s">
        <v>17</v>
      </c>
      <c r="B13" s="3" t="s">
        <v>21</v>
      </c>
      <c r="C13" s="3" t="s">
        <v>22</v>
      </c>
      <c r="E13" s="4">
        <v>15598.92</v>
      </c>
      <c r="F13" s="3" t="s">
        <v>11</v>
      </c>
      <c r="G13" s="4">
        <v>60913.53</v>
      </c>
      <c r="I13" s="4">
        <f>SUM($F$5:$F13)-SUM($E$5:$E13)</f>
        <v>60913.53</v>
      </c>
      <c r="J13" s="4">
        <f t="shared" si="0"/>
        <v>0</v>
      </c>
    </row>
    <row r="14" spans="1:10" x14ac:dyDescent="0.75">
      <c r="A14" s="3" t="s">
        <v>21</v>
      </c>
      <c r="B14" s="3" t="s">
        <v>21</v>
      </c>
      <c r="C14" s="3" t="s">
        <v>23</v>
      </c>
      <c r="E14" s="3">
        <v>27.02</v>
      </c>
      <c r="F14" s="3" t="s">
        <v>11</v>
      </c>
      <c r="G14" s="4">
        <v>60886.51</v>
      </c>
      <c r="I14" s="4">
        <f>SUM($F$5:$F14)-SUM($E$5:$E14)</f>
        <v>60886.51</v>
      </c>
      <c r="J14" s="4">
        <f t="shared" si="0"/>
        <v>0</v>
      </c>
    </row>
    <row r="15" spans="1:10" x14ac:dyDescent="0.75">
      <c r="A15" s="3" t="s">
        <v>21</v>
      </c>
      <c r="C15" s="3" t="s">
        <v>24</v>
      </c>
      <c r="E15" s="3">
        <v>2702.04</v>
      </c>
      <c r="G15" s="3">
        <v>58184.47</v>
      </c>
      <c r="I15" s="4">
        <f>SUM($F$5:$F15)-SUM($E$5:$E15)</f>
        <v>58184.47</v>
      </c>
      <c r="J15" s="4">
        <f t="shared" si="0"/>
        <v>0</v>
      </c>
    </row>
    <row r="16" spans="1:10" x14ac:dyDescent="0.75">
      <c r="A16" s="5">
        <v>43558</v>
      </c>
      <c r="B16" s="5">
        <v>43558</v>
      </c>
      <c r="C16" s="3" t="s">
        <v>25</v>
      </c>
      <c r="E16" s="3">
        <v>13454.33</v>
      </c>
      <c r="F16" s="3" t="s">
        <v>11</v>
      </c>
      <c r="G16" s="3">
        <v>44730.14</v>
      </c>
      <c r="I16" s="4">
        <f>SUM($F$5:$F16)-SUM($E$5:$E16)</f>
        <v>44730.14</v>
      </c>
      <c r="J16" s="4">
        <f t="shared" si="0"/>
        <v>0</v>
      </c>
    </row>
    <row r="17" spans="1:10" x14ac:dyDescent="0.75">
      <c r="A17" s="5">
        <v>43558</v>
      </c>
      <c r="B17" s="5">
        <v>43558</v>
      </c>
      <c r="C17" s="3" t="s">
        <v>20</v>
      </c>
      <c r="E17" s="3">
        <v>645.04999999999995</v>
      </c>
      <c r="F17" s="3" t="s">
        <v>11</v>
      </c>
      <c r="G17" s="3">
        <v>44085.09</v>
      </c>
      <c r="I17" s="4">
        <f>SUM($F$5:$F17)-SUM($E$5:$E17)</f>
        <v>44085.09</v>
      </c>
      <c r="J17" s="4">
        <f t="shared" si="0"/>
        <v>0</v>
      </c>
    </row>
    <row r="18" spans="1:10" x14ac:dyDescent="0.75">
      <c r="A18" s="5">
        <v>43558</v>
      </c>
      <c r="B18" s="5">
        <v>43558</v>
      </c>
      <c r="C18" s="3" t="s">
        <v>26</v>
      </c>
      <c r="E18" s="3">
        <v>675.39</v>
      </c>
      <c r="F18" s="3" t="s">
        <v>11</v>
      </c>
      <c r="G18" s="3">
        <v>43409.7</v>
      </c>
      <c r="I18" s="4">
        <f>SUM($F$5:$F18)-SUM($E$5:$E18)</f>
        <v>43409.7</v>
      </c>
      <c r="J18" s="4">
        <f t="shared" si="0"/>
        <v>0</v>
      </c>
    </row>
    <row r="19" spans="1:10" x14ac:dyDescent="0.75">
      <c r="A19" s="5">
        <v>43680</v>
      </c>
      <c r="B19" s="5">
        <v>43680</v>
      </c>
      <c r="C19" s="3" t="s">
        <v>27</v>
      </c>
      <c r="E19" s="3">
        <v>8820</v>
      </c>
      <c r="F19" s="3" t="s">
        <v>11</v>
      </c>
      <c r="G19" s="3">
        <v>34589.699999999997</v>
      </c>
      <c r="I19" s="4">
        <f>SUM($F$5:$F19)-SUM($E$5:$E19)</f>
        <v>34589.699999999997</v>
      </c>
      <c r="J19" s="4">
        <f t="shared" si="0"/>
        <v>0</v>
      </c>
    </row>
    <row r="20" spans="1:10" x14ac:dyDescent="0.75">
      <c r="A20" s="5">
        <v>43772</v>
      </c>
      <c r="B20" s="5">
        <v>43772</v>
      </c>
      <c r="C20" s="3" t="s">
        <v>28</v>
      </c>
      <c r="E20" s="3">
        <v>1267.8499999999999</v>
      </c>
      <c r="F20" s="3" t="s">
        <v>11</v>
      </c>
      <c r="G20" s="3">
        <v>33321.85</v>
      </c>
      <c r="I20" s="4">
        <f>SUM($F$5:$F20)-SUM($E$5:$E20)</f>
        <v>33321.849999999991</v>
      </c>
      <c r="J20" s="4">
        <f t="shared" si="0"/>
        <v>0</v>
      </c>
    </row>
    <row r="21" spans="1:10" x14ac:dyDescent="0.75">
      <c r="A21" s="5">
        <v>43802</v>
      </c>
      <c r="B21" s="5">
        <v>43802</v>
      </c>
      <c r="C21" s="3" t="s">
        <v>29</v>
      </c>
      <c r="E21" s="3">
        <v>1962.15</v>
      </c>
      <c r="F21" s="3" t="s">
        <v>11</v>
      </c>
      <c r="G21" s="3">
        <v>31359.7</v>
      </c>
      <c r="I21" s="4">
        <f>SUM($F$5:$F21)-SUM($E$5:$E21)</f>
        <v>31359.699999999997</v>
      </c>
      <c r="J21" s="4">
        <f t="shared" si="0"/>
        <v>0</v>
      </c>
    </row>
    <row r="22" spans="1:10" x14ac:dyDescent="0.75">
      <c r="A22" s="5">
        <v>43802</v>
      </c>
      <c r="B22" s="5">
        <v>43802</v>
      </c>
      <c r="C22" s="3" t="s">
        <v>30</v>
      </c>
      <c r="F22" s="3">
        <v>278341.32</v>
      </c>
      <c r="G22" s="3">
        <v>309701.02</v>
      </c>
      <c r="I22" s="4">
        <f>SUM($F$5:$F22)-SUM($E$5:$E22)</f>
        <v>309701.02</v>
      </c>
      <c r="J22" s="4">
        <f t="shared" si="0"/>
        <v>0</v>
      </c>
    </row>
    <row r="23" spans="1:10" x14ac:dyDescent="0.75">
      <c r="A23" s="5" t="s">
        <v>31</v>
      </c>
      <c r="B23" s="5" t="s">
        <v>31</v>
      </c>
      <c r="C23" s="3" t="s">
        <v>32</v>
      </c>
      <c r="E23" s="3">
        <v>7974.56</v>
      </c>
      <c r="F23" s="3" t="s">
        <v>11</v>
      </c>
      <c r="G23" s="3">
        <v>301726.46000000002</v>
      </c>
      <c r="I23" s="4">
        <f>SUM($F$5:$F23)-SUM($E$5:$E23)</f>
        <v>301726.45999999996</v>
      </c>
      <c r="J23" s="4">
        <f t="shared" si="0"/>
        <v>0</v>
      </c>
    </row>
    <row r="24" spans="1:10" x14ac:dyDescent="0.75">
      <c r="A24" s="3" t="s">
        <v>31</v>
      </c>
      <c r="B24" s="3" t="s">
        <v>31</v>
      </c>
      <c r="C24" s="3" t="s">
        <v>33</v>
      </c>
      <c r="E24" s="3">
        <v>10445.780000000001</v>
      </c>
      <c r="F24" s="3" t="s">
        <v>11</v>
      </c>
      <c r="G24" s="3">
        <v>291280.68</v>
      </c>
      <c r="I24" s="4">
        <f>SUM($F$5:$F24)-SUM($E$5:$E24)</f>
        <v>291280.68</v>
      </c>
      <c r="J24" s="4">
        <f t="shared" si="0"/>
        <v>0</v>
      </c>
    </row>
    <row r="25" spans="1:10" x14ac:dyDescent="0.75">
      <c r="A25" s="3" t="s">
        <v>31</v>
      </c>
      <c r="B25" s="3" t="s">
        <v>31</v>
      </c>
      <c r="C25" s="3" t="s">
        <v>34</v>
      </c>
      <c r="E25" s="3">
        <v>19853.18</v>
      </c>
      <c r="F25" s="3" t="s">
        <v>11</v>
      </c>
      <c r="G25" s="3">
        <v>271427.5</v>
      </c>
      <c r="I25" s="4">
        <f>SUM($F$5:$F25)-SUM($E$5:$E25)</f>
        <v>271427.5</v>
      </c>
      <c r="J25" s="4">
        <f t="shared" si="0"/>
        <v>0</v>
      </c>
    </row>
    <row r="26" spans="1:10" x14ac:dyDescent="0.75">
      <c r="A26" s="3" t="s">
        <v>31</v>
      </c>
      <c r="B26" s="3" t="s">
        <v>31</v>
      </c>
      <c r="C26" s="3" t="s">
        <v>30</v>
      </c>
      <c r="E26" s="3" t="s">
        <v>11</v>
      </c>
      <c r="F26" s="3">
        <v>54137.98</v>
      </c>
      <c r="G26" s="3">
        <v>325565.48</v>
      </c>
      <c r="I26" s="4">
        <f>SUM($F$5:$F26)-SUM($E$5:$E26)</f>
        <v>325565.48</v>
      </c>
      <c r="J26" s="4">
        <f t="shared" si="0"/>
        <v>0</v>
      </c>
    </row>
    <row r="27" spans="1:10" x14ac:dyDescent="0.75">
      <c r="A27" s="3" t="s">
        <v>35</v>
      </c>
      <c r="B27" s="3" t="s">
        <v>35</v>
      </c>
      <c r="C27" s="3" t="s">
        <v>36</v>
      </c>
      <c r="E27" s="3">
        <v>739.23</v>
      </c>
      <c r="F27" s="3" t="s">
        <v>11</v>
      </c>
      <c r="G27" s="3">
        <v>324826.25</v>
      </c>
      <c r="I27" s="4">
        <f>SUM($F$5:$F27)-SUM($E$5:$E27)</f>
        <v>324826.25</v>
      </c>
      <c r="J27" s="4">
        <f t="shared" si="0"/>
        <v>0</v>
      </c>
    </row>
    <row r="28" spans="1:10" x14ac:dyDescent="0.75">
      <c r="A28" s="3" t="s">
        <v>35</v>
      </c>
      <c r="B28" s="3" t="s">
        <v>35</v>
      </c>
      <c r="C28" s="3" t="s">
        <v>37</v>
      </c>
      <c r="E28" s="3">
        <v>11667.86</v>
      </c>
      <c r="F28" s="3" t="s">
        <v>11</v>
      </c>
      <c r="G28" s="3">
        <v>313158.39</v>
      </c>
      <c r="I28" s="4">
        <f>SUM($F$5:$F28)-SUM($E$5:$E28)</f>
        <v>313158.39</v>
      </c>
      <c r="J28" s="4">
        <f t="shared" si="0"/>
        <v>0</v>
      </c>
    </row>
    <row r="29" spans="1:10" x14ac:dyDescent="0.75">
      <c r="A29" s="3" t="s">
        <v>35</v>
      </c>
      <c r="B29" s="3" t="s">
        <v>35</v>
      </c>
      <c r="C29" s="3" t="s">
        <v>38</v>
      </c>
      <c r="E29" s="3" t="s">
        <v>11</v>
      </c>
      <c r="F29" s="3">
        <v>500000</v>
      </c>
      <c r="G29" s="3">
        <v>813158.39</v>
      </c>
      <c r="I29" s="4">
        <f>SUM($F$5:$F29)-SUM($E$5:$E29)</f>
        <v>813158.39</v>
      </c>
      <c r="J29" s="4">
        <f t="shared" si="0"/>
        <v>0</v>
      </c>
    </row>
    <row r="30" spans="1:10" x14ac:dyDescent="0.75">
      <c r="A30" s="3" t="s">
        <v>39</v>
      </c>
      <c r="B30" s="3" t="s">
        <v>39</v>
      </c>
      <c r="C30" s="3" t="s">
        <v>30</v>
      </c>
      <c r="E30" s="3" t="s">
        <v>11</v>
      </c>
      <c r="F30" s="3">
        <v>2317.2800000000002</v>
      </c>
      <c r="G30" s="3">
        <v>815475.67</v>
      </c>
      <c r="I30" s="4">
        <f>SUM($F$5:$F30)-SUM($E$5:$E30)</f>
        <v>815475.67</v>
      </c>
      <c r="J30" s="4">
        <f t="shared" si="0"/>
        <v>0</v>
      </c>
    </row>
    <row r="31" spans="1:10" x14ac:dyDescent="0.75">
      <c r="A31" s="3" t="s">
        <v>39</v>
      </c>
      <c r="B31" s="3" t="s">
        <v>39</v>
      </c>
      <c r="C31" s="3" t="s">
        <v>40</v>
      </c>
      <c r="E31" s="3">
        <v>2087.85</v>
      </c>
      <c r="F31" s="3" t="s">
        <v>11</v>
      </c>
      <c r="G31" s="3">
        <v>813387.82</v>
      </c>
      <c r="I31" s="4">
        <f>SUM($F$5:$F31)-SUM($E$5:$E31)</f>
        <v>813387.82000000007</v>
      </c>
      <c r="J31" s="4">
        <f t="shared" si="0"/>
        <v>0</v>
      </c>
    </row>
    <row r="32" spans="1:10" x14ac:dyDescent="0.75">
      <c r="A32" s="3" t="s">
        <v>39</v>
      </c>
      <c r="B32" s="3" t="s">
        <v>39</v>
      </c>
      <c r="C32" s="3" t="s">
        <v>41</v>
      </c>
      <c r="E32" s="3">
        <v>8753.7199999999993</v>
      </c>
      <c r="F32" s="3" t="s">
        <v>11</v>
      </c>
      <c r="G32" s="3">
        <v>804634.1</v>
      </c>
      <c r="I32" s="4">
        <f>SUM($F$5:$F32)-SUM($E$5:$E32)</f>
        <v>804634.1</v>
      </c>
      <c r="J32" s="4">
        <f t="shared" si="0"/>
        <v>0</v>
      </c>
    </row>
    <row r="33" spans="1:10" x14ac:dyDescent="0.75">
      <c r="A33" s="3" t="s">
        <v>39</v>
      </c>
      <c r="B33" s="3" t="s">
        <v>39</v>
      </c>
      <c r="C33" s="3" t="s">
        <v>42</v>
      </c>
      <c r="E33" s="3">
        <v>12646.22</v>
      </c>
      <c r="F33" s="3" t="s">
        <v>11</v>
      </c>
      <c r="G33" s="3">
        <v>791987.88</v>
      </c>
      <c r="I33" s="4">
        <f>SUM($F$5:$F33)-SUM($E$5:$E33)</f>
        <v>791987.88</v>
      </c>
      <c r="J33" s="4">
        <f t="shared" si="0"/>
        <v>0</v>
      </c>
    </row>
    <row r="34" spans="1:10" x14ac:dyDescent="0.75">
      <c r="A34" s="3" t="s">
        <v>43</v>
      </c>
      <c r="B34" s="3" t="s">
        <v>43</v>
      </c>
      <c r="C34" s="3" t="s">
        <v>44</v>
      </c>
      <c r="E34" s="3">
        <v>31493.67</v>
      </c>
      <c r="F34" s="3" t="s">
        <v>11</v>
      </c>
      <c r="G34" s="3">
        <v>760494.21</v>
      </c>
      <c r="I34" s="4">
        <f>SUM($F$5:$F34)-SUM($E$5:$E34)</f>
        <v>760494.21</v>
      </c>
      <c r="J34" s="4">
        <f t="shared" si="0"/>
        <v>0</v>
      </c>
    </row>
    <row r="35" spans="1:10" x14ac:dyDescent="0.75">
      <c r="A35" s="3" t="s">
        <v>43</v>
      </c>
      <c r="B35" s="3" t="s">
        <v>43</v>
      </c>
      <c r="C35" s="3" t="s">
        <v>30</v>
      </c>
      <c r="E35" s="3" t="s">
        <v>11</v>
      </c>
      <c r="F35" s="3">
        <v>19652.2</v>
      </c>
      <c r="G35" s="3">
        <v>780146.41</v>
      </c>
      <c r="I35" s="4">
        <f>SUM($F$5:$F35)-SUM($E$5:$E35)</f>
        <v>780146.40999999992</v>
      </c>
      <c r="J35" s="4">
        <f t="shared" si="0"/>
        <v>0</v>
      </c>
    </row>
    <row r="36" spans="1:10" x14ac:dyDescent="0.75">
      <c r="A36" s="3" t="s">
        <v>45</v>
      </c>
      <c r="B36" s="3" t="s">
        <v>45</v>
      </c>
      <c r="C36" s="3" t="s">
        <v>46</v>
      </c>
      <c r="E36" s="3">
        <v>1264.3900000000001</v>
      </c>
      <c r="F36" s="3" t="s">
        <v>11</v>
      </c>
      <c r="G36" s="3">
        <v>778882.02</v>
      </c>
      <c r="I36" s="4">
        <f>SUM($F$5:$F36)-SUM($E$5:$E36)</f>
        <v>778882.02</v>
      </c>
      <c r="J36" s="4">
        <f t="shared" si="0"/>
        <v>0</v>
      </c>
    </row>
    <row r="37" spans="1:10" x14ac:dyDescent="0.75">
      <c r="A37" s="3" t="s">
        <v>45</v>
      </c>
      <c r="B37" s="3" t="s">
        <v>45</v>
      </c>
      <c r="C37" s="3" t="s">
        <v>47</v>
      </c>
      <c r="E37" s="3">
        <v>3616.2</v>
      </c>
      <c r="F37" s="3" t="s">
        <v>11</v>
      </c>
      <c r="G37" s="3">
        <v>775265.82</v>
      </c>
      <c r="I37" s="4">
        <f>SUM($F$5:$F37)-SUM($E$5:$E37)</f>
        <v>775265.82</v>
      </c>
      <c r="J37" s="4">
        <f t="shared" si="0"/>
        <v>0</v>
      </c>
    </row>
    <row r="38" spans="1:10" x14ac:dyDescent="0.75">
      <c r="A38" s="3" t="s">
        <v>45</v>
      </c>
      <c r="B38" s="3" t="s">
        <v>45</v>
      </c>
      <c r="C38" s="3" t="s">
        <v>48</v>
      </c>
      <c r="E38" s="3">
        <v>3616.2</v>
      </c>
      <c r="F38" s="3" t="s">
        <v>11</v>
      </c>
      <c r="G38" s="3">
        <v>771649.62</v>
      </c>
      <c r="I38" s="4">
        <f>SUM($F$5:$F38)-SUM($E$5:$E38)</f>
        <v>771649.61999999988</v>
      </c>
      <c r="J38" s="4">
        <f t="shared" si="0"/>
        <v>0</v>
      </c>
    </row>
    <row r="39" spans="1:10" x14ac:dyDescent="0.75">
      <c r="A39" s="3" t="s">
        <v>45</v>
      </c>
      <c r="B39" s="3" t="s">
        <v>45</v>
      </c>
      <c r="C39" s="3" t="s">
        <v>49</v>
      </c>
      <c r="E39" s="3">
        <v>20689.61</v>
      </c>
      <c r="F39" s="3" t="s">
        <v>11</v>
      </c>
      <c r="G39" s="3">
        <v>750960.01</v>
      </c>
      <c r="I39" s="4">
        <f>SUM($F$5:$F39)-SUM($E$5:$E39)</f>
        <v>750960.01</v>
      </c>
      <c r="J39" s="4">
        <f t="shared" si="0"/>
        <v>0</v>
      </c>
    </row>
    <row r="40" spans="1:10" x14ac:dyDescent="0.75">
      <c r="A40" s="3" t="s">
        <v>45</v>
      </c>
      <c r="B40" s="3" t="s">
        <v>45</v>
      </c>
      <c r="C40" s="3" t="s">
        <v>50</v>
      </c>
      <c r="E40" s="3">
        <v>23935.72</v>
      </c>
      <c r="F40" s="3" t="s">
        <v>11</v>
      </c>
      <c r="G40" s="3">
        <v>727024.29</v>
      </c>
      <c r="I40" s="4">
        <f>SUM($F$5:$F40)-SUM($E$5:$E40)</f>
        <v>727024.28999999992</v>
      </c>
      <c r="J40" s="4">
        <f t="shared" si="0"/>
        <v>0</v>
      </c>
    </row>
    <row r="41" spans="1:10" x14ac:dyDescent="0.75">
      <c r="A41" s="3" t="s">
        <v>45</v>
      </c>
      <c r="B41" s="3" t="s">
        <v>45</v>
      </c>
      <c r="C41" s="3" t="s">
        <v>51</v>
      </c>
      <c r="E41" s="3">
        <v>28173.55</v>
      </c>
      <c r="F41" s="3" t="s">
        <v>11</v>
      </c>
      <c r="G41" s="3">
        <v>698850.74</v>
      </c>
      <c r="I41" s="4">
        <f>SUM($F$5:$F41)-SUM($E$5:$E41)</f>
        <v>698850.74</v>
      </c>
      <c r="J41" s="4">
        <f t="shared" si="0"/>
        <v>0</v>
      </c>
    </row>
    <row r="42" spans="1:10" x14ac:dyDescent="0.75">
      <c r="A42" s="3" t="s">
        <v>45</v>
      </c>
      <c r="B42" s="3" t="s">
        <v>45</v>
      </c>
      <c r="C42" s="3" t="s">
        <v>52</v>
      </c>
      <c r="E42" s="3">
        <v>56617.45</v>
      </c>
      <c r="F42" s="3" t="s">
        <v>11</v>
      </c>
      <c r="G42" s="3">
        <v>642233.29</v>
      </c>
      <c r="I42" s="4">
        <f>SUM($F$5:$F42)-SUM($E$5:$E42)</f>
        <v>642233.28999999992</v>
      </c>
      <c r="J42" s="4">
        <f t="shared" si="0"/>
        <v>0</v>
      </c>
    </row>
    <row r="43" spans="1:10" x14ac:dyDescent="0.75">
      <c r="A43" s="3" t="s">
        <v>45</v>
      </c>
      <c r="B43" s="3" t="s">
        <v>45</v>
      </c>
      <c r="C43" s="3" t="s">
        <v>30</v>
      </c>
      <c r="E43" s="3" t="s">
        <v>11</v>
      </c>
      <c r="F43" s="3">
        <v>41376.83</v>
      </c>
      <c r="G43" s="3">
        <v>683610.12</v>
      </c>
      <c r="I43" s="4">
        <f>SUM($F$5:$F43)-SUM($E$5:$E43)</f>
        <v>683610.11999999988</v>
      </c>
      <c r="J43" s="4">
        <f t="shared" si="0"/>
        <v>0</v>
      </c>
    </row>
    <row r="44" spans="1:10" x14ac:dyDescent="0.75">
      <c r="A44" s="3" t="s">
        <v>53</v>
      </c>
      <c r="B44" s="3" t="s">
        <v>53</v>
      </c>
      <c r="C44" s="3" t="s">
        <v>54</v>
      </c>
      <c r="E44" s="3">
        <v>525.47</v>
      </c>
      <c r="F44" s="3" t="s">
        <v>11</v>
      </c>
      <c r="G44" s="3">
        <v>683084.65</v>
      </c>
      <c r="I44" s="4">
        <f>SUM($F$5:$F44)-SUM($E$5:$E44)</f>
        <v>683084.64999999991</v>
      </c>
      <c r="J44" s="4">
        <f t="shared" si="0"/>
        <v>0</v>
      </c>
    </row>
    <row r="45" spans="1:10" x14ac:dyDescent="0.75">
      <c r="A45" s="3" t="s">
        <v>53</v>
      </c>
      <c r="B45" s="3" t="s">
        <v>53</v>
      </c>
      <c r="C45" s="3" t="s">
        <v>55</v>
      </c>
      <c r="E45" s="3">
        <v>954.48</v>
      </c>
      <c r="F45" s="3" t="s">
        <v>11</v>
      </c>
      <c r="G45" s="3">
        <v>682130.17</v>
      </c>
      <c r="I45" s="4">
        <f>SUM($F$5:$F45)-SUM($E$5:$E45)</f>
        <v>682130.16999999993</v>
      </c>
      <c r="J45" s="4">
        <f t="shared" si="0"/>
        <v>0</v>
      </c>
    </row>
    <row r="46" spans="1:10" x14ac:dyDescent="0.75">
      <c r="A46" s="3" t="s">
        <v>53</v>
      </c>
      <c r="B46" s="3" t="s">
        <v>53</v>
      </c>
      <c r="C46" s="3" t="s">
        <v>56</v>
      </c>
      <c r="E46" s="3">
        <v>2910</v>
      </c>
      <c r="F46" s="3" t="s">
        <v>11</v>
      </c>
      <c r="G46" s="3">
        <v>679220.17</v>
      </c>
      <c r="I46" s="4">
        <f>SUM($F$5:$F46)-SUM($E$5:$E46)</f>
        <v>679220.16999999993</v>
      </c>
      <c r="J46" s="4">
        <f t="shared" si="0"/>
        <v>0</v>
      </c>
    </row>
    <row r="47" spans="1:10" x14ac:dyDescent="0.75">
      <c r="A47" s="3" t="s">
        <v>53</v>
      </c>
      <c r="B47" s="3" t="s">
        <v>53</v>
      </c>
      <c r="C47" s="3" t="s">
        <v>57</v>
      </c>
      <c r="E47" s="3">
        <v>3195.3</v>
      </c>
      <c r="F47" s="3" t="s">
        <v>11</v>
      </c>
      <c r="G47" s="3">
        <v>676024.87</v>
      </c>
      <c r="I47" s="4">
        <f>SUM($F$5:$F47)-SUM($E$5:$E47)</f>
        <v>676024.86999999988</v>
      </c>
      <c r="J47" s="4">
        <f t="shared" si="0"/>
        <v>0</v>
      </c>
    </row>
    <row r="48" spans="1:10" x14ac:dyDescent="0.75">
      <c r="A48" s="3" t="s">
        <v>53</v>
      </c>
      <c r="B48" s="3" t="s">
        <v>53</v>
      </c>
      <c r="C48" s="3" t="s">
        <v>58</v>
      </c>
      <c r="E48" s="3">
        <v>13382.27</v>
      </c>
      <c r="F48" s="3" t="s">
        <v>11</v>
      </c>
      <c r="G48" s="3">
        <v>662642.6</v>
      </c>
      <c r="I48" s="4">
        <f>SUM($F$5:$F48)-SUM($E$5:$E48)</f>
        <v>662642.59999999986</v>
      </c>
      <c r="J48" s="4">
        <f t="shared" si="0"/>
        <v>0</v>
      </c>
    </row>
    <row r="49" spans="1:10" x14ac:dyDescent="0.75">
      <c r="A49" s="3" t="s">
        <v>53</v>
      </c>
      <c r="B49" s="3" t="s">
        <v>53</v>
      </c>
      <c r="C49" s="3" t="s">
        <v>59</v>
      </c>
      <c r="E49" s="3">
        <v>15592.5</v>
      </c>
      <c r="F49" s="3" t="s">
        <v>11</v>
      </c>
      <c r="G49" s="3">
        <v>647050.1</v>
      </c>
      <c r="I49" s="4">
        <f>SUM($F$5:$F49)-SUM($E$5:$E49)</f>
        <v>647050.09999999986</v>
      </c>
      <c r="J49" s="4">
        <f t="shared" si="0"/>
        <v>0</v>
      </c>
    </row>
    <row r="50" spans="1:10" x14ac:dyDescent="0.75">
      <c r="A50" s="3" t="s">
        <v>53</v>
      </c>
      <c r="B50" s="3" t="s">
        <v>53</v>
      </c>
      <c r="C50" s="3" t="s">
        <v>30</v>
      </c>
      <c r="E50" s="3" t="s">
        <v>11</v>
      </c>
      <c r="F50" s="3">
        <v>91757.51</v>
      </c>
      <c r="G50" s="3">
        <v>738807.61</v>
      </c>
      <c r="I50" s="4">
        <f>SUM($F$5:$F50)-SUM($E$5:$E50)</f>
        <v>738807.60999999987</v>
      </c>
      <c r="J50" s="4">
        <f t="shared" si="0"/>
        <v>0</v>
      </c>
    </row>
    <row r="51" spans="1:10" x14ac:dyDescent="0.75">
      <c r="A51" s="3" t="s">
        <v>60</v>
      </c>
      <c r="B51" s="3" t="s">
        <v>60</v>
      </c>
      <c r="C51" s="3" t="s">
        <v>61</v>
      </c>
      <c r="E51" s="3">
        <v>295.31</v>
      </c>
      <c r="F51" s="3" t="s">
        <v>11</v>
      </c>
      <c r="G51" s="3">
        <v>738512.3</v>
      </c>
      <c r="I51" s="4">
        <f>SUM($F$5:$F51)-SUM($E$5:$E51)</f>
        <v>738512.29999999981</v>
      </c>
      <c r="J51" s="4">
        <f t="shared" si="0"/>
        <v>0</v>
      </c>
    </row>
    <row r="52" spans="1:10" x14ac:dyDescent="0.75">
      <c r="A52" s="3" t="s">
        <v>60</v>
      </c>
      <c r="B52" s="3" t="s">
        <v>60</v>
      </c>
      <c r="C52" s="3" t="s">
        <v>62</v>
      </c>
      <c r="E52" s="3">
        <v>4195.57</v>
      </c>
      <c r="F52" s="3" t="s">
        <v>11</v>
      </c>
      <c r="G52" s="3">
        <v>734316.73</v>
      </c>
      <c r="I52" s="4">
        <f>SUM($F$5:$F52)-SUM($E$5:$E52)</f>
        <v>734316.72999999975</v>
      </c>
      <c r="J52" s="4">
        <f t="shared" si="0"/>
        <v>0</v>
      </c>
    </row>
    <row r="53" spans="1:10" x14ac:dyDescent="0.75">
      <c r="A53" s="3" t="s">
        <v>60</v>
      </c>
      <c r="B53" s="3" t="s">
        <v>60</v>
      </c>
      <c r="C53" s="3" t="s">
        <v>63</v>
      </c>
      <c r="E53" s="3">
        <v>6671.69</v>
      </c>
      <c r="F53" s="3" t="s">
        <v>11</v>
      </c>
      <c r="G53" s="3">
        <v>727645.04</v>
      </c>
      <c r="I53" s="4">
        <f>SUM($F$5:$F53)-SUM($E$5:$E53)</f>
        <v>727645.0399999998</v>
      </c>
      <c r="J53" s="4">
        <f t="shared" si="0"/>
        <v>0</v>
      </c>
    </row>
    <row r="54" spans="1:10" x14ac:dyDescent="0.75">
      <c r="A54" s="3" t="s">
        <v>60</v>
      </c>
      <c r="B54" s="3" t="s">
        <v>60</v>
      </c>
      <c r="C54" s="3" t="s">
        <v>64</v>
      </c>
      <c r="E54" s="3">
        <v>18004.150000000001</v>
      </c>
      <c r="F54" s="3" t="s">
        <v>11</v>
      </c>
      <c r="G54" s="3">
        <v>709640.89</v>
      </c>
      <c r="I54" s="4">
        <f>SUM($F$5:$F54)-SUM($E$5:$E54)</f>
        <v>709640.88999999978</v>
      </c>
      <c r="J54" s="4">
        <f t="shared" si="0"/>
        <v>0</v>
      </c>
    </row>
    <row r="55" spans="1:10" x14ac:dyDescent="0.75">
      <c r="A55" s="3" t="s">
        <v>60</v>
      </c>
      <c r="B55" s="3" t="s">
        <v>60</v>
      </c>
      <c r="C55" s="3" t="s">
        <v>30</v>
      </c>
      <c r="E55" s="3" t="s">
        <v>11</v>
      </c>
      <c r="F55" s="3">
        <v>20910.099999999999</v>
      </c>
      <c r="G55" s="3">
        <v>730550.99</v>
      </c>
      <c r="I55" s="4">
        <f>SUM($F$5:$F55)-SUM($E$5:$E55)</f>
        <v>730550.98999999987</v>
      </c>
      <c r="J55" s="4">
        <f t="shared" si="0"/>
        <v>0</v>
      </c>
    </row>
    <row r="56" spans="1:10" x14ac:dyDescent="0.75">
      <c r="A56" s="3" t="s">
        <v>65</v>
      </c>
      <c r="B56" s="3" t="s">
        <v>65</v>
      </c>
      <c r="C56" s="3" t="s">
        <v>66</v>
      </c>
      <c r="E56" s="3">
        <v>2425.5</v>
      </c>
      <c r="F56" s="3" t="s">
        <v>11</v>
      </c>
      <c r="G56" s="3">
        <v>728125.49</v>
      </c>
      <c r="I56" s="4">
        <f>SUM($F$5:$F56)-SUM($E$5:$E56)</f>
        <v>728125.48999999987</v>
      </c>
      <c r="J56" s="4">
        <f t="shared" si="0"/>
        <v>0</v>
      </c>
    </row>
    <row r="57" spans="1:10" x14ac:dyDescent="0.75">
      <c r="A57" s="3" t="s">
        <v>65</v>
      </c>
      <c r="B57" s="3" t="s">
        <v>65</v>
      </c>
      <c r="C57" s="3" t="s">
        <v>30</v>
      </c>
      <c r="E57" s="3" t="s">
        <v>11</v>
      </c>
      <c r="F57" s="3">
        <v>19110.41</v>
      </c>
      <c r="G57" s="3">
        <v>747235.9</v>
      </c>
      <c r="I57" s="4">
        <f>SUM($F$5:$F57)-SUM($E$5:$E57)</f>
        <v>747235.89999999979</v>
      </c>
      <c r="J57" s="4">
        <f t="shared" si="0"/>
        <v>0</v>
      </c>
    </row>
    <row r="58" spans="1:10" x14ac:dyDescent="0.75">
      <c r="A58" s="3" t="s">
        <v>67</v>
      </c>
      <c r="B58" s="3" t="s">
        <v>67</v>
      </c>
      <c r="C58" s="3" t="s">
        <v>68</v>
      </c>
      <c r="E58" s="3">
        <v>1167.0899999999999</v>
      </c>
      <c r="F58" s="3" t="s">
        <v>11</v>
      </c>
      <c r="G58" s="3">
        <v>746068.81</v>
      </c>
      <c r="I58" s="4">
        <f>SUM($F$5:$F58)-SUM($E$5:$E58)</f>
        <v>746068.80999999982</v>
      </c>
      <c r="J58" s="4">
        <f t="shared" si="0"/>
        <v>0</v>
      </c>
    </row>
    <row r="59" spans="1:10" x14ac:dyDescent="0.75">
      <c r="A59" s="3" t="s">
        <v>67</v>
      </c>
      <c r="B59" s="3" t="s">
        <v>67</v>
      </c>
      <c r="C59" s="3" t="s">
        <v>69</v>
      </c>
      <c r="E59" s="3">
        <v>1914.8</v>
      </c>
      <c r="F59" s="3" t="s">
        <v>11</v>
      </c>
      <c r="G59" s="3">
        <v>744154.01</v>
      </c>
      <c r="I59" s="4">
        <f>SUM($F$5:$F59)-SUM($E$5:$E59)</f>
        <v>744154.00999999978</v>
      </c>
      <c r="J59" s="4">
        <f t="shared" si="0"/>
        <v>0</v>
      </c>
    </row>
    <row r="60" spans="1:10" x14ac:dyDescent="0.75">
      <c r="A60" s="3" t="s">
        <v>67</v>
      </c>
      <c r="B60" s="3" t="s">
        <v>67</v>
      </c>
      <c r="C60" s="3" t="s">
        <v>70</v>
      </c>
      <c r="E60" s="3">
        <v>2153.4</v>
      </c>
      <c r="F60" s="3" t="s">
        <v>11</v>
      </c>
      <c r="G60" s="3">
        <v>742000.61</v>
      </c>
      <c r="I60" s="4">
        <f>SUM($F$5:$F60)-SUM($E$5:$E60)</f>
        <v>742000.60999999975</v>
      </c>
      <c r="J60" s="4">
        <f t="shared" si="0"/>
        <v>0</v>
      </c>
    </row>
    <row r="61" spans="1:10" x14ac:dyDescent="0.75">
      <c r="A61" s="3" t="s">
        <v>67</v>
      </c>
      <c r="B61" s="3" t="s">
        <v>67</v>
      </c>
      <c r="C61" s="3" t="s">
        <v>71</v>
      </c>
      <c r="E61" s="3">
        <v>3104.44</v>
      </c>
      <c r="F61" s="3" t="s">
        <v>11</v>
      </c>
      <c r="G61" s="3">
        <v>738896.17</v>
      </c>
      <c r="I61" s="4">
        <f>SUM($F$5:$F61)-SUM($E$5:$E61)</f>
        <v>738896.16999999969</v>
      </c>
      <c r="J61" s="4">
        <f t="shared" si="0"/>
        <v>0</v>
      </c>
    </row>
    <row r="62" spans="1:10" x14ac:dyDescent="0.75">
      <c r="A62" s="3" t="s">
        <v>67</v>
      </c>
      <c r="B62" s="3" t="s">
        <v>67</v>
      </c>
      <c r="C62" s="3" t="s">
        <v>72</v>
      </c>
      <c r="E62" s="3">
        <v>3638.84</v>
      </c>
      <c r="F62" s="3" t="s">
        <v>11</v>
      </c>
      <c r="G62" s="3">
        <v>735257.33</v>
      </c>
      <c r="I62" s="4">
        <f>SUM($F$5:$F62)-SUM($E$5:$E62)</f>
        <v>735257.32999999973</v>
      </c>
      <c r="J62" s="4">
        <f t="shared" si="0"/>
        <v>0</v>
      </c>
    </row>
    <row r="63" spans="1:10" x14ac:dyDescent="0.75">
      <c r="A63" s="3" t="s">
        <v>67</v>
      </c>
      <c r="B63" s="3" t="s">
        <v>67</v>
      </c>
      <c r="C63" s="3" t="s">
        <v>73</v>
      </c>
      <c r="E63" s="3">
        <v>4892.95</v>
      </c>
      <c r="F63" s="3" t="s">
        <v>11</v>
      </c>
      <c r="G63" s="3">
        <v>730364.38</v>
      </c>
      <c r="I63" s="4">
        <f>SUM($F$5:$F63)-SUM($E$5:$E63)</f>
        <v>730364.37999999966</v>
      </c>
      <c r="J63" s="4">
        <f t="shared" si="0"/>
        <v>0</v>
      </c>
    </row>
    <row r="64" spans="1:10" x14ac:dyDescent="0.75">
      <c r="A64" s="3" t="s">
        <v>67</v>
      </c>
      <c r="B64" s="3" t="s">
        <v>67</v>
      </c>
      <c r="C64" s="3" t="s">
        <v>74</v>
      </c>
      <c r="E64" s="3">
        <v>24158.71</v>
      </c>
      <c r="F64" s="3" t="s">
        <v>11</v>
      </c>
      <c r="G64" s="3">
        <v>706205.67</v>
      </c>
      <c r="I64" s="4">
        <f>SUM($F$5:$F64)-SUM($E$5:$E64)</f>
        <v>706205.66999999969</v>
      </c>
      <c r="J64" s="4">
        <f t="shared" si="0"/>
        <v>0</v>
      </c>
    </row>
    <row r="65" spans="1:10" x14ac:dyDescent="0.75">
      <c r="A65" s="3" t="s">
        <v>67</v>
      </c>
      <c r="B65" s="3" t="s">
        <v>67</v>
      </c>
      <c r="C65" s="3" t="s">
        <v>75</v>
      </c>
      <c r="E65" s="3">
        <v>32331.15</v>
      </c>
      <c r="F65" s="3" t="s">
        <v>11</v>
      </c>
      <c r="G65" s="3">
        <v>673874.52</v>
      </c>
      <c r="I65" s="4">
        <f>SUM($F$5:$F65)-SUM($E$5:$E65)</f>
        <v>673874.51999999967</v>
      </c>
      <c r="J65" s="4">
        <f t="shared" si="0"/>
        <v>0</v>
      </c>
    </row>
    <row r="66" spans="1:10" x14ac:dyDescent="0.75">
      <c r="A66" s="3" t="s">
        <v>67</v>
      </c>
      <c r="B66" s="3" t="s">
        <v>67</v>
      </c>
      <c r="C66" s="3" t="s">
        <v>76</v>
      </c>
      <c r="E66" s="3">
        <v>101184.33</v>
      </c>
      <c r="F66" s="3" t="s">
        <v>11</v>
      </c>
      <c r="G66" s="3">
        <v>572690.18999999994</v>
      </c>
      <c r="I66" s="4">
        <f>SUM($F$5:$F66)-SUM($E$5:$E66)</f>
        <v>572690.18999999971</v>
      </c>
      <c r="J66" s="4">
        <f t="shared" si="0"/>
        <v>0</v>
      </c>
    </row>
    <row r="67" spans="1:10" x14ac:dyDescent="0.75">
      <c r="A67" s="3" t="s">
        <v>67</v>
      </c>
      <c r="B67" s="3" t="s">
        <v>67</v>
      </c>
      <c r="C67" s="3" t="s">
        <v>77</v>
      </c>
      <c r="E67" s="3">
        <v>116981.36</v>
      </c>
      <c r="F67" s="3" t="s">
        <v>11</v>
      </c>
      <c r="G67" s="3">
        <v>455708.83</v>
      </c>
      <c r="I67" s="4">
        <f>SUM($F$5:$F67)-SUM($E$5:$E67)</f>
        <v>455708.82999999973</v>
      </c>
      <c r="J67" s="4">
        <f t="shared" si="0"/>
        <v>0</v>
      </c>
    </row>
    <row r="68" spans="1:10" x14ac:dyDescent="0.75">
      <c r="A68" s="3" t="s">
        <v>67</v>
      </c>
      <c r="B68" s="3" t="s">
        <v>67</v>
      </c>
      <c r="C68" s="3" t="s">
        <v>78</v>
      </c>
      <c r="E68" s="3">
        <v>4620.25</v>
      </c>
      <c r="F68" s="3" t="s">
        <v>11</v>
      </c>
      <c r="G68" s="3">
        <v>451088.58</v>
      </c>
      <c r="I68" s="4">
        <f>SUM($F$5:$F68)-SUM($E$5:$E68)</f>
        <v>451088.57999999973</v>
      </c>
      <c r="J68" s="4">
        <f t="shared" si="0"/>
        <v>0</v>
      </c>
    </row>
    <row r="69" spans="1:10" x14ac:dyDescent="0.75">
      <c r="A69" s="3" t="s">
        <v>79</v>
      </c>
      <c r="B69" s="3" t="s">
        <v>79</v>
      </c>
      <c r="C69" s="3" t="s">
        <v>80</v>
      </c>
      <c r="E69" s="3">
        <v>552.9</v>
      </c>
      <c r="F69" s="3" t="s">
        <v>11</v>
      </c>
      <c r="G69" s="3">
        <v>450535.67999999999</v>
      </c>
      <c r="I69" s="4">
        <f>SUM($F$5:$F69)-SUM($E$5:$E69)</f>
        <v>450535.6799999997</v>
      </c>
      <c r="J69" s="4">
        <f t="shared" si="0"/>
        <v>0</v>
      </c>
    </row>
    <row r="70" spans="1:10" x14ac:dyDescent="0.75">
      <c r="A70" s="3" t="s">
        <v>79</v>
      </c>
      <c r="B70" s="3" t="s">
        <v>79</v>
      </c>
      <c r="C70" s="3" t="s">
        <v>81</v>
      </c>
      <c r="E70" s="3">
        <v>2413.3200000000002</v>
      </c>
      <c r="F70" s="3" t="s">
        <v>11</v>
      </c>
      <c r="G70" s="3">
        <v>448122.36</v>
      </c>
      <c r="I70" s="4">
        <f>SUM($F$5:$F70)-SUM($E$5:$E70)</f>
        <v>448122.35999999975</v>
      </c>
      <c r="J70" s="4">
        <f t="shared" ref="J70:J133" si="1">I70-G70</f>
        <v>0</v>
      </c>
    </row>
    <row r="71" spans="1:10" x14ac:dyDescent="0.75">
      <c r="A71" s="3" t="s">
        <v>79</v>
      </c>
      <c r="B71" s="3" t="s">
        <v>79</v>
      </c>
      <c r="C71" s="3" t="s">
        <v>82</v>
      </c>
      <c r="E71" s="3">
        <v>169275.4</v>
      </c>
      <c r="F71" s="3" t="s">
        <v>11</v>
      </c>
      <c r="G71" s="3">
        <v>278846.96000000002</v>
      </c>
      <c r="I71" s="4">
        <f>SUM($F$5:$F71)-SUM($E$5:$E71)</f>
        <v>278846.95999999973</v>
      </c>
      <c r="J71" s="4">
        <f t="shared" si="1"/>
        <v>0</v>
      </c>
    </row>
    <row r="72" spans="1:10" x14ac:dyDescent="0.75">
      <c r="A72" s="3" t="s">
        <v>79</v>
      </c>
      <c r="B72" s="3" t="s">
        <v>79</v>
      </c>
      <c r="C72" s="3" t="s">
        <v>30</v>
      </c>
      <c r="E72" s="3" t="s">
        <v>11</v>
      </c>
      <c r="F72" s="3">
        <v>44298.080000000002</v>
      </c>
      <c r="G72" s="3">
        <v>323145.03999999998</v>
      </c>
      <c r="I72" s="4">
        <f>SUM($F$5:$F72)-SUM($E$5:$E72)</f>
        <v>323145.0399999998</v>
      </c>
      <c r="J72" s="4">
        <f t="shared" si="1"/>
        <v>0</v>
      </c>
    </row>
    <row r="73" spans="1:10" x14ac:dyDescent="0.75">
      <c r="A73" s="3" t="s">
        <v>83</v>
      </c>
      <c r="B73" s="3" t="s">
        <v>83</v>
      </c>
      <c r="C73" s="3" t="s">
        <v>84</v>
      </c>
      <c r="E73" s="3">
        <v>656.1</v>
      </c>
      <c r="F73" s="3" t="s">
        <v>11</v>
      </c>
      <c r="G73" s="3">
        <v>322488.94</v>
      </c>
      <c r="I73" s="4">
        <f>SUM($F$5:$F73)-SUM($E$5:$E73)</f>
        <v>322488.93999999983</v>
      </c>
      <c r="J73" s="4">
        <f t="shared" si="1"/>
        <v>0</v>
      </c>
    </row>
    <row r="74" spans="1:10" x14ac:dyDescent="0.75">
      <c r="A74" s="3" t="s">
        <v>83</v>
      </c>
      <c r="B74" s="3" t="s">
        <v>83</v>
      </c>
      <c r="C74" s="3" t="s">
        <v>85</v>
      </c>
      <c r="E74" s="3">
        <v>1</v>
      </c>
      <c r="F74" s="3" t="s">
        <v>11</v>
      </c>
      <c r="G74" s="3">
        <v>322487.94</v>
      </c>
      <c r="I74" s="4">
        <f>SUM($F$5:$F74)-SUM($E$5:$E74)</f>
        <v>322487.93999999983</v>
      </c>
      <c r="J74" s="4">
        <f t="shared" si="1"/>
        <v>0</v>
      </c>
    </row>
    <row r="75" spans="1:10" x14ac:dyDescent="0.75">
      <c r="A75" s="3" t="s">
        <v>83</v>
      </c>
      <c r="B75" s="3" t="s">
        <v>83</v>
      </c>
      <c r="C75" s="3" t="s">
        <v>86</v>
      </c>
      <c r="F75" s="3" t="s">
        <v>11</v>
      </c>
      <c r="G75" s="4">
        <v>322487.94</v>
      </c>
      <c r="I75" s="4">
        <f>SUM($F$5:$F75)-SUM($E$5:$E75)</f>
        <v>322487.93999999983</v>
      </c>
      <c r="J75" s="4">
        <f t="shared" si="1"/>
        <v>0</v>
      </c>
    </row>
    <row r="76" spans="1:10" x14ac:dyDescent="0.75">
      <c r="A76" s="3" t="s">
        <v>87</v>
      </c>
      <c r="B76" s="3" t="s">
        <v>87</v>
      </c>
      <c r="C76" s="3" t="s">
        <v>88</v>
      </c>
      <c r="E76" s="4">
        <v>202395.28</v>
      </c>
      <c r="F76" s="3" t="s">
        <v>11</v>
      </c>
      <c r="G76" s="4">
        <v>120092.66</v>
      </c>
      <c r="I76" s="4">
        <f>SUM($F$5:$F76)-SUM($E$5:$E76)</f>
        <v>120092.65999999992</v>
      </c>
      <c r="J76" s="4">
        <f t="shared" si="1"/>
        <v>0</v>
      </c>
    </row>
    <row r="77" spans="1:10" x14ac:dyDescent="0.75">
      <c r="A77" s="3" t="s">
        <v>87</v>
      </c>
      <c r="B77" s="3" t="s">
        <v>89</v>
      </c>
      <c r="C77" s="3" t="s">
        <v>30</v>
      </c>
      <c r="E77" s="3" t="s">
        <v>11</v>
      </c>
      <c r="F77" s="4">
        <v>58257.53</v>
      </c>
      <c r="G77" s="4">
        <v>178350.19</v>
      </c>
      <c r="I77" s="4">
        <f>SUM($F$5:$F77)-SUM($E$5:$E77)</f>
        <v>178350.18999999994</v>
      </c>
      <c r="J77" s="4">
        <f t="shared" si="1"/>
        <v>0</v>
      </c>
    </row>
    <row r="78" spans="1:10" x14ac:dyDescent="0.75">
      <c r="A78" s="3" t="s">
        <v>89</v>
      </c>
      <c r="B78" s="3" t="s">
        <v>89</v>
      </c>
      <c r="C78" s="3" t="s">
        <v>90</v>
      </c>
      <c r="E78" s="3">
        <v>302.5</v>
      </c>
      <c r="F78" s="3" t="s">
        <v>11</v>
      </c>
      <c r="G78" s="4">
        <v>178047.69</v>
      </c>
      <c r="I78" s="4">
        <f>SUM($F$5:$F78)-SUM($E$5:$E78)</f>
        <v>178047.68999999994</v>
      </c>
      <c r="J78" s="4">
        <f t="shared" si="1"/>
        <v>0</v>
      </c>
    </row>
    <row r="79" spans="1:10" x14ac:dyDescent="0.75">
      <c r="A79" s="3" t="s">
        <v>89</v>
      </c>
      <c r="B79" s="3" t="s">
        <v>91</v>
      </c>
      <c r="C79" s="3" t="s">
        <v>30</v>
      </c>
      <c r="E79" s="3" t="s">
        <v>11</v>
      </c>
      <c r="F79" s="4">
        <v>66910.75</v>
      </c>
      <c r="G79" s="4">
        <v>244958.44</v>
      </c>
      <c r="I79" s="4">
        <f>SUM($F$5:$F79)-SUM($E$5:$E79)</f>
        <v>244958.43999999994</v>
      </c>
      <c r="J79" s="4">
        <f t="shared" si="1"/>
        <v>0</v>
      </c>
    </row>
    <row r="80" spans="1:10" x14ac:dyDescent="0.75">
      <c r="A80" s="3" t="s">
        <v>91</v>
      </c>
      <c r="B80" s="3" t="s">
        <v>91</v>
      </c>
      <c r="C80" s="3" t="s">
        <v>92</v>
      </c>
      <c r="E80" s="4">
        <v>4490.5600000000004</v>
      </c>
      <c r="F80" s="3" t="s">
        <v>11</v>
      </c>
      <c r="G80" s="4">
        <v>240467.88</v>
      </c>
      <c r="I80" s="4">
        <f>SUM($F$5:$F80)-SUM($E$5:$E80)</f>
        <v>240467.87999999989</v>
      </c>
      <c r="J80" s="4">
        <f t="shared" si="1"/>
        <v>0</v>
      </c>
    </row>
    <row r="81" spans="1:10" x14ac:dyDescent="0.75">
      <c r="A81" s="3" t="s">
        <v>91</v>
      </c>
      <c r="C81" s="3" t="s">
        <v>30</v>
      </c>
      <c r="E81" s="3" t="s">
        <v>11</v>
      </c>
      <c r="F81" s="4">
        <v>89565.85</v>
      </c>
      <c r="G81" s="4">
        <v>330033.73</v>
      </c>
      <c r="I81" s="4">
        <f>SUM($F$5:$F81)-SUM($E$5:$E81)</f>
        <v>330033.73</v>
      </c>
      <c r="J81" s="4">
        <f t="shared" si="1"/>
        <v>0</v>
      </c>
    </row>
    <row r="82" spans="1:10" x14ac:dyDescent="0.75">
      <c r="A82" s="5">
        <v>43469</v>
      </c>
      <c r="B82" s="5">
        <v>43469</v>
      </c>
      <c r="C82" s="3" t="s">
        <v>93</v>
      </c>
      <c r="E82" s="3">
        <v>3000</v>
      </c>
      <c r="F82" s="3" t="s">
        <v>11</v>
      </c>
      <c r="G82" s="4">
        <v>327033.73</v>
      </c>
      <c r="I82" s="4">
        <f>SUM($F$5:$F82)-SUM($E$5:$E82)</f>
        <v>327033.73</v>
      </c>
      <c r="J82" s="4">
        <f t="shared" si="1"/>
        <v>0</v>
      </c>
    </row>
    <row r="83" spans="1:10" x14ac:dyDescent="0.75">
      <c r="A83" s="5">
        <v>43469</v>
      </c>
      <c r="B83" s="5">
        <v>43469</v>
      </c>
      <c r="C83" s="3" t="s">
        <v>94</v>
      </c>
      <c r="E83" s="3">
        <v>14357.54</v>
      </c>
      <c r="F83" s="4" t="s">
        <v>11</v>
      </c>
      <c r="G83" s="4">
        <v>312676.19</v>
      </c>
      <c r="I83" s="4">
        <f>SUM($F$5:$F83)-SUM($E$5:$E83)</f>
        <v>312676.18999999994</v>
      </c>
      <c r="J83" s="4">
        <f t="shared" si="1"/>
        <v>0</v>
      </c>
    </row>
    <row r="84" spans="1:10" x14ac:dyDescent="0.75">
      <c r="A84" s="5">
        <v>43469</v>
      </c>
      <c r="B84" s="5">
        <v>43469</v>
      </c>
      <c r="C84" s="3" t="s">
        <v>95</v>
      </c>
      <c r="E84" s="4">
        <v>1680</v>
      </c>
      <c r="F84" s="3" t="s">
        <v>11</v>
      </c>
      <c r="G84" s="4">
        <v>310996.19</v>
      </c>
      <c r="I84" s="4">
        <f>SUM($F$5:$F84)-SUM($E$5:$E84)</f>
        <v>310996.18999999994</v>
      </c>
      <c r="J84" s="4">
        <f t="shared" si="1"/>
        <v>0</v>
      </c>
    </row>
    <row r="85" spans="1:10" x14ac:dyDescent="0.75">
      <c r="A85" s="5">
        <v>43469</v>
      </c>
      <c r="B85" s="5">
        <v>43469</v>
      </c>
      <c r="C85" s="3" t="s">
        <v>96</v>
      </c>
      <c r="E85" s="3">
        <v>3774</v>
      </c>
      <c r="F85" s="3" t="s">
        <v>11</v>
      </c>
      <c r="G85" s="3">
        <v>307222.19</v>
      </c>
      <c r="I85" s="4">
        <f>SUM($F$5:$F85)-SUM($E$5:$E85)</f>
        <v>307222.18999999994</v>
      </c>
      <c r="J85" s="4">
        <f t="shared" si="1"/>
        <v>0</v>
      </c>
    </row>
    <row r="86" spans="1:10" x14ac:dyDescent="0.75">
      <c r="A86" s="5">
        <v>43469</v>
      </c>
      <c r="B86" s="5">
        <v>43469</v>
      </c>
      <c r="C86" s="3" t="s">
        <v>30</v>
      </c>
      <c r="E86" s="3" t="s">
        <v>11</v>
      </c>
      <c r="F86" s="3">
        <v>33418.839999999997</v>
      </c>
      <c r="G86" s="3">
        <v>340641.03</v>
      </c>
      <c r="I86" s="4">
        <f>SUM($F$5:$F86)-SUM($E$5:$E86)</f>
        <v>340641.03</v>
      </c>
      <c r="J86" s="4">
        <f t="shared" si="1"/>
        <v>0</v>
      </c>
    </row>
    <row r="87" spans="1:10" x14ac:dyDescent="0.75">
      <c r="A87" s="5">
        <v>43500</v>
      </c>
      <c r="B87" s="5">
        <v>43500</v>
      </c>
      <c r="C87" s="3" t="s">
        <v>30</v>
      </c>
      <c r="E87" s="3" t="s">
        <v>11</v>
      </c>
      <c r="F87" s="3">
        <v>13534.72</v>
      </c>
      <c r="G87" s="3">
        <v>354175.75</v>
      </c>
      <c r="I87" s="4">
        <f>SUM($F$5:$F87)-SUM($E$5:$E87)</f>
        <v>354175.75</v>
      </c>
      <c r="J87" s="4">
        <f t="shared" si="1"/>
        <v>0</v>
      </c>
    </row>
    <row r="88" spans="1:10" x14ac:dyDescent="0.75">
      <c r="A88" s="5">
        <v>43528</v>
      </c>
      <c r="B88" s="5">
        <v>43528</v>
      </c>
      <c r="C88" s="3" t="s">
        <v>97</v>
      </c>
      <c r="E88" s="3">
        <v>675.39</v>
      </c>
      <c r="F88" s="3" t="s">
        <v>11</v>
      </c>
      <c r="G88" s="3">
        <v>353500.36</v>
      </c>
      <c r="I88" s="4">
        <f>SUM($F$5:$F88)-SUM($E$5:$E88)</f>
        <v>353500.3600000001</v>
      </c>
      <c r="J88" s="4">
        <f t="shared" si="1"/>
        <v>0</v>
      </c>
    </row>
    <row r="89" spans="1:10" x14ac:dyDescent="0.75">
      <c r="A89" s="5">
        <v>43528</v>
      </c>
      <c r="B89" s="5">
        <v>43528</v>
      </c>
      <c r="C89" s="3" t="s">
        <v>98</v>
      </c>
      <c r="E89" s="3">
        <v>4526.01</v>
      </c>
      <c r="F89" s="3" t="s">
        <v>11</v>
      </c>
      <c r="G89" s="3">
        <v>348974.35</v>
      </c>
      <c r="I89" s="4">
        <f>SUM($F$5:$F89)-SUM($E$5:$E89)</f>
        <v>348974.35000000009</v>
      </c>
      <c r="J89" s="4">
        <f t="shared" si="1"/>
        <v>0</v>
      </c>
    </row>
    <row r="90" spans="1:10" x14ac:dyDescent="0.75">
      <c r="A90" s="5">
        <v>43528</v>
      </c>
      <c r="B90" s="5">
        <v>43528</v>
      </c>
      <c r="C90" s="3" t="s">
        <v>99</v>
      </c>
      <c r="E90" s="3">
        <v>27522.05</v>
      </c>
      <c r="F90" s="3" t="s">
        <v>11</v>
      </c>
      <c r="G90" s="3">
        <v>321452.3</v>
      </c>
      <c r="I90" s="4">
        <f>SUM($F$5:$F90)-SUM($E$5:$E90)</f>
        <v>321452.30000000005</v>
      </c>
      <c r="J90" s="4">
        <f t="shared" si="1"/>
        <v>0</v>
      </c>
    </row>
    <row r="91" spans="1:10" x14ac:dyDescent="0.75">
      <c r="A91" s="5">
        <v>43528</v>
      </c>
      <c r="B91" s="5">
        <v>43528</v>
      </c>
      <c r="C91" s="3" t="s">
        <v>100</v>
      </c>
      <c r="E91" s="3">
        <v>9846.67</v>
      </c>
      <c r="F91" s="3" t="s">
        <v>11</v>
      </c>
      <c r="G91" s="3">
        <v>311605.63</v>
      </c>
      <c r="I91" s="4">
        <f>SUM($F$5:$F91)-SUM($E$5:$E91)</f>
        <v>311605.63000000012</v>
      </c>
      <c r="J91" s="4">
        <f t="shared" si="1"/>
        <v>0</v>
      </c>
    </row>
    <row r="92" spans="1:10" x14ac:dyDescent="0.75">
      <c r="A92" s="5">
        <v>43528</v>
      </c>
      <c r="B92" s="5">
        <v>43528</v>
      </c>
      <c r="C92" s="3" t="s">
        <v>30</v>
      </c>
      <c r="E92" s="3" t="s">
        <v>11</v>
      </c>
      <c r="F92" s="3">
        <v>448141.93</v>
      </c>
      <c r="G92" s="3">
        <v>759747.56</v>
      </c>
      <c r="I92" s="4">
        <f>SUM($F$5:$F92)-SUM($E$5:$E92)</f>
        <v>759747.56</v>
      </c>
      <c r="J92" s="4">
        <f t="shared" si="1"/>
        <v>0</v>
      </c>
    </row>
    <row r="93" spans="1:10" x14ac:dyDescent="0.75">
      <c r="A93" s="5">
        <v>43559</v>
      </c>
      <c r="B93" s="5">
        <v>43559</v>
      </c>
      <c r="C93" s="3" t="s">
        <v>101</v>
      </c>
      <c r="E93" s="3">
        <v>10721.62</v>
      </c>
      <c r="F93" s="3" t="s">
        <v>11</v>
      </c>
      <c r="G93" s="3">
        <v>749025.94</v>
      </c>
      <c r="I93" s="4">
        <f>SUM($F$5:$F93)-SUM($E$5:$E93)</f>
        <v>749025.94</v>
      </c>
      <c r="J93" s="4">
        <f t="shared" si="1"/>
        <v>0</v>
      </c>
    </row>
    <row r="94" spans="1:10" x14ac:dyDescent="0.75">
      <c r="A94" s="5">
        <v>43559</v>
      </c>
      <c r="B94" s="5">
        <v>43559</v>
      </c>
      <c r="C94" s="3" t="s">
        <v>102</v>
      </c>
      <c r="E94" s="3">
        <v>1765.4</v>
      </c>
      <c r="F94" s="3" t="s">
        <v>11</v>
      </c>
      <c r="G94" s="3">
        <v>747260.54</v>
      </c>
      <c r="I94" s="4">
        <f>SUM($F$5:$F94)-SUM($E$5:$E94)</f>
        <v>747260.54</v>
      </c>
      <c r="J94" s="4">
        <f t="shared" si="1"/>
        <v>0</v>
      </c>
    </row>
    <row r="95" spans="1:10" x14ac:dyDescent="0.75">
      <c r="A95" s="5">
        <v>43559</v>
      </c>
      <c r="B95" s="5">
        <v>43559</v>
      </c>
      <c r="C95" s="3" t="s">
        <v>30</v>
      </c>
      <c r="E95" s="3" t="s">
        <v>11</v>
      </c>
      <c r="F95" s="3">
        <v>11388.02</v>
      </c>
      <c r="G95" s="3">
        <v>758648.56</v>
      </c>
      <c r="I95" s="4">
        <f>SUM($F$5:$F95)-SUM($E$5:$E95)</f>
        <v>758648.56</v>
      </c>
      <c r="J95" s="4">
        <f t="shared" si="1"/>
        <v>0</v>
      </c>
    </row>
    <row r="96" spans="1:10" x14ac:dyDescent="0.75">
      <c r="A96" s="5">
        <v>43589</v>
      </c>
      <c r="B96" s="5">
        <v>43589</v>
      </c>
      <c r="C96" s="3" t="s">
        <v>103</v>
      </c>
      <c r="E96" s="3">
        <v>1</v>
      </c>
      <c r="F96" s="3" t="s">
        <v>11</v>
      </c>
      <c r="G96" s="3">
        <v>758647.56</v>
      </c>
      <c r="I96" s="4">
        <f>SUM($F$5:$F96)-SUM($E$5:$E96)</f>
        <v>758647.56</v>
      </c>
      <c r="J96" s="4">
        <f t="shared" si="1"/>
        <v>0</v>
      </c>
    </row>
    <row r="97" spans="1:10" x14ac:dyDescent="0.75">
      <c r="A97" s="5">
        <v>43589</v>
      </c>
      <c r="B97" s="5">
        <v>43589</v>
      </c>
      <c r="C97" s="3" t="s">
        <v>104</v>
      </c>
      <c r="E97" s="3">
        <v>2350</v>
      </c>
      <c r="F97" s="3" t="s">
        <v>11</v>
      </c>
      <c r="G97" s="3">
        <v>756297.56</v>
      </c>
      <c r="I97" s="4">
        <f>SUM($F$5:$F97)-SUM($E$5:$E97)</f>
        <v>756297.56</v>
      </c>
      <c r="J97" s="4">
        <f t="shared" si="1"/>
        <v>0</v>
      </c>
    </row>
    <row r="98" spans="1:10" x14ac:dyDescent="0.75">
      <c r="A98" s="5">
        <v>43589</v>
      </c>
      <c r="B98" s="5">
        <v>43589</v>
      </c>
      <c r="C98" s="3" t="s">
        <v>105</v>
      </c>
      <c r="E98" s="3">
        <v>16972.71</v>
      </c>
      <c r="F98" s="3" t="s">
        <v>11</v>
      </c>
      <c r="G98" s="3">
        <v>739324.85</v>
      </c>
      <c r="I98" s="4">
        <f>SUM($F$5:$F98)-SUM($E$5:$E98)</f>
        <v>739324.85000000009</v>
      </c>
      <c r="J98" s="4">
        <f t="shared" si="1"/>
        <v>0</v>
      </c>
    </row>
    <row r="99" spans="1:10" x14ac:dyDescent="0.75">
      <c r="A99" s="5">
        <v>43589</v>
      </c>
      <c r="B99" s="5">
        <v>43589</v>
      </c>
      <c r="C99" s="3" t="s">
        <v>30</v>
      </c>
      <c r="E99" s="3" t="s">
        <v>11</v>
      </c>
      <c r="F99" s="3">
        <v>125315.44</v>
      </c>
      <c r="G99" s="3">
        <v>864640.29</v>
      </c>
      <c r="I99" s="4">
        <f>SUM($F$5:$F99)-SUM($E$5:$E99)</f>
        <v>864640.29</v>
      </c>
      <c r="J99" s="4">
        <f t="shared" si="1"/>
        <v>0</v>
      </c>
    </row>
    <row r="100" spans="1:10" x14ac:dyDescent="0.75">
      <c r="A100" s="5">
        <v>43681</v>
      </c>
      <c r="B100" s="5">
        <v>43681</v>
      </c>
      <c r="C100" s="3" t="s">
        <v>106</v>
      </c>
      <c r="E100" s="3">
        <v>2334.23</v>
      </c>
      <c r="F100" s="3" t="s">
        <v>11</v>
      </c>
      <c r="G100" s="3">
        <v>862306.06</v>
      </c>
      <c r="I100" s="4">
        <f>SUM($F$5:$F100)-SUM($E$5:$E100)</f>
        <v>862306.06</v>
      </c>
      <c r="J100" s="4">
        <f t="shared" si="1"/>
        <v>0</v>
      </c>
    </row>
    <row r="101" spans="1:10" x14ac:dyDescent="0.75">
      <c r="A101" s="5">
        <v>43681</v>
      </c>
      <c r="B101" s="5">
        <v>43681</v>
      </c>
      <c r="C101" s="3" t="s">
        <v>30</v>
      </c>
      <c r="E101" s="3" t="s">
        <v>11</v>
      </c>
      <c r="F101" s="3">
        <v>18453.77</v>
      </c>
      <c r="G101" s="3">
        <v>880759.83</v>
      </c>
      <c r="I101" s="4">
        <f>SUM($F$5:$F101)-SUM($E$5:$E101)</f>
        <v>880759.83000000007</v>
      </c>
      <c r="J101" s="4">
        <f t="shared" si="1"/>
        <v>0</v>
      </c>
    </row>
    <row r="102" spans="1:10" x14ac:dyDescent="0.75">
      <c r="A102" s="5">
        <v>43712</v>
      </c>
      <c r="B102" s="5">
        <v>43712</v>
      </c>
      <c r="C102" s="3" t="s">
        <v>30</v>
      </c>
      <c r="E102" s="3" t="s">
        <v>11</v>
      </c>
      <c r="F102" s="3">
        <v>28199.35</v>
      </c>
      <c r="G102" s="3">
        <v>908959.18</v>
      </c>
      <c r="I102" s="4">
        <f>SUM($F$5:$F102)-SUM($E$5:$E102)</f>
        <v>908959.18000000017</v>
      </c>
      <c r="J102" s="4">
        <f t="shared" si="1"/>
        <v>0</v>
      </c>
    </row>
    <row r="103" spans="1:10" x14ac:dyDescent="0.75">
      <c r="A103" s="5">
        <v>43742</v>
      </c>
      <c r="B103" s="5">
        <v>43742</v>
      </c>
      <c r="C103" s="3" t="s">
        <v>107</v>
      </c>
      <c r="E103" s="3">
        <v>13766.28</v>
      </c>
      <c r="F103" s="3" t="s">
        <v>11</v>
      </c>
      <c r="G103" s="3">
        <v>895192.9</v>
      </c>
      <c r="I103" s="4">
        <f>SUM($F$5:$F103)-SUM($E$5:$E103)</f>
        <v>895192.90000000014</v>
      </c>
      <c r="J103" s="4">
        <f t="shared" si="1"/>
        <v>0</v>
      </c>
    </row>
    <row r="104" spans="1:10" x14ac:dyDescent="0.75">
      <c r="A104" s="5">
        <v>43742</v>
      </c>
      <c r="B104" s="5">
        <v>43742</v>
      </c>
      <c r="C104" s="3" t="s">
        <v>30</v>
      </c>
      <c r="E104" s="3" t="s">
        <v>11</v>
      </c>
      <c r="F104" s="3">
        <v>62272.49</v>
      </c>
      <c r="G104" s="3">
        <v>957465.39</v>
      </c>
      <c r="I104" s="4">
        <f>SUM($F$5:$F104)-SUM($E$5:$E104)</f>
        <v>957465.39000000036</v>
      </c>
      <c r="J104" s="4">
        <f t="shared" si="1"/>
        <v>0</v>
      </c>
    </row>
    <row r="105" spans="1:10" x14ac:dyDescent="0.75">
      <c r="A105" s="5">
        <v>43773</v>
      </c>
      <c r="B105" s="5">
        <v>43773</v>
      </c>
      <c r="C105" s="3" t="s">
        <v>108</v>
      </c>
      <c r="E105" s="3">
        <v>17895.78</v>
      </c>
      <c r="F105" s="3" t="s">
        <v>11</v>
      </c>
      <c r="G105" s="3">
        <v>939569.61</v>
      </c>
      <c r="I105" s="4">
        <f>SUM($F$5:$F105)-SUM($E$5:$E105)</f>
        <v>939569.61000000034</v>
      </c>
      <c r="J105" s="4">
        <f t="shared" si="1"/>
        <v>0</v>
      </c>
    </row>
    <row r="106" spans="1:10" x14ac:dyDescent="0.75">
      <c r="A106" s="5">
        <v>43773</v>
      </c>
      <c r="B106" s="5">
        <v>43773</v>
      </c>
      <c r="C106" s="3" t="s">
        <v>30</v>
      </c>
      <c r="E106" s="3" t="s">
        <v>11</v>
      </c>
      <c r="F106" s="3">
        <v>8571</v>
      </c>
      <c r="G106" s="3">
        <v>948140.61</v>
      </c>
      <c r="I106" s="4">
        <f>SUM($F$5:$F106)-SUM($E$5:$E106)</f>
        <v>948140.61000000034</v>
      </c>
      <c r="J106" s="4">
        <f t="shared" si="1"/>
        <v>0</v>
      </c>
    </row>
    <row r="107" spans="1:10" x14ac:dyDescent="0.75">
      <c r="A107" s="5">
        <v>43803</v>
      </c>
      <c r="B107" s="5">
        <v>43803</v>
      </c>
      <c r="C107" s="3" t="s">
        <v>30</v>
      </c>
      <c r="E107" s="3" t="s">
        <v>11</v>
      </c>
      <c r="F107" s="3">
        <v>98203.11</v>
      </c>
      <c r="G107" s="3">
        <v>1046343.72</v>
      </c>
      <c r="I107" s="4">
        <f>SUM($F$5:$F107)-SUM($E$5:$E107)</f>
        <v>1046343.7200000002</v>
      </c>
      <c r="J107" s="4">
        <f t="shared" si="1"/>
        <v>0</v>
      </c>
    </row>
    <row r="108" spans="1:10" x14ac:dyDescent="0.75">
      <c r="A108" s="5" t="s">
        <v>109</v>
      </c>
      <c r="B108" s="5" t="s">
        <v>109</v>
      </c>
      <c r="C108" s="3" t="s">
        <v>110</v>
      </c>
      <c r="E108" s="3">
        <v>1455.83</v>
      </c>
      <c r="F108" s="3" t="s">
        <v>11</v>
      </c>
      <c r="G108" s="3">
        <v>1044887.89</v>
      </c>
      <c r="I108" s="4">
        <f>SUM($F$5:$F108)-SUM($E$5:$E108)</f>
        <v>1044887.8900000001</v>
      </c>
      <c r="J108" s="4">
        <f t="shared" si="1"/>
        <v>0</v>
      </c>
    </row>
    <row r="109" spans="1:10" x14ac:dyDescent="0.75">
      <c r="A109" s="5" t="s">
        <v>109</v>
      </c>
      <c r="B109" s="5" t="s">
        <v>109</v>
      </c>
      <c r="C109" s="3" t="s">
        <v>111</v>
      </c>
      <c r="E109" s="3">
        <v>1974</v>
      </c>
      <c r="F109" s="3" t="s">
        <v>11</v>
      </c>
      <c r="G109" s="3">
        <v>1042913.89</v>
      </c>
      <c r="I109" s="4">
        <f>SUM($F$5:$F109)-SUM($E$5:$E109)</f>
        <v>1042913.8900000001</v>
      </c>
      <c r="J109" s="4">
        <f t="shared" si="1"/>
        <v>0</v>
      </c>
    </row>
    <row r="110" spans="1:10" x14ac:dyDescent="0.75">
      <c r="A110" s="5" t="s">
        <v>109</v>
      </c>
      <c r="B110" s="5" t="s">
        <v>109</v>
      </c>
      <c r="C110" s="3" t="s">
        <v>112</v>
      </c>
      <c r="E110" s="3">
        <v>3880</v>
      </c>
      <c r="F110" s="3" t="s">
        <v>11</v>
      </c>
      <c r="G110" s="3">
        <v>1039033.89</v>
      </c>
      <c r="I110" s="4">
        <f>SUM($F$5:$F110)-SUM($E$5:$E110)</f>
        <v>1039033.8900000001</v>
      </c>
      <c r="J110" s="4">
        <f t="shared" si="1"/>
        <v>0</v>
      </c>
    </row>
    <row r="111" spans="1:10" x14ac:dyDescent="0.75">
      <c r="A111" s="5" t="s">
        <v>109</v>
      </c>
      <c r="B111" s="5" t="s">
        <v>109</v>
      </c>
      <c r="C111" s="3" t="s">
        <v>113</v>
      </c>
      <c r="E111" s="3">
        <v>3675.91</v>
      </c>
      <c r="F111" s="3" t="s">
        <v>11</v>
      </c>
      <c r="G111" s="3">
        <v>1035357.98</v>
      </c>
      <c r="I111" s="4">
        <f>SUM($F$5:$F111)-SUM($E$5:$E111)</f>
        <v>1035357.9800000002</v>
      </c>
      <c r="J111" s="4">
        <f t="shared" si="1"/>
        <v>0</v>
      </c>
    </row>
    <row r="112" spans="1:10" x14ac:dyDescent="0.75">
      <c r="A112" s="5" t="s">
        <v>109</v>
      </c>
      <c r="B112" s="5" t="s">
        <v>109</v>
      </c>
      <c r="C112" s="3" t="s">
        <v>30</v>
      </c>
      <c r="E112" s="3" t="s">
        <v>11</v>
      </c>
      <c r="F112" s="3">
        <v>21540.6</v>
      </c>
      <c r="G112" s="3">
        <v>1056898.58</v>
      </c>
      <c r="I112" s="4">
        <f>SUM($F$5:$F112)-SUM($E$5:$E112)</f>
        <v>1056898.5800000003</v>
      </c>
      <c r="J112" s="4">
        <f t="shared" si="1"/>
        <v>0</v>
      </c>
    </row>
    <row r="113" spans="1:10" x14ac:dyDescent="0.75">
      <c r="A113" s="5" t="s">
        <v>114</v>
      </c>
      <c r="B113" s="3" t="s">
        <v>114</v>
      </c>
      <c r="C113" s="3" t="s">
        <v>115</v>
      </c>
      <c r="E113" s="3">
        <v>3733.2</v>
      </c>
      <c r="F113" s="3" t="s">
        <v>11</v>
      </c>
      <c r="G113" s="3">
        <v>1053165.3799999999</v>
      </c>
      <c r="I113" s="4">
        <f>SUM($F$5:$F113)-SUM($E$5:$E113)</f>
        <v>1053165.3800000004</v>
      </c>
      <c r="J113" s="4">
        <f t="shared" si="1"/>
        <v>0</v>
      </c>
    </row>
    <row r="114" spans="1:10" x14ac:dyDescent="0.75">
      <c r="A114" s="5" t="s">
        <v>114</v>
      </c>
      <c r="B114" s="5" t="s">
        <v>114</v>
      </c>
      <c r="C114" s="3" t="s">
        <v>116</v>
      </c>
      <c r="E114" s="3">
        <v>9398.0499999999993</v>
      </c>
      <c r="F114" s="3" t="s">
        <v>11</v>
      </c>
      <c r="G114" s="3">
        <v>1043767.33</v>
      </c>
      <c r="I114" s="4">
        <f>SUM($F$5:$F114)-SUM($E$5:$E114)</f>
        <v>1043767.3300000003</v>
      </c>
      <c r="J114" s="4">
        <f t="shared" si="1"/>
        <v>0</v>
      </c>
    </row>
    <row r="115" spans="1:10" x14ac:dyDescent="0.75">
      <c r="A115" s="5" t="s">
        <v>114</v>
      </c>
      <c r="B115" s="5" t="s">
        <v>114</v>
      </c>
      <c r="C115" s="3" t="s">
        <v>117</v>
      </c>
      <c r="E115" s="3" t="s">
        <v>11</v>
      </c>
      <c r="F115" s="3">
        <v>538.35</v>
      </c>
      <c r="G115" s="3">
        <v>1044305.68</v>
      </c>
      <c r="I115" s="4">
        <f>SUM($F$5:$F115)-SUM($E$5:$E115)</f>
        <v>1044305.6800000004</v>
      </c>
      <c r="J115" s="4">
        <f t="shared" si="1"/>
        <v>0</v>
      </c>
    </row>
    <row r="116" spans="1:10" x14ac:dyDescent="0.75">
      <c r="A116" s="3" t="s">
        <v>118</v>
      </c>
      <c r="B116" s="3" t="s">
        <v>118</v>
      </c>
      <c r="C116" s="3" t="s">
        <v>119</v>
      </c>
      <c r="E116" s="3" t="s">
        <v>11</v>
      </c>
      <c r="F116" s="3">
        <v>11314.6</v>
      </c>
      <c r="G116" s="3">
        <v>1055620.28</v>
      </c>
      <c r="I116" s="4">
        <f>SUM($F$5:$F116)-SUM($E$5:$E116)</f>
        <v>1055620.2800000005</v>
      </c>
      <c r="J116" s="4">
        <f t="shared" si="1"/>
        <v>0</v>
      </c>
    </row>
    <row r="117" spans="1:10" x14ac:dyDescent="0.75">
      <c r="A117" s="3" t="s">
        <v>118</v>
      </c>
      <c r="B117" s="3" t="s">
        <v>118</v>
      </c>
      <c r="C117" s="3" t="s">
        <v>120</v>
      </c>
      <c r="E117" s="3" t="s">
        <v>11</v>
      </c>
      <c r="F117" s="3">
        <v>12908.76</v>
      </c>
      <c r="G117" s="3">
        <v>1068529.04</v>
      </c>
      <c r="I117" s="4">
        <f>SUM($F$5:$F117)-SUM($E$5:$E117)</f>
        <v>1068529.0400000003</v>
      </c>
      <c r="J117" s="4">
        <f t="shared" si="1"/>
        <v>0</v>
      </c>
    </row>
    <row r="118" spans="1:10" x14ac:dyDescent="0.75">
      <c r="A118" s="3" t="s">
        <v>118</v>
      </c>
      <c r="B118" s="3" t="s">
        <v>118</v>
      </c>
      <c r="C118" s="3" t="s">
        <v>30</v>
      </c>
      <c r="E118" s="3" t="s">
        <v>11</v>
      </c>
      <c r="F118" s="3">
        <v>26472.54</v>
      </c>
      <c r="G118" s="3">
        <v>1095001.58</v>
      </c>
      <c r="I118" s="4">
        <f>SUM($F$5:$F118)-SUM($E$5:$E118)</f>
        <v>1095001.5800000003</v>
      </c>
      <c r="J118" s="4">
        <f t="shared" si="1"/>
        <v>0</v>
      </c>
    </row>
    <row r="119" spans="1:10" x14ac:dyDescent="0.75">
      <c r="A119" s="3" t="s">
        <v>118</v>
      </c>
      <c r="B119" s="3" t="s">
        <v>118</v>
      </c>
      <c r="C119" s="3" t="s">
        <v>121</v>
      </c>
      <c r="E119" s="3">
        <v>538.35</v>
      </c>
      <c r="F119" s="3" t="s">
        <v>11</v>
      </c>
      <c r="G119" s="3">
        <v>1094463.23</v>
      </c>
      <c r="I119" s="4">
        <f>SUM($F$5:$F119)-SUM($E$5:$E119)</f>
        <v>1094463.2300000002</v>
      </c>
      <c r="J119" s="4">
        <f t="shared" si="1"/>
        <v>0</v>
      </c>
    </row>
    <row r="120" spans="1:10" x14ac:dyDescent="0.75">
      <c r="A120" s="3" t="s">
        <v>118</v>
      </c>
      <c r="B120" s="3" t="s">
        <v>118</v>
      </c>
      <c r="C120" s="3" t="s">
        <v>122</v>
      </c>
      <c r="E120" s="3">
        <v>11314.6</v>
      </c>
      <c r="F120" s="3" t="s">
        <v>11</v>
      </c>
      <c r="G120" s="3">
        <v>1083148.6299999999</v>
      </c>
      <c r="I120" s="4">
        <f>SUM($F$5:$F120)-SUM($E$5:$E120)</f>
        <v>1083148.6300000001</v>
      </c>
      <c r="J120" s="4">
        <f t="shared" si="1"/>
        <v>0</v>
      </c>
    </row>
    <row r="121" spans="1:10" x14ac:dyDescent="0.75">
      <c r="A121" s="3" t="s">
        <v>118</v>
      </c>
      <c r="B121" s="3" t="s">
        <v>118</v>
      </c>
      <c r="C121" s="3" t="s">
        <v>123</v>
      </c>
      <c r="E121" s="3">
        <v>12908.76</v>
      </c>
      <c r="F121" s="3" t="s">
        <v>11</v>
      </c>
      <c r="G121" s="3">
        <v>1070239.8700000001</v>
      </c>
      <c r="I121" s="4">
        <f>SUM($F$5:$F121)-SUM($E$5:$E121)</f>
        <v>1070239.8700000001</v>
      </c>
      <c r="J121" s="4">
        <f t="shared" si="1"/>
        <v>0</v>
      </c>
    </row>
    <row r="122" spans="1:10" x14ac:dyDescent="0.75">
      <c r="A122" s="3" t="s">
        <v>118</v>
      </c>
      <c r="B122" s="3" t="s">
        <v>118</v>
      </c>
      <c r="C122" s="3" t="s">
        <v>30</v>
      </c>
      <c r="E122" s="3" t="s">
        <v>11</v>
      </c>
      <c r="F122" s="3">
        <v>12135.25</v>
      </c>
      <c r="G122" s="3">
        <v>1082375.1200000001</v>
      </c>
      <c r="I122" s="4">
        <f>SUM($F$5:$F122)-SUM($E$5:$E122)</f>
        <v>1082375.1200000001</v>
      </c>
      <c r="J122" s="4">
        <f t="shared" si="1"/>
        <v>0</v>
      </c>
    </row>
    <row r="123" spans="1:10" x14ac:dyDescent="0.75">
      <c r="A123" s="3" t="s">
        <v>124</v>
      </c>
      <c r="B123" s="3" t="s">
        <v>124</v>
      </c>
      <c r="C123" s="3" t="s">
        <v>125</v>
      </c>
      <c r="E123" s="3">
        <v>163720.91</v>
      </c>
      <c r="F123" s="3" t="s">
        <v>11</v>
      </c>
      <c r="G123" s="3">
        <v>918654.21</v>
      </c>
      <c r="I123" s="4">
        <f>SUM($F$5:$F123)-SUM($E$5:$E123)</f>
        <v>918654.2100000002</v>
      </c>
      <c r="J123" s="4">
        <f t="shared" si="1"/>
        <v>0</v>
      </c>
    </row>
    <row r="124" spans="1:10" x14ac:dyDescent="0.75">
      <c r="A124" s="3" t="s">
        <v>124</v>
      </c>
      <c r="B124" s="3" t="s">
        <v>124</v>
      </c>
      <c r="C124" s="3" t="s">
        <v>30</v>
      </c>
      <c r="E124" s="3" t="s">
        <v>11</v>
      </c>
      <c r="F124" s="3">
        <v>1521.62</v>
      </c>
      <c r="G124" s="3">
        <v>920175.83</v>
      </c>
      <c r="I124" s="4">
        <f>SUM($F$5:$F124)-SUM($E$5:$E124)</f>
        <v>920175.83000000031</v>
      </c>
      <c r="J124" s="4">
        <f t="shared" si="1"/>
        <v>0</v>
      </c>
    </row>
    <row r="125" spans="1:10" x14ac:dyDescent="0.75">
      <c r="A125" s="3" t="s">
        <v>126</v>
      </c>
      <c r="B125" s="3" t="s">
        <v>126</v>
      </c>
      <c r="C125" s="3" t="s">
        <v>127</v>
      </c>
      <c r="E125" s="3">
        <v>363.75</v>
      </c>
      <c r="F125" s="3" t="s">
        <v>11</v>
      </c>
      <c r="G125" s="3">
        <v>919812.08</v>
      </c>
      <c r="I125" s="4">
        <f>SUM($F$5:$F125)-SUM($E$5:$E125)</f>
        <v>919812.08000000031</v>
      </c>
      <c r="J125" s="4">
        <f t="shared" si="1"/>
        <v>0</v>
      </c>
    </row>
    <row r="126" spans="1:10" x14ac:dyDescent="0.75">
      <c r="A126" s="3" t="s">
        <v>126</v>
      </c>
      <c r="B126" s="3" t="s">
        <v>126</v>
      </c>
      <c r="C126" s="3" t="s">
        <v>128</v>
      </c>
      <c r="E126" s="3">
        <v>388</v>
      </c>
      <c r="F126" s="3" t="s">
        <v>11</v>
      </c>
      <c r="G126" s="3">
        <v>919424.08</v>
      </c>
      <c r="I126" s="4">
        <f>SUM($F$5:$F126)-SUM($E$5:$E126)</f>
        <v>919424.08000000031</v>
      </c>
      <c r="J126" s="4">
        <f t="shared" si="1"/>
        <v>0</v>
      </c>
    </row>
    <row r="127" spans="1:10" x14ac:dyDescent="0.75">
      <c r="A127" s="3" t="s">
        <v>126</v>
      </c>
      <c r="B127" s="3" t="s">
        <v>126</v>
      </c>
      <c r="C127" s="3" t="s">
        <v>129</v>
      </c>
      <c r="E127" s="3">
        <v>3411</v>
      </c>
      <c r="F127" s="3" t="s">
        <v>11</v>
      </c>
      <c r="G127" s="3">
        <v>916013.08</v>
      </c>
      <c r="I127" s="4">
        <f>SUM($F$5:$F127)-SUM($E$5:$E127)</f>
        <v>916013.08000000031</v>
      </c>
      <c r="J127" s="4">
        <f t="shared" si="1"/>
        <v>0</v>
      </c>
    </row>
    <row r="128" spans="1:10" x14ac:dyDescent="0.75">
      <c r="A128" s="3" t="s">
        <v>126</v>
      </c>
      <c r="B128" s="3" t="s">
        <v>126</v>
      </c>
      <c r="C128" s="3" t="s">
        <v>130</v>
      </c>
      <c r="E128" s="3">
        <v>8455.82</v>
      </c>
      <c r="F128" s="3" t="s">
        <v>11</v>
      </c>
      <c r="G128" s="3">
        <v>907557.26</v>
      </c>
      <c r="I128" s="4">
        <f>SUM($F$5:$F128)-SUM($E$5:$E128)</f>
        <v>907557.26000000024</v>
      </c>
      <c r="J128" s="4">
        <f t="shared" si="1"/>
        <v>0</v>
      </c>
    </row>
    <row r="129" spans="1:10" x14ac:dyDescent="0.75">
      <c r="A129" s="3" t="s">
        <v>126</v>
      </c>
      <c r="B129" s="3" t="s">
        <v>126</v>
      </c>
      <c r="C129" s="3" t="s">
        <v>131</v>
      </c>
      <c r="E129" s="3" t="s">
        <v>11</v>
      </c>
      <c r="F129" s="3">
        <v>1222.2</v>
      </c>
      <c r="G129" s="3">
        <v>908779.46</v>
      </c>
      <c r="I129" s="4">
        <f>SUM($F$5:$F129)-SUM($E$5:$E129)</f>
        <v>908779.46000000043</v>
      </c>
      <c r="J129" s="4">
        <f t="shared" si="1"/>
        <v>0</v>
      </c>
    </row>
    <row r="130" spans="1:10" x14ac:dyDescent="0.75">
      <c r="A130" s="3" t="s">
        <v>132</v>
      </c>
      <c r="B130" s="3" t="s">
        <v>132</v>
      </c>
      <c r="C130" s="3" t="s">
        <v>133</v>
      </c>
      <c r="E130" s="3" t="s">
        <v>11</v>
      </c>
      <c r="F130" s="3">
        <v>3200</v>
      </c>
      <c r="G130" s="3">
        <v>911979.46</v>
      </c>
      <c r="I130" s="4">
        <f>SUM($F$5:$F130)-SUM($E$5:$E130)</f>
        <v>911979.46000000043</v>
      </c>
      <c r="J130" s="4">
        <f t="shared" si="1"/>
        <v>0</v>
      </c>
    </row>
    <row r="131" spans="1:10" x14ac:dyDescent="0.75">
      <c r="A131" s="3" t="s">
        <v>132</v>
      </c>
      <c r="B131" s="3" t="s">
        <v>132</v>
      </c>
      <c r="C131" s="3" t="s">
        <v>134</v>
      </c>
      <c r="E131" s="3" t="s">
        <v>11</v>
      </c>
      <c r="F131" s="3">
        <v>5890.81</v>
      </c>
      <c r="G131" s="3">
        <v>917870.27</v>
      </c>
      <c r="I131" s="4">
        <f>SUM($F$5:$F131)-SUM($E$5:$E131)</f>
        <v>917870.27000000048</v>
      </c>
      <c r="J131" s="4">
        <f t="shared" si="1"/>
        <v>0</v>
      </c>
    </row>
    <row r="132" spans="1:10" x14ac:dyDescent="0.75">
      <c r="A132" s="3" t="s">
        <v>132</v>
      </c>
      <c r="B132" s="3" t="s">
        <v>132</v>
      </c>
      <c r="C132" s="3" t="s">
        <v>135</v>
      </c>
      <c r="E132" s="3" t="s">
        <v>11</v>
      </c>
      <c r="F132" s="3">
        <v>11314.6</v>
      </c>
      <c r="G132" s="3">
        <v>929184.87</v>
      </c>
      <c r="I132" s="4">
        <f>SUM($F$5:$F132)-SUM($E$5:$E132)</f>
        <v>929184.87000000058</v>
      </c>
      <c r="J132" s="4">
        <f t="shared" si="1"/>
        <v>0</v>
      </c>
    </row>
    <row r="133" spans="1:10" x14ac:dyDescent="0.75">
      <c r="A133" s="3" t="s">
        <v>132</v>
      </c>
      <c r="B133" s="3" t="s">
        <v>132</v>
      </c>
      <c r="C133" s="3" t="s">
        <v>30</v>
      </c>
      <c r="E133" s="3" t="s">
        <v>11</v>
      </c>
      <c r="F133" s="3">
        <v>49332.7</v>
      </c>
      <c r="G133" s="3">
        <v>978517.57</v>
      </c>
      <c r="I133" s="4">
        <f>SUM($F$5:$F133)-SUM($E$5:$E133)</f>
        <v>978517.57000000076</v>
      </c>
      <c r="J133" s="4">
        <f t="shared" si="1"/>
        <v>0</v>
      </c>
    </row>
    <row r="134" spans="1:10" x14ac:dyDescent="0.75">
      <c r="A134" s="3" t="s">
        <v>132</v>
      </c>
      <c r="B134" s="3" t="s">
        <v>132</v>
      </c>
      <c r="C134" s="3" t="s">
        <v>136</v>
      </c>
      <c r="E134" s="3">
        <v>11314.6</v>
      </c>
      <c r="F134" s="3" t="s">
        <v>11</v>
      </c>
      <c r="G134" s="3">
        <v>967202.97</v>
      </c>
      <c r="I134" s="4">
        <f>SUM($F$5:$F134)-SUM($E$5:$E134)</f>
        <v>967202.97000000067</v>
      </c>
      <c r="J134" s="4">
        <f t="shared" ref="J134:J197" si="2">I134-G134</f>
        <v>0</v>
      </c>
    </row>
    <row r="135" spans="1:10" x14ac:dyDescent="0.75">
      <c r="A135" s="3" t="s">
        <v>132</v>
      </c>
      <c r="B135" s="3" t="s">
        <v>132</v>
      </c>
      <c r="C135" s="3" t="s">
        <v>137</v>
      </c>
      <c r="E135" s="3">
        <v>247.35</v>
      </c>
      <c r="F135" s="3" t="s">
        <v>11</v>
      </c>
      <c r="G135" s="3">
        <v>966955.62</v>
      </c>
      <c r="I135" s="4">
        <f>SUM($F$5:$F135)-SUM($E$5:$E135)</f>
        <v>966955.62000000058</v>
      </c>
      <c r="J135" s="4">
        <f t="shared" si="2"/>
        <v>0</v>
      </c>
    </row>
    <row r="136" spans="1:10" x14ac:dyDescent="0.75">
      <c r="A136" s="3" t="s">
        <v>132</v>
      </c>
      <c r="B136" s="3" t="s">
        <v>132</v>
      </c>
      <c r="C136" s="3" t="s">
        <v>138</v>
      </c>
      <c r="E136" s="3">
        <v>613.11</v>
      </c>
      <c r="F136" s="3" t="s">
        <v>11</v>
      </c>
      <c r="G136" s="3">
        <v>966342.51</v>
      </c>
      <c r="I136" s="4">
        <f>SUM($F$5:$F136)-SUM($E$5:$E136)</f>
        <v>966342.51000000047</v>
      </c>
      <c r="J136" s="4">
        <f t="shared" si="2"/>
        <v>0</v>
      </c>
    </row>
    <row r="137" spans="1:10" x14ac:dyDescent="0.75">
      <c r="A137" s="3" t="s">
        <v>132</v>
      </c>
      <c r="B137" s="3" t="s">
        <v>132</v>
      </c>
      <c r="C137" s="3" t="s">
        <v>139</v>
      </c>
      <c r="E137" s="3">
        <v>1222.2</v>
      </c>
      <c r="F137" s="3" t="s">
        <v>11</v>
      </c>
      <c r="G137" s="3">
        <v>965120.31</v>
      </c>
      <c r="I137" s="4">
        <f>SUM($F$5:$F137)-SUM($E$5:$E137)</f>
        <v>965120.31000000052</v>
      </c>
      <c r="J137" s="4">
        <f t="shared" si="2"/>
        <v>0</v>
      </c>
    </row>
    <row r="138" spans="1:10" x14ac:dyDescent="0.75">
      <c r="A138" s="3" t="s">
        <v>132</v>
      </c>
      <c r="B138" s="3" t="s">
        <v>132</v>
      </c>
      <c r="C138" s="3" t="s">
        <v>140</v>
      </c>
      <c r="E138" s="3">
        <v>3200</v>
      </c>
      <c r="F138" s="3" t="s">
        <v>11</v>
      </c>
      <c r="G138" s="3">
        <v>961920.31</v>
      </c>
      <c r="I138" s="4">
        <f>SUM($F$5:$F138)-SUM($E$5:$E138)</f>
        <v>961920.31000000052</v>
      </c>
      <c r="J138" s="4">
        <f t="shared" si="2"/>
        <v>0</v>
      </c>
    </row>
    <row r="139" spans="1:10" x14ac:dyDescent="0.75">
      <c r="A139" s="3" t="s">
        <v>132</v>
      </c>
      <c r="B139" s="3" t="s">
        <v>132</v>
      </c>
      <c r="C139" s="3" t="s">
        <v>141</v>
      </c>
      <c r="E139" s="3">
        <v>5890.81</v>
      </c>
      <c r="F139" s="3" t="s">
        <v>11</v>
      </c>
      <c r="G139" s="3">
        <v>956029.5</v>
      </c>
      <c r="I139" s="4">
        <f>SUM($F$5:$F139)-SUM($E$5:$E139)</f>
        <v>956029.50000000047</v>
      </c>
      <c r="J139" s="4">
        <f t="shared" si="2"/>
        <v>0</v>
      </c>
    </row>
    <row r="140" spans="1:10" x14ac:dyDescent="0.75">
      <c r="A140" s="3" t="s">
        <v>132</v>
      </c>
      <c r="B140" s="3" t="s">
        <v>132</v>
      </c>
      <c r="C140" s="3" t="s">
        <v>142</v>
      </c>
      <c r="E140" s="3">
        <v>12</v>
      </c>
      <c r="F140" s="3" t="s">
        <v>11</v>
      </c>
      <c r="G140" s="3">
        <v>956017.5</v>
      </c>
      <c r="I140" s="4">
        <f>SUM($F$5:$F140)-SUM($E$5:$E140)</f>
        <v>956017.50000000047</v>
      </c>
      <c r="J140" s="4">
        <f t="shared" si="2"/>
        <v>0</v>
      </c>
    </row>
    <row r="141" spans="1:10" x14ac:dyDescent="0.75">
      <c r="A141" s="3" t="s">
        <v>132</v>
      </c>
      <c r="B141" s="3" t="s">
        <v>132</v>
      </c>
      <c r="C141" s="3" t="s">
        <v>143</v>
      </c>
      <c r="E141" s="3">
        <v>12</v>
      </c>
      <c r="F141" s="3" t="s">
        <v>11</v>
      </c>
      <c r="G141" s="3">
        <v>956005.5</v>
      </c>
      <c r="I141" s="4">
        <f>SUM($F$5:$F141)-SUM($E$5:$E141)</f>
        <v>956005.50000000047</v>
      </c>
      <c r="J141" s="4">
        <f t="shared" si="2"/>
        <v>0</v>
      </c>
    </row>
    <row r="142" spans="1:10" x14ac:dyDescent="0.75">
      <c r="A142" s="3" t="s">
        <v>132</v>
      </c>
      <c r="B142" s="3" t="s">
        <v>132</v>
      </c>
      <c r="C142" s="3" t="s">
        <v>144</v>
      </c>
      <c r="E142" s="3">
        <v>12</v>
      </c>
      <c r="F142" s="3" t="s">
        <v>11</v>
      </c>
      <c r="G142" s="3">
        <v>955993.5</v>
      </c>
      <c r="I142" s="4">
        <f>SUM($F$5:$F142)-SUM($E$5:$E142)</f>
        <v>955993.50000000047</v>
      </c>
      <c r="J142" s="4">
        <f t="shared" si="2"/>
        <v>0</v>
      </c>
    </row>
    <row r="143" spans="1:10" x14ac:dyDescent="0.75">
      <c r="A143" s="3" t="s">
        <v>132</v>
      </c>
      <c r="B143" s="3" t="s">
        <v>132</v>
      </c>
      <c r="C143" s="3" t="s">
        <v>145</v>
      </c>
      <c r="E143" s="3">
        <v>12</v>
      </c>
      <c r="F143" s="3" t="s">
        <v>11</v>
      </c>
      <c r="G143" s="3">
        <v>955981.5</v>
      </c>
      <c r="I143" s="4">
        <f>SUM($F$5:$F143)-SUM($E$5:$E143)</f>
        <v>955981.50000000047</v>
      </c>
      <c r="J143" s="4">
        <f t="shared" si="2"/>
        <v>0</v>
      </c>
    </row>
    <row r="144" spans="1:10" x14ac:dyDescent="0.75">
      <c r="A144" s="3" t="s">
        <v>132</v>
      </c>
      <c r="B144" s="3" t="s">
        <v>132</v>
      </c>
      <c r="C144" s="3" t="s">
        <v>146</v>
      </c>
      <c r="E144" s="3" t="s">
        <v>11</v>
      </c>
      <c r="F144" s="3">
        <v>500000</v>
      </c>
      <c r="G144" s="3">
        <v>1455981.5</v>
      </c>
      <c r="I144" s="4">
        <f>SUM($F$5:$F144)-SUM($E$5:$E144)</f>
        <v>1455981.5000000005</v>
      </c>
      <c r="J144" s="4">
        <f t="shared" si="2"/>
        <v>0</v>
      </c>
    </row>
    <row r="145" spans="1:10" x14ac:dyDescent="0.75">
      <c r="A145" s="3" t="s">
        <v>147</v>
      </c>
      <c r="B145" s="3" t="s">
        <v>147</v>
      </c>
      <c r="C145" s="3" t="s">
        <v>30</v>
      </c>
      <c r="E145" s="3" t="s">
        <v>11</v>
      </c>
      <c r="F145" s="3">
        <v>15202.77</v>
      </c>
      <c r="G145" s="3">
        <v>1471184.27</v>
      </c>
      <c r="I145" s="4">
        <f>SUM($F$5:$F145)-SUM($E$5:$E145)</f>
        <v>1471184.2700000005</v>
      </c>
      <c r="J145" s="4">
        <f t="shared" si="2"/>
        <v>0</v>
      </c>
    </row>
    <row r="146" spans="1:10" x14ac:dyDescent="0.75">
      <c r="A146" s="3" t="s">
        <v>147</v>
      </c>
      <c r="B146" s="3" t="s">
        <v>147</v>
      </c>
      <c r="C146" s="3" t="s">
        <v>148</v>
      </c>
      <c r="E146" s="3">
        <v>538.35</v>
      </c>
      <c r="F146" s="3" t="s">
        <v>11</v>
      </c>
      <c r="G146" s="3">
        <v>1470645.92</v>
      </c>
      <c r="I146" s="4">
        <f>SUM($F$5:$F146)-SUM($E$5:$E146)</f>
        <v>1470645.9200000004</v>
      </c>
      <c r="J146" s="4">
        <f t="shared" si="2"/>
        <v>0</v>
      </c>
    </row>
    <row r="147" spans="1:10" x14ac:dyDescent="0.75">
      <c r="A147" s="3" t="s">
        <v>147</v>
      </c>
      <c r="B147" s="3" t="s">
        <v>147</v>
      </c>
      <c r="C147" s="3" t="s">
        <v>149</v>
      </c>
      <c r="E147" s="3">
        <v>5890.81</v>
      </c>
      <c r="F147" s="3" t="s">
        <v>11</v>
      </c>
      <c r="G147" s="3">
        <v>1464755.11</v>
      </c>
      <c r="I147" s="4">
        <f>SUM($F$5:$F147)-SUM($E$5:$E147)</f>
        <v>1464755.1100000003</v>
      </c>
      <c r="J147" s="4">
        <f t="shared" si="2"/>
        <v>0</v>
      </c>
    </row>
    <row r="148" spans="1:10" x14ac:dyDescent="0.75">
      <c r="A148" s="3" t="s">
        <v>147</v>
      </c>
      <c r="B148" s="3" t="s">
        <v>147</v>
      </c>
      <c r="C148" s="3" t="s">
        <v>150</v>
      </c>
      <c r="E148" s="3">
        <v>11314.6</v>
      </c>
      <c r="F148" s="3" t="s">
        <v>11</v>
      </c>
      <c r="G148" s="3">
        <v>1453440.51</v>
      </c>
      <c r="I148" s="4">
        <f>SUM($F$5:$F148)-SUM($E$5:$E148)</f>
        <v>1453440.5100000002</v>
      </c>
      <c r="J148" s="4">
        <f t="shared" si="2"/>
        <v>0</v>
      </c>
    </row>
    <row r="149" spans="1:10" x14ac:dyDescent="0.75">
      <c r="A149" s="3" t="s">
        <v>147</v>
      </c>
      <c r="B149" s="3" t="s">
        <v>147</v>
      </c>
      <c r="C149" s="3" t="s">
        <v>151</v>
      </c>
      <c r="E149" s="3">
        <v>12908.76</v>
      </c>
      <c r="F149" s="3" t="s">
        <v>11</v>
      </c>
      <c r="G149" s="3">
        <v>1440531.75</v>
      </c>
      <c r="I149" s="4">
        <f>SUM($F$5:$F149)-SUM($E$5:$E149)</f>
        <v>1440531.7500000002</v>
      </c>
      <c r="J149" s="4">
        <f t="shared" si="2"/>
        <v>0</v>
      </c>
    </row>
    <row r="150" spans="1:10" x14ac:dyDescent="0.75">
      <c r="A150" s="3" t="s">
        <v>147</v>
      </c>
      <c r="B150" s="3" t="s">
        <v>147</v>
      </c>
      <c r="C150" s="3" t="s">
        <v>152</v>
      </c>
      <c r="E150" s="3">
        <v>815.53</v>
      </c>
      <c r="F150" s="3" t="s">
        <v>11</v>
      </c>
      <c r="G150" s="3">
        <v>1439716.22</v>
      </c>
      <c r="I150" s="4">
        <f>SUM($F$5:$F150)-SUM($E$5:$E150)</f>
        <v>1439716.2200000002</v>
      </c>
      <c r="J150" s="4">
        <f t="shared" si="2"/>
        <v>0</v>
      </c>
    </row>
    <row r="151" spans="1:10" x14ac:dyDescent="0.75">
      <c r="A151" s="3" t="s">
        <v>147</v>
      </c>
      <c r="B151" s="3" t="s">
        <v>147</v>
      </c>
      <c r="C151" s="3" t="s">
        <v>153</v>
      </c>
      <c r="E151" s="3">
        <v>3330</v>
      </c>
      <c r="F151" s="3" t="s">
        <v>11</v>
      </c>
      <c r="G151" s="3">
        <v>1436386.22</v>
      </c>
      <c r="I151" s="4">
        <f>SUM($F$5:$F151)-SUM($E$5:$E151)</f>
        <v>1436386.2200000002</v>
      </c>
      <c r="J151" s="4">
        <f t="shared" si="2"/>
        <v>0</v>
      </c>
    </row>
    <row r="152" spans="1:10" x14ac:dyDescent="0.75">
      <c r="A152" s="3" t="s">
        <v>147</v>
      </c>
      <c r="B152" s="3" t="s">
        <v>147</v>
      </c>
      <c r="C152" s="3" t="s">
        <v>154</v>
      </c>
      <c r="E152" s="3">
        <v>4656</v>
      </c>
      <c r="F152" s="3" t="s">
        <v>11</v>
      </c>
      <c r="G152" s="3">
        <v>1431730.22</v>
      </c>
      <c r="I152" s="4">
        <f>SUM($F$5:$F152)-SUM($E$5:$E152)</f>
        <v>1431730.2200000002</v>
      </c>
      <c r="J152" s="4">
        <f t="shared" si="2"/>
        <v>0</v>
      </c>
    </row>
    <row r="153" spans="1:10" x14ac:dyDescent="0.75">
      <c r="A153" s="3" t="s">
        <v>147</v>
      </c>
      <c r="B153" s="3" t="s">
        <v>147</v>
      </c>
      <c r="C153" s="3" t="s">
        <v>155</v>
      </c>
      <c r="E153" s="3">
        <v>6451.88</v>
      </c>
      <c r="F153" s="3" t="s">
        <v>11</v>
      </c>
      <c r="G153" s="3">
        <v>1425278.34</v>
      </c>
      <c r="I153" s="4">
        <f>SUM($F$5:$F153)-SUM($E$5:$E153)</f>
        <v>1425278.3400000003</v>
      </c>
      <c r="J153" s="4">
        <f t="shared" si="2"/>
        <v>0</v>
      </c>
    </row>
    <row r="154" spans="1:10" x14ac:dyDescent="0.75">
      <c r="A154" s="3" t="s">
        <v>147</v>
      </c>
      <c r="B154" s="3" t="s">
        <v>147</v>
      </c>
      <c r="C154" s="3" t="s">
        <v>156</v>
      </c>
      <c r="E154" s="3">
        <v>12436.38</v>
      </c>
      <c r="F154" s="3" t="s">
        <v>11</v>
      </c>
      <c r="G154" s="3">
        <v>1412841.96</v>
      </c>
      <c r="I154" s="4">
        <f>SUM($F$5:$F154)-SUM($E$5:$E154)</f>
        <v>1412841.9600000004</v>
      </c>
      <c r="J154" s="4">
        <f t="shared" si="2"/>
        <v>0</v>
      </c>
    </row>
    <row r="155" spans="1:10" x14ac:dyDescent="0.75">
      <c r="A155" s="3" t="s">
        <v>147</v>
      </c>
      <c r="B155" s="3" t="s">
        <v>147</v>
      </c>
      <c r="C155" s="3" t="s">
        <v>157</v>
      </c>
      <c r="E155" s="3">
        <v>15208.65</v>
      </c>
      <c r="F155" s="3" t="s">
        <v>11</v>
      </c>
      <c r="G155" s="3">
        <v>1397633.31</v>
      </c>
      <c r="I155" s="4">
        <f>SUM($F$5:$F155)-SUM($E$5:$E155)</f>
        <v>1397633.3100000005</v>
      </c>
      <c r="J155" s="4">
        <f t="shared" si="2"/>
        <v>0</v>
      </c>
    </row>
    <row r="156" spans="1:10" x14ac:dyDescent="0.75">
      <c r="A156" s="3" t="s">
        <v>147</v>
      </c>
      <c r="B156" s="3" t="s">
        <v>147</v>
      </c>
      <c r="C156" s="3" t="s">
        <v>158</v>
      </c>
      <c r="E156" s="3">
        <v>50801.72</v>
      </c>
      <c r="F156" s="3" t="s">
        <v>11</v>
      </c>
      <c r="G156" s="3">
        <v>1346831.59</v>
      </c>
      <c r="I156" s="4">
        <f>SUM($F$5:$F156)-SUM($E$5:$E156)</f>
        <v>1346831.5900000005</v>
      </c>
      <c r="J156" s="4">
        <f t="shared" si="2"/>
        <v>0</v>
      </c>
    </row>
    <row r="157" spans="1:10" x14ac:dyDescent="0.75">
      <c r="A157" s="3" t="s">
        <v>147</v>
      </c>
      <c r="B157" s="3" t="s">
        <v>147</v>
      </c>
      <c r="C157" s="3" t="s">
        <v>159</v>
      </c>
      <c r="E157" s="3">
        <v>143538.81</v>
      </c>
      <c r="F157" s="3" t="s">
        <v>11</v>
      </c>
      <c r="G157" s="3">
        <v>1203292.78</v>
      </c>
      <c r="I157" s="4">
        <f>SUM($F$5:$F157)-SUM($E$5:$E157)</f>
        <v>1203292.7800000005</v>
      </c>
      <c r="J157" s="4">
        <f t="shared" si="2"/>
        <v>0</v>
      </c>
    </row>
    <row r="158" spans="1:10" x14ac:dyDescent="0.75">
      <c r="A158" s="3" t="s">
        <v>147</v>
      </c>
      <c r="B158" s="3" t="s">
        <v>147</v>
      </c>
      <c r="C158" s="3" t="s">
        <v>160</v>
      </c>
      <c r="E158" s="3">
        <v>247822.73</v>
      </c>
      <c r="F158" s="3" t="s">
        <v>11</v>
      </c>
      <c r="G158" s="3">
        <v>955470.05</v>
      </c>
      <c r="I158" s="4">
        <f>SUM($F$5:$F158)-SUM($E$5:$E158)</f>
        <v>955470.05000000051</v>
      </c>
      <c r="J158" s="4">
        <f t="shared" si="2"/>
        <v>0</v>
      </c>
    </row>
    <row r="159" spans="1:10" x14ac:dyDescent="0.75">
      <c r="A159" s="3" t="s">
        <v>147</v>
      </c>
      <c r="B159" s="3" t="s">
        <v>147</v>
      </c>
      <c r="C159" s="3" t="s">
        <v>161</v>
      </c>
      <c r="E159" s="3">
        <v>336089.13</v>
      </c>
      <c r="F159" s="3" t="s">
        <v>11</v>
      </c>
      <c r="G159" s="3">
        <v>619380.92000000004</v>
      </c>
      <c r="I159" s="4">
        <f>SUM($F$5:$F159)-SUM($E$5:$E159)</f>
        <v>619380.92000000039</v>
      </c>
      <c r="J159" s="4">
        <f t="shared" si="2"/>
        <v>0</v>
      </c>
    </row>
    <row r="160" spans="1:10" x14ac:dyDescent="0.75">
      <c r="A160" s="3" t="s">
        <v>147</v>
      </c>
      <c r="B160" s="3" t="s">
        <v>147</v>
      </c>
      <c r="C160" s="3" t="s">
        <v>162</v>
      </c>
      <c r="E160" s="3">
        <v>633.79</v>
      </c>
      <c r="F160" s="3" t="s">
        <v>11</v>
      </c>
      <c r="G160" s="3">
        <v>618747.13</v>
      </c>
      <c r="I160" s="4">
        <f>SUM($F$5:$F160)-SUM($E$5:$E160)</f>
        <v>618747.13000000035</v>
      </c>
      <c r="J160" s="4">
        <f t="shared" si="2"/>
        <v>0</v>
      </c>
    </row>
    <row r="161" spans="1:10" x14ac:dyDescent="0.75">
      <c r="A161" s="3" t="s">
        <v>163</v>
      </c>
      <c r="B161" s="3" t="s">
        <v>163</v>
      </c>
      <c r="C161" s="3" t="s">
        <v>164</v>
      </c>
      <c r="E161" s="3">
        <v>720</v>
      </c>
      <c r="F161" s="3" t="s">
        <v>11</v>
      </c>
      <c r="G161" s="3">
        <v>618027.13</v>
      </c>
      <c r="I161" s="4">
        <f>SUM($F$5:$F161)-SUM($E$5:$E161)</f>
        <v>618027.13000000035</v>
      </c>
      <c r="J161" s="4">
        <f t="shared" si="2"/>
        <v>0</v>
      </c>
    </row>
    <row r="162" spans="1:10" x14ac:dyDescent="0.75">
      <c r="A162" s="3" t="s">
        <v>163</v>
      </c>
      <c r="B162" s="3" t="s">
        <v>163</v>
      </c>
      <c r="C162" s="3" t="s">
        <v>165</v>
      </c>
      <c r="E162" s="3">
        <v>737.2</v>
      </c>
      <c r="F162" s="3" t="s">
        <v>11</v>
      </c>
      <c r="G162" s="3">
        <v>617289.93000000005</v>
      </c>
      <c r="I162" s="4">
        <f>SUM($F$5:$F162)-SUM($E$5:$E162)</f>
        <v>617289.93000000017</v>
      </c>
      <c r="J162" s="4">
        <f t="shared" si="2"/>
        <v>0</v>
      </c>
    </row>
    <row r="163" spans="1:10" x14ac:dyDescent="0.75">
      <c r="A163" s="3" t="s">
        <v>163</v>
      </c>
      <c r="B163" s="3" t="s">
        <v>163</v>
      </c>
      <c r="C163" s="3" t="s">
        <v>166</v>
      </c>
      <c r="E163" s="3">
        <v>785.4</v>
      </c>
      <c r="F163" s="3" t="s">
        <v>11</v>
      </c>
      <c r="G163" s="3">
        <v>616504.53</v>
      </c>
      <c r="I163" s="4">
        <f>SUM($F$5:$F163)-SUM($E$5:$E163)</f>
        <v>616504.53000000026</v>
      </c>
      <c r="J163" s="4">
        <f t="shared" si="2"/>
        <v>0</v>
      </c>
    </row>
    <row r="164" spans="1:10" x14ac:dyDescent="0.75">
      <c r="A164" s="3" t="s">
        <v>163</v>
      </c>
      <c r="B164" s="3" t="s">
        <v>163</v>
      </c>
      <c r="C164" s="3" t="s">
        <v>167</v>
      </c>
      <c r="E164" s="3">
        <v>823.93</v>
      </c>
      <c r="F164" s="3" t="s">
        <v>11</v>
      </c>
      <c r="G164" s="3">
        <v>615680.6</v>
      </c>
      <c r="I164" s="4">
        <f>SUM($F$5:$F164)-SUM($E$5:$E164)</f>
        <v>615680.60000000009</v>
      </c>
      <c r="J164" s="4">
        <f t="shared" si="2"/>
        <v>0</v>
      </c>
    </row>
    <row r="165" spans="1:10" x14ac:dyDescent="0.75">
      <c r="A165" s="3" t="s">
        <v>163</v>
      </c>
      <c r="B165" s="3" t="s">
        <v>163</v>
      </c>
      <c r="F165" s="3" t="s">
        <v>11</v>
      </c>
      <c r="G165" s="4">
        <v>615680.6</v>
      </c>
      <c r="I165" s="4">
        <f>SUM($F$5:$F165)-SUM($E$5:$E165)</f>
        <v>615680.60000000009</v>
      </c>
      <c r="J165" s="4">
        <f t="shared" si="2"/>
        <v>0</v>
      </c>
    </row>
    <row r="166" spans="1:10" x14ac:dyDescent="0.75">
      <c r="A166" s="3" t="s">
        <v>168</v>
      </c>
      <c r="B166" s="3" t="s">
        <v>168</v>
      </c>
      <c r="C166" s="3" t="s">
        <v>169</v>
      </c>
      <c r="E166" s="4">
        <v>1000</v>
      </c>
      <c r="F166" s="3" t="s">
        <v>11</v>
      </c>
      <c r="G166" s="4">
        <v>614680.6</v>
      </c>
      <c r="I166" s="4">
        <f>SUM($F$5:$F166)-SUM($E$5:$E166)</f>
        <v>614680.60000000009</v>
      </c>
      <c r="J166" s="4">
        <f t="shared" si="2"/>
        <v>0</v>
      </c>
    </row>
    <row r="167" spans="1:10" x14ac:dyDescent="0.75">
      <c r="A167" s="3" t="s">
        <v>168</v>
      </c>
      <c r="B167" s="3" t="s">
        <v>168</v>
      </c>
      <c r="C167" s="3" t="s">
        <v>170</v>
      </c>
      <c r="E167" s="4">
        <v>4293</v>
      </c>
      <c r="F167" s="3" t="s">
        <v>11</v>
      </c>
      <c r="G167" s="4">
        <v>610387.6</v>
      </c>
      <c r="I167" s="4">
        <f>SUM($F$5:$F167)-SUM($E$5:$E167)</f>
        <v>610387.60000000009</v>
      </c>
      <c r="J167" s="4">
        <f t="shared" si="2"/>
        <v>0</v>
      </c>
    </row>
    <row r="168" spans="1:10" x14ac:dyDescent="0.75">
      <c r="A168" s="3" t="s">
        <v>168</v>
      </c>
      <c r="B168" s="3" t="s">
        <v>168</v>
      </c>
      <c r="C168" s="3" t="s">
        <v>171</v>
      </c>
      <c r="E168" s="4">
        <v>6370.19</v>
      </c>
      <c r="F168" s="3" t="s">
        <v>11</v>
      </c>
      <c r="G168" s="4">
        <v>604017.41</v>
      </c>
      <c r="I168" s="4">
        <f>SUM($F$5:$F168)-SUM($E$5:$E168)</f>
        <v>604017.41000000015</v>
      </c>
      <c r="J168" s="4">
        <f t="shared" si="2"/>
        <v>0</v>
      </c>
    </row>
    <row r="169" spans="1:10" x14ac:dyDescent="0.75">
      <c r="A169" s="3" t="s">
        <v>168</v>
      </c>
      <c r="B169" s="3" t="s">
        <v>172</v>
      </c>
      <c r="C169" s="3" t="s">
        <v>173</v>
      </c>
      <c r="E169" s="4">
        <v>4134.6099999999997</v>
      </c>
      <c r="F169" s="3" t="s">
        <v>11</v>
      </c>
      <c r="G169" s="4">
        <v>599882.80000000005</v>
      </c>
      <c r="I169" s="4">
        <f>SUM($F$5:$F169)-SUM($E$5:$E169)</f>
        <v>599882.80000000028</v>
      </c>
      <c r="J169" s="4">
        <f t="shared" si="2"/>
        <v>0</v>
      </c>
    </row>
    <row r="170" spans="1:10" x14ac:dyDescent="0.75">
      <c r="A170" s="3" t="s">
        <v>172</v>
      </c>
      <c r="B170" s="3" t="s">
        <v>172</v>
      </c>
      <c r="C170" s="3" t="s">
        <v>174</v>
      </c>
      <c r="E170" s="4">
        <v>6628.01</v>
      </c>
      <c r="F170" s="3" t="s">
        <v>11</v>
      </c>
      <c r="G170" s="4">
        <v>593254.79</v>
      </c>
      <c r="I170" s="4">
        <f>SUM($F$5:$F170)-SUM($E$5:$E170)</f>
        <v>593254.7900000005</v>
      </c>
      <c r="J170" s="4">
        <f t="shared" si="2"/>
        <v>0</v>
      </c>
    </row>
    <row r="171" spans="1:10" x14ac:dyDescent="0.75">
      <c r="A171" s="3" t="s">
        <v>172</v>
      </c>
      <c r="B171" s="3" t="s">
        <v>172</v>
      </c>
      <c r="C171" s="3" t="s">
        <v>175</v>
      </c>
      <c r="E171" s="3">
        <v>927</v>
      </c>
      <c r="F171" s="3" t="s">
        <v>11</v>
      </c>
      <c r="G171" s="4">
        <v>592327.79</v>
      </c>
      <c r="I171" s="4">
        <f>SUM($F$5:$F171)-SUM($E$5:$E171)</f>
        <v>592327.7900000005</v>
      </c>
      <c r="J171" s="4">
        <f t="shared" si="2"/>
        <v>0</v>
      </c>
    </row>
    <row r="172" spans="1:10" x14ac:dyDescent="0.75">
      <c r="A172" s="3" t="s">
        <v>172</v>
      </c>
      <c r="B172" s="3" t="s">
        <v>176</v>
      </c>
      <c r="C172" s="3" t="s">
        <v>30</v>
      </c>
      <c r="E172" s="3" t="s">
        <v>11</v>
      </c>
      <c r="F172" s="4">
        <v>53494.5</v>
      </c>
      <c r="G172" s="4">
        <v>645822.29</v>
      </c>
      <c r="I172" s="4">
        <f>SUM($F$5:$F172)-SUM($E$5:$E172)</f>
        <v>645822.2900000005</v>
      </c>
      <c r="J172" s="4">
        <f t="shared" si="2"/>
        <v>0</v>
      </c>
    </row>
    <row r="173" spans="1:10" x14ac:dyDescent="0.75">
      <c r="A173" s="3" t="s">
        <v>176</v>
      </c>
      <c r="B173" s="3" t="s">
        <v>176</v>
      </c>
      <c r="C173" s="3" t="s">
        <v>177</v>
      </c>
      <c r="E173" s="3">
        <v>767.55</v>
      </c>
      <c r="F173" s="3" t="s">
        <v>11</v>
      </c>
      <c r="G173" s="4">
        <v>645054.74</v>
      </c>
      <c r="I173" s="4">
        <f>SUM($F$5:$F173)-SUM($E$5:$E173)</f>
        <v>645054.74000000069</v>
      </c>
      <c r="J173" s="4">
        <f t="shared" si="2"/>
        <v>0</v>
      </c>
    </row>
    <row r="174" spans="1:10" x14ac:dyDescent="0.75">
      <c r="A174" s="3" t="s">
        <v>176</v>
      </c>
      <c r="B174" s="3" t="s">
        <v>176</v>
      </c>
      <c r="C174" s="3" t="s">
        <v>178</v>
      </c>
      <c r="E174" s="4">
        <v>5238.87</v>
      </c>
      <c r="F174" s="3" t="s">
        <v>11</v>
      </c>
      <c r="G174" s="4">
        <v>639815.87</v>
      </c>
      <c r="I174" s="4">
        <f>SUM($F$5:$F174)-SUM($E$5:$E174)</f>
        <v>639815.87000000058</v>
      </c>
      <c r="J174" s="4">
        <f t="shared" si="2"/>
        <v>0</v>
      </c>
    </row>
    <row r="175" spans="1:10" x14ac:dyDescent="0.75">
      <c r="A175" s="3" t="s">
        <v>176</v>
      </c>
      <c r="C175" s="3" t="s">
        <v>30</v>
      </c>
      <c r="E175" s="3" t="s">
        <v>11</v>
      </c>
      <c r="F175" s="3">
        <v>29366.639999999999</v>
      </c>
      <c r="G175" s="3">
        <v>669182.51</v>
      </c>
      <c r="I175" s="4">
        <f>SUM($F$5:$F175)-SUM($E$5:$E175)</f>
        <v>669182.51000000071</v>
      </c>
      <c r="J175" s="4">
        <f t="shared" si="2"/>
        <v>0</v>
      </c>
    </row>
    <row r="176" spans="1:10" x14ac:dyDescent="0.75">
      <c r="A176" s="5">
        <v>43501</v>
      </c>
      <c r="B176" s="5">
        <v>43501</v>
      </c>
      <c r="C176" s="3" t="s">
        <v>179</v>
      </c>
      <c r="E176" s="3">
        <v>6782.89</v>
      </c>
      <c r="F176" s="3" t="s">
        <v>11</v>
      </c>
      <c r="G176" s="4">
        <v>662399.62</v>
      </c>
      <c r="I176" s="4">
        <f>SUM($F$5:$F176)-SUM($E$5:$E176)</f>
        <v>662399.62000000058</v>
      </c>
      <c r="J176" s="4">
        <f t="shared" si="2"/>
        <v>0</v>
      </c>
    </row>
    <row r="177" spans="1:10" x14ac:dyDescent="0.75">
      <c r="A177" s="5">
        <v>43501</v>
      </c>
      <c r="B177" s="5">
        <v>43501</v>
      </c>
      <c r="C177" s="3" t="s">
        <v>30</v>
      </c>
      <c r="E177" s="4" t="s">
        <v>11</v>
      </c>
      <c r="F177" s="3">
        <v>3681.5</v>
      </c>
      <c r="G177" s="4">
        <v>666081.12</v>
      </c>
      <c r="I177" s="4">
        <f>SUM($F$5:$F177)-SUM($E$5:$E177)</f>
        <v>666081.12000000058</v>
      </c>
      <c r="J177" s="4">
        <f t="shared" si="2"/>
        <v>0</v>
      </c>
    </row>
    <row r="178" spans="1:10" x14ac:dyDescent="0.75">
      <c r="A178" s="5">
        <v>43529</v>
      </c>
      <c r="B178" s="5">
        <v>43529</v>
      </c>
      <c r="C178" s="3" t="s">
        <v>180</v>
      </c>
      <c r="E178" s="4">
        <v>2815.24</v>
      </c>
      <c r="F178" s="3" t="s">
        <v>11</v>
      </c>
      <c r="G178" s="4">
        <v>663265.88</v>
      </c>
      <c r="I178" s="4">
        <f>SUM($F$5:$F178)-SUM($E$5:$E178)</f>
        <v>663265.88000000035</v>
      </c>
      <c r="J178" s="4">
        <f t="shared" si="2"/>
        <v>0</v>
      </c>
    </row>
    <row r="179" spans="1:10" x14ac:dyDescent="0.75">
      <c r="A179" s="5">
        <v>43529</v>
      </c>
      <c r="B179" s="5">
        <v>43529</v>
      </c>
      <c r="C179" s="3" t="s">
        <v>181</v>
      </c>
      <c r="E179" s="4">
        <v>3000</v>
      </c>
      <c r="F179" s="3" t="s">
        <v>11</v>
      </c>
      <c r="G179" s="4">
        <v>660265.88</v>
      </c>
      <c r="I179" s="4">
        <f>SUM($F$5:$F179)-SUM($E$5:$E179)</f>
        <v>660265.88000000035</v>
      </c>
      <c r="J179" s="4">
        <f t="shared" si="2"/>
        <v>0</v>
      </c>
    </row>
    <row r="180" spans="1:10" x14ac:dyDescent="0.75">
      <c r="A180" s="5">
        <v>43529</v>
      </c>
      <c r="B180" s="5">
        <v>43529</v>
      </c>
      <c r="C180" s="3" t="s">
        <v>30</v>
      </c>
      <c r="E180" s="4" t="s">
        <v>11</v>
      </c>
      <c r="F180" s="3">
        <v>6336.09</v>
      </c>
      <c r="G180" s="4">
        <v>666601.97</v>
      </c>
      <c r="I180" s="4">
        <f>SUM($F$5:$F180)-SUM($E$5:$E180)</f>
        <v>666601.9700000002</v>
      </c>
      <c r="J180" s="4">
        <f t="shared" si="2"/>
        <v>0</v>
      </c>
    </row>
    <row r="181" spans="1:10" x14ac:dyDescent="0.75">
      <c r="A181" s="5">
        <v>43621</v>
      </c>
      <c r="B181" s="5">
        <v>43621</v>
      </c>
      <c r="C181" s="3" t="s">
        <v>182</v>
      </c>
      <c r="E181" s="4">
        <v>1018.5</v>
      </c>
      <c r="F181" s="3" t="s">
        <v>11</v>
      </c>
      <c r="G181" s="4">
        <v>665583.47</v>
      </c>
      <c r="I181" s="4">
        <f>SUM($F$5:$F181)-SUM($E$5:$E181)</f>
        <v>665583.4700000002</v>
      </c>
      <c r="J181" s="4">
        <f t="shared" si="2"/>
        <v>0</v>
      </c>
    </row>
    <row r="182" spans="1:10" x14ac:dyDescent="0.75">
      <c r="A182" s="5">
        <v>43621</v>
      </c>
      <c r="B182" s="5">
        <v>43621</v>
      </c>
      <c r="C182" s="3" t="s">
        <v>183</v>
      </c>
      <c r="E182" s="3">
        <v>5633.76</v>
      </c>
      <c r="F182" s="3" t="s">
        <v>11</v>
      </c>
      <c r="G182" s="4">
        <v>659949.71</v>
      </c>
      <c r="I182" s="4">
        <f>SUM($F$5:$F182)-SUM($E$5:$E182)</f>
        <v>659949.71000000043</v>
      </c>
      <c r="J182" s="4">
        <f t="shared" si="2"/>
        <v>0</v>
      </c>
    </row>
    <row r="183" spans="1:10" x14ac:dyDescent="0.75">
      <c r="A183" s="5">
        <v>43621</v>
      </c>
      <c r="B183" s="5">
        <v>43621</v>
      </c>
      <c r="C183" s="3" t="s">
        <v>184</v>
      </c>
      <c r="E183" s="3">
        <v>11885.41</v>
      </c>
      <c r="F183" s="4" t="s">
        <v>11</v>
      </c>
      <c r="G183" s="4">
        <v>648064.30000000005</v>
      </c>
      <c r="I183" s="4">
        <f>SUM($F$5:$F183)-SUM($E$5:$E183)</f>
        <v>648064.30000000028</v>
      </c>
      <c r="J183" s="4">
        <f t="shared" si="2"/>
        <v>0</v>
      </c>
    </row>
    <row r="184" spans="1:10" x14ac:dyDescent="0.75">
      <c r="A184" s="5">
        <v>43621</v>
      </c>
      <c r="B184" s="5">
        <v>43621</v>
      </c>
      <c r="C184" s="3" t="s">
        <v>185</v>
      </c>
      <c r="E184" s="3">
        <v>12578.31</v>
      </c>
      <c r="F184" s="3" t="s">
        <v>11</v>
      </c>
      <c r="G184" s="4">
        <v>635485.99</v>
      </c>
      <c r="I184" s="4">
        <f>SUM($F$5:$F184)-SUM($E$5:$E184)</f>
        <v>635485.99000000022</v>
      </c>
      <c r="J184" s="4">
        <f t="shared" si="2"/>
        <v>0</v>
      </c>
    </row>
    <row r="185" spans="1:10" x14ac:dyDescent="0.75">
      <c r="A185" s="5">
        <v>43621</v>
      </c>
      <c r="B185" s="5">
        <v>43621</v>
      </c>
      <c r="C185" s="3" t="s">
        <v>186</v>
      </c>
      <c r="E185" s="4">
        <v>169047.96</v>
      </c>
      <c r="F185" s="3" t="s">
        <v>11</v>
      </c>
      <c r="G185" s="4">
        <v>466438.03</v>
      </c>
      <c r="I185" s="4">
        <f>SUM($F$5:$F185)-SUM($E$5:$E185)</f>
        <v>466438.03000000026</v>
      </c>
      <c r="J185" s="4">
        <f t="shared" si="2"/>
        <v>0</v>
      </c>
    </row>
    <row r="186" spans="1:10" x14ac:dyDescent="0.75">
      <c r="A186" s="5">
        <v>43651</v>
      </c>
      <c r="B186" s="5">
        <v>43651</v>
      </c>
      <c r="C186" s="3" t="s">
        <v>187</v>
      </c>
      <c r="E186" s="3">
        <v>50632.56</v>
      </c>
      <c r="F186" s="3" t="s">
        <v>11</v>
      </c>
      <c r="G186" s="3">
        <v>415805.47</v>
      </c>
      <c r="I186" s="4">
        <f>SUM($F$5:$F186)-SUM($E$5:$E186)</f>
        <v>415805.4700000002</v>
      </c>
      <c r="J186" s="4">
        <f t="shared" si="2"/>
        <v>0</v>
      </c>
    </row>
    <row r="187" spans="1:10" x14ac:dyDescent="0.75">
      <c r="A187" s="5">
        <v>43651</v>
      </c>
      <c r="B187" s="5">
        <v>43651</v>
      </c>
      <c r="C187" s="3" t="s">
        <v>188</v>
      </c>
      <c r="E187" s="3">
        <v>398531.01</v>
      </c>
      <c r="F187" s="3" t="s">
        <v>11</v>
      </c>
      <c r="G187" s="3">
        <v>17274.46</v>
      </c>
      <c r="I187" s="4">
        <f>SUM($F$5:$F187)-SUM($E$5:$E187)</f>
        <v>17274.459999999963</v>
      </c>
      <c r="J187" s="4">
        <f t="shared" si="2"/>
        <v>-3.637978807091713E-11</v>
      </c>
    </row>
    <row r="188" spans="1:10" x14ac:dyDescent="0.75">
      <c r="A188" s="5">
        <v>43651</v>
      </c>
      <c r="B188" s="5">
        <v>43651</v>
      </c>
      <c r="C188" s="3" t="s">
        <v>30</v>
      </c>
      <c r="E188" s="3" t="s">
        <v>11</v>
      </c>
      <c r="F188" s="3">
        <v>29774.6</v>
      </c>
      <c r="G188" s="3">
        <v>47049.06</v>
      </c>
      <c r="I188" s="4">
        <f>SUM($F$5:$F188)-SUM($E$5:$E188)</f>
        <v>47049.060000000056</v>
      </c>
      <c r="J188" s="4">
        <f t="shared" si="2"/>
        <v>5.8207660913467407E-11</v>
      </c>
    </row>
    <row r="189" spans="1:10" x14ac:dyDescent="0.75">
      <c r="A189" s="5">
        <v>43682</v>
      </c>
      <c r="B189" s="5">
        <v>43682</v>
      </c>
      <c r="C189" s="3" t="s">
        <v>189</v>
      </c>
      <c r="E189" s="3">
        <v>1048.07</v>
      </c>
      <c r="F189" s="3" t="s">
        <v>11</v>
      </c>
      <c r="G189" s="3">
        <v>46000.99</v>
      </c>
      <c r="I189" s="4">
        <f>SUM($F$5:$F189)-SUM($E$5:$E189)</f>
        <v>46000.990000000224</v>
      </c>
      <c r="J189" s="4">
        <f t="shared" si="2"/>
        <v>2.255546860396862E-10</v>
      </c>
    </row>
    <row r="190" spans="1:10" x14ac:dyDescent="0.75">
      <c r="A190" s="5">
        <v>43682</v>
      </c>
      <c r="B190" s="5">
        <v>43682</v>
      </c>
      <c r="C190" s="3" t="s">
        <v>190</v>
      </c>
      <c r="E190" s="3">
        <v>1999.92</v>
      </c>
      <c r="F190" s="3" t="s">
        <v>11</v>
      </c>
      <c r="G190" s="3">
        <v>44001.07</v>
      </c>
      <c r="I190" s="4">
        <f>SUM($F$5:$F190)-SUM($E$5:$E190)</f>
        <v>44001.070000000298</v>
      </c>
      <c r="J190" s="4">
        <f t="shared" si="2"/>
        <v>2.9831426218152046E-10</v>
      </c>
    </row>
    <row r="191" spans="1:10" x14ac:dyDescent="0.75">
      <c r="A191" s="5">
        <v>43682</v>
      </c>
      <c r="B191" s="5">
        <v>43682</v>
      </c>
      <c r="C191" s="3" t="s">
        <v>191</v>
      </c>
      <c r="E191" s="3">
        <v>3538.4</v>
      </c>
      <c r="F191" s="3" t="s">
        <v>11</v>
      </c>
      <c r="G191" s="3">
        <v>40462.67</v>
      </c>
      <c r="I191" s="4">
        <f>SUM($F$5:$F191)-SUM($E$5:$E191)</f>
        <v>40462.670000000391</v>
      </c>
      <c r="J191" s="4">
        <f t="shared" si="2"/>
        <v>3.92901711165905E-10</v>
      </c>
    </row>
    <row r="192" spans="1:10" x14ac:dyDescent="0.75">
      <c r="A192" s="5">
        <v>43682</v>
      </c>
      <c r="B192" s="5">
        <v>43682</v>
      </c>
      <c r="C192" s="3" t="s">
        <v>192</v>
      </c>
      <c r="E192" s="3">
        <v>6736.54</v>
      </c>
      <c r="F192" s="3" t="s">
        <v>11</v>
      </c>
      <c r="G192" s="3">
        <v>33726.129999999997</v>
      </c>
      <c r="I192" s="4">
        <f>SUM($F$5:$F192)-SUM($E$5:$E192)</f>
        <v>33726.130000000354</v>
      </c>
      <c r="J192" s="4">
        <f t="shared" si="2"/>
        <v>3.5652192309498787E-10</v>
      </c>
    </row>
    <row r="193" spans="1:10" x14ac:dyDescent="0.75">
      <c r="A193" s="5">
        <v>43682</v>
      </c>
      <c r="B193" s="5">
        <v>43682</v>
      </c>
      <c r="C193" s="3" t="s">
        <v>193</v>
      </c>
      <c r="E193" s="3">
        <v>10563.31</v>
      </c>
      <c r="F193" s="3" t="s">
        <v>11</v>
      </c>
      <c r="G193" s="3">
        <v>23162.82</v>
      </c>
      <c r="I193" s="4">
        <f>SUM($F$5:$F193)-SUM($E$5:$E193)</f>
        <v>23162.820000000298</v>
      </c>
      <c r="J193" s="4">
        <f t="shared" si="2"/>
        <v>2.9831426218152046E-10</v>
      </c>
    </row>
    <row r="194" spans="1:10" x14ac:dyDescent="0.75">
      <c r="A194" s="5">
        <v>43682</v>
      </c>
      <c r="B194" s="5">
        <v>43682</v>
      </c>
      <c r="C194" s="3" t="s">
        <v>194</v>
      </c>
      <c r="E194" s="3">
        <v>11321.55</v>
      </c>
      <c r="F194" s="3" t="s">
        <v>11</v>
      </c>
      <c r="G194" s="3">
        <v>11841.27</v>
      </c>
      <c r="I194" s="4">
        <f>SUM($F$5:$F194)-SUM($E$5:$E194)</f>
        <v>11841.270000000484</v>
      </c>
      <c r="J194" s="4">
        <f t="shared" si="2"/>
        <v>4.8385118134319782E-10</v>
      </c>
    </row>
    <row r="195" spans="1:10" x14ac:dyDescent="0.75">
      <c r="A195" s="5">
        <v>43682</v>
      </c>
      <c r="B195" s="5">
        <v>43682</v>
      </c>
      <c r="C195" s="3" t="s">
        <v>30</v>
      </c>
      <c r="E195" s="3" t="s">
        <v>11</v>
      </c>
      <c r="F195" s="3">
        <v>240933.53</v>
      </c>
      <c r="G195" s="3">
        <v>252774.8</v>
      </c>
      <c r="I195" s="4">
        <f>SUM($F$5:$F195)-SUM($E$5:$E195)</f>
        <v>252774.80000000028</v>
      </c>
      <c r="J195" s="4">
        <f t="shared" si="2"/>
        <v>2.9103830456733704E-10</v>
      </c>
    </row>
    <row r="196" spans="1:10" x14ac:dyDescent="0.75">
      <c r="A196" s="5">
        <v>43713</v>
      </c>
      <c r="B196" s="5">
        <v>43713</v>
      </c>
      <c r="C196" s="3" t="s">
        <v>195</v>
      </c>
      <c r="E196" s="3">
        <v>2328</v>
      </c>
      <c r="F196" s="3" t="s">
        <v>11</v>
      </c>
      <c r="G196" s="3">
        <v>250446.8</v>
      </c>
      <c r="I196" s="4">
        <f>SUM($F$5:$F196)-SUM($E$5:$E196)</f>
        <v>250446.80000000028</v>
      </c>
      <c r="J196" s="4">
        <f t="shared" si="2"/>
        <v>2.9103830456733704E-10</v>
      </c>
    </row>
    <row r="197" spans="1:10" x14ac:dyDescent="0.75">
      <c r="A197" s="5">
        <v>43713</v>
      </c>
      <c r="B197" s="5">
        <v>43713</v>
      </c>
      <c r="C197" s="3" t="s">
        <v>196</v>
      </c>
      <c r="E197" s="3">
        <v>2339.81</v>
      </c>
      <c r="F197" s="3" t="s">
        <v>11</v>
      </c>
      <c r="G197" s="3">
        <v>248106.99</v>
      </c>
      <c r="I197" s="4">
        <f>SUM($F$5:$F197)-SUM($E$5:$E197)</f>
        <v>248106.99000000022</v>
      </c>
      <c r="J197" s="4">
        <f t="shared" si="2"/>
        <v>2.3283064365386963E-10</v>
      </c>
    </row>
    <row r="198" spans="1:10" x14ac:dyDescent="0.75">
      <c r="A198" s="5">
        <v>43713</v>
      </c>
      <c r="B198" s="5">
        <v>43713</v>
      </c>
      <c r="C198" s="3" t="s">
        <v>197</v>
      </c>
      <c r="E198" s="3">
        <v>9740.85</v>
      </c>
      <c r="F198" s="3" t="s">
        <v>11</v>
      </c>
      <c r="G198" s="3">
        <v>238366.14</v>
      </c>
      <c r="I198" s="4">
        <f>SUM($F$5:$F198)-SUM($E$5:$E198)</f>
        <v>238366.14000000013</v>
      </c>
      <c r="J198" s="4">
        <f t="shared" ref="J198:J261" si="3">I198-G198</f>
        <v>0</v>
      </c>
    </row>
    <row r="199" spans="1:10" x14ac:dyDescent="0.75">
      <c r="A199" s="5">
        <v>43713</v>
      </c>
      <c r="B199" s="5">
        <v>43713</v>
      </c>
      <c r="C199" s="3" t="s">
        <v>30</v>
      </c>
      <c r="E199" s="3" t="s">
        <v>11</v>
      </c>
      <c r="F199" s="3">
        <v>19466.009999999998</v>
      </c>
      <c r="G199" s="3">
        <v>257832.15</v>
      </c>
      <c r="I199" s="4">
        <f>SUM($F$5:$F199)-SUM($E$5:$E199)</f>
        <v>257832.14999999991</v>
      </c>
      <c r="J199" s="4">
        <f t="shared" si="3"/>
        <v>0</v>
      </c>
    </row>
    <row r="200" spans="1:10" x14ac:dyDescent="0.75">
      <c r="A200" s="5">
        <v>43743</v>
      </c>
      <c r="B200" s="5">
        <v>43743</v>
      </c>
      <c r="C200" s="3" t="s">
        <v>198</v>
      </c>
      <c r="E200" s="3">
        <v>470</v>
      </c>
      <c r="F200" s="3" t="s">
        <v>11</v>
      </c>
      <c r="G200" s="3">
        <v>257362.15</v>
      </c>
      <c r="I200" s="4">
        <f>SUM($F$5:$F200)-SUM($E$5:$E200)</f>
        <v>257362.14999999991</v>
      </c>
      <c r="J200" s="4">
        <f t="shared" si="3"/>
        <v>0</v>
      </c>
    </row>
    <row r="201" spans="1:10" x14ac:dyDescent="0.75">
      <c r="A201" s="5">
        <v>43743</v>
      </c>
      <c r="B201" s="5">
        <v>43743</v>
      </c>
      <c r="C201" s="3" t="s">
        <v>199</v>
      </c>
      <c r="E201" s="3">
        <v>1130</v>
      </c>
      <c r="F201" s="3" t="s">
        <v>11</v>
      </c>
      <c r="G201" s="3">
        <v>256232.15</v>
      </c>
      <c r="I201" s="4">
        <f>SUM($F$5:$F201)-SUM($E$5:$E201)</f>
        <v>256232.14999999991</v>
      </c>
      <c r="J201" s="4">
        <f t="shared" si="3"/>
        <v>0</v>
      </c>
    </row>
    <row r="202" spans="1:10" x14ac:dyDescent="0.75">
      <c r="A202" s="5">
        <v>43743</v>
      </c>
      <c r="B202" s="5">
        <v>43743</v>
      </c>
      <c r="C202" s="3" t="s">
        <v>200</v>
      </c>
      <c r="E202" s="3">
        <v>1200</v>
      </c>
      <c r="F202" s="3" t="s">
        <v>11</v>
      </c>
      <c r="G202" s="3">
        <v>255032.15</v>
      </c>
      <c r="I202" s="4">
        <f>SUM($F$5:$F202)-SUM($E$5:$E202)</f>
        <v>255032.14999999991</v>
      </c>
      <c r="J202" s="4">
        <f t="shared" si="3"/>
        <v>0</v>
      </c>
    </row>
    <row r="203" spans="1:10" x14ac:dyDescent="0.75">
      <c r="A203" s="5">
        <v>43743</v>
      </c>
      <c r="B203" s="5">
        <v>43743</v>
      </c>
      <c r="C203" s="3" t="s">
        <v>201</v>
      </c>
      <c r="E203" s="3">
        <v>1500</v>
      </c>
      <c r="F203" s="3" t="s">
        <v>11</v>
      </c>
      <c r="G203" s="3">
        <v>253532.15</v>
      </c>
      <c r="I203" s="4">
        <f>SUM($F$5:$F203)-SUM($E$5:$E203)</f>
        <v>253532.14999999991</v>
      </c>
      <c r="J203" s="4">
        <f t="shared" si="3"/>
        <v>0</v>
      </c>
    </row>
    <row r="204" spans="1:10" x14ac:dyDescent="0.75">
      <c r="A204" s="5">
        <v>43743</v>
      </c>
      <c r="B204" s="5">
        <v>43743</v>
      </c>
      <c r="C204" s="3" t="s">
        <v>202</v>
      </c>
      <c r="E204" s="3">
        <v>1670</v>
      </c>
      <c r="F204" s="3" t="s">
        <v>11</v>
      </c>
      <c r="G204" s="3">
        <v>251862.15</v>
      </c>
      <c r="I204" s="4">
        <f>SUM($F$5:$F204)-SUM($E$5:$E204)</f>
        <v>251862.14999999991</v>
      </c>
      <c r="J204" s="4">
        <f t="shared" si="3"/>
        <v>0</v>
      </c>
    </row>
    <row r="205" spans="1:10" x14ac:dyDescent="0.75">
      <c r="A205" s="5">
        <v>43743</v>
      </c>
      <c r="B205" s="5">
        <v>43743</v>
      </c>
      <c r="C205" s="3" t="s">
        <v>203</v>
      </c>
      <c r="E205" s="3">
        <v>1800</v>
      </c>
      <c r="F205" s="3" t="s">
        <v>11</v>
      </c>
      <c r="G205" s="3">
        <v>250062.15</v>
      </c>
      <c r="I205" s="4">
        <f>SUM($F$5:$F205)-SUM($E$5:$E205)</f>
        <v>250062.14999999991</v>
      </c>
      <c r="J205" s="4">
        <f t="shared" si="3"/>
        <v>0</v>
      </c>
    </row>
    <row r="206" spans="1:10" x14ac:dyDescent="0.75">
      <c r="A206" s="5">
        <v>43743</v>
      </c>
      <c r="B206" s="5">
        <v>43743</v>
      </c>
      <c r="C206" s="3" t="s">
        <v>204</v>
      </c>
      <c r="E206" s="3">
        <v>2210.21</v>
      </c>
      <c r="F206" s="3" t="s">
        <v>11</v>
      </c>
      <c r="G206" s="3">
        <v>247851.94</v>
      </c>
      <c r="I206" s="4">
        <f>SUM($F$5:$F206)-SUM($E$5:$E206)</f>
        <v>247851.93999999994</v>
      </c>
      <c r="J206" s="4">
        <f t="shared" si="3"/>
        <v>0</v>
      </c>
    </row>
    <row r="207" spans="1:10" x14ac:dyDescent="0.75">
      <c r="A207" s="5">
        <v>43743</v>
      </c>
      <c r="B207" s="5">
        <v>43743</v>
      </c>
      <c r="C207" s="3" t="s">
        <v>205</v>
      </c>
      <c r="E207" s="3">
        <v>2990.55</v>
      </c>
      <c r="F207" s="3" t="s">
        <v>11</v>
      </c>
      <c r="G207" s="3">
        <v>244861.39</v>
      </c>
      <c r="I207" s="4">
        <f>SUM($F$5:$F207)-SUM($E$5:$E207)</f>
        <v>244861.39000000013</v>
      </c>
      <c r="J207" s="4">
        <f t="shared" si="3"/>
        <v>0</v>
      </c>
    </row>
    <row r="208" spans="1:10" x14ac:dyDescent="0.75">
      <c r="A208" s="5">
        <v>43743</v>
      </c>
      <c r="B208" s="5">
        <v>43743</v>
      </c>
      <c r="C208" s="3" t="s">
        <v>206</v>
      </c>
      <c r="E208" s="3">
        <v>3000</v>
      </c>
      <c r="F208" s="3" t="s">
        <v>11</v>
      </c>
      <c r="G208" s="3">
        <v>241861.39</v>
      </c>
      <c r="I208" s="4">
        <f>SUM($F$5:$F208)-SUM($E$5:$E208)</f>
        <v>241861.39000000013</v>
      </c>
      <c r="J208" s="4">
        <f t="shared" si="3"/>
        <v>0</v>
      </c>
    </row>
    <row r="209" spans="1:10" x14ac:dyDescent="0.75">
      <c r="A209" s="5">
        <v>43743</v>
      </c>
      <c r="B209" s="5">
        <v>43743</v>
      </c>
      <c r="C209" s="3" t="s">
        <v>207</v>
      </c>
      <c r="E209" s="3">
        <v>552.9</v>
      </c>
      <c r="F209" s="3" t="s">
        <v>11</v>
      </c>
      <c r="G209" s="3">
        <v>241308.49</v>
      </c>
      <c r="I209" s="4">
        <f>SUM($F$5:$F209)-SUM($E$5:$E209)</f>
        <v>241308.49000000022</v>
      </c>
      <c r="J209" s="4">
        <f t="shared" si="3"/>
        <v>2.3283064365386963E-10</v>
      </c>
    </row>
    <row r="210" spans="1:10" x14ac:dyDescent="0.75">
      <c r="A210" s="5">
        <v>43743</v>
      </c>
      <c r="B210" s="5">
        <v>43743</v>
      </c>
      <c r="C210" s="3" t="s">
        <v>208</v>
      </c>
      <c r="E210" s="3">
        <v>3395</v>
      </c>
      <c r="F210" s="3" t="s">
        <v>11</v>
      </c>
      <c r="G210" s="3">
        <v>237913.49</v>
      </c>
      <c r="I210" s="4">
        <f>SUM($F$5:$F210)-SUM($E$5:$E210)</f>
        <v>237913.49000000022</v>
      </c>
      <c r="J210" s="4">
        <f t="shared" si="3"/>
        <v>2.3283064365386963E-10</v>
      </c>
    </row>
    <row r="211" spans="1:10" x14ac:dyDescent="0.75">
      <c r="A211" s="5">
        <v>43743</v>
      </c>
      <c r="B211" s="5">
        <v>43743</v>
      </c>
      <c r="C211" s="3" t="s">
        <v>209</v>
      </c>
      <c r="E211" s="3">
        <v>4321.5600000000004</v>
      </c>
      <c r="F211" s="3" t="s">
        <v>11</v>
      </c>
      <c r="G211" s="3">
        <v>233591.93</v>
      </c>
      <c r="I211" s="4">
        <f>SUM($F$5:$F211)-SUM($E$5:$E211)</f>
        <v>233591.93000000017</v>
      </c>
      <c r="J211" s="4">
        <f t="shared" si="3"/>
        <v>0</v>
      </c>
    </row>
    <row r="212" spans="1:10" x14ac:dyDescent="0.75">
      <c r="A212" s="5">
        <v>43743</v>
      </c>
      <c r="B212" s="5">
        <v>43743</v>
      </c>
      <c r="C212" s="3" t="s">
        <v>210</v>
      </c>
      <c r="E212" s="3">
        <v>11559.74</v>
      </c>
      <c r="F212" s="3" t="s">
        <v>11</v>
      </c>
      <c r="G212" s="3">
        <v>222032.19</v>
      </c>
      <c r="I212" s="4">
        <f>SUM($F$5:$F212)-SUM($E$5:$E212)</f>
        <v>222032.18999999994</v>
      </c>
      <c r="J212" s="4">
        <f t="shared" si="3"/>
        <v>0</v>
      </c>
    </row>
    <row r="213" spans="1:10" x14ac:dyDescent="0.75">
      <c r="A213" s="5">
        <v>43743</v>
      </c>
      <c r="B213" s="5">
        <v>43743</v>
      </c>
      <c r="C213" s="3" t="s">
        <v>211</v>
      </c>
      <c r="E213" s="3">
        <v>31355.54</v>
      </c>
      <c r="F213" s="3" t="s">
        <v>11</v>
      </c>
      <c r="G213" s="3">
        <v>190676.65</v>
      </c>
      <c r="I213" s="4">
        <f>SUM($F$5:$F213)-SUM($E$5:$E213)</f>
        <v>190676.64999999991</v>
      </c>
      <c r="J213" s="4">
        <f t="shared" si="3"/>
        <v>0</v>
      </c>
    </row>
    <row r="214" spans="1:10" x14ac:dyDescent="0.75">
      <c r="A214" s="5">
        <v>43743</v>
      </c>
      <c r="B214" s="5">
        <v>43743</v>
      </c>
      <c r="C214" s="3" t="s">
        <v>212</v>
      </c>
      <c r="E214" s="3">
        <v>180493.37</v>
      </c>
      <c r="F214" s="3" t="s">
        <v>11</v>
      </c>
      <c r="G214" s="3">
        <v>10183.280000000001</v>
      </c>
      <c r="I214" s="4">
        <f>SUM($F$5:$F214)-SUM($E$5:$E214)</f>
        <v>10183.279999999795</v>
      </c>
      <c r="J214" s="4">
        <f t="shared" si="3"/>
        <v>-2.0554580260068178E-10</v>
      </c>
    </row>
    <row r="215" spans="1:10" x14ac:dyDescent="0.75">
      <c r="A215" s="5">
        <v>43743</v>
      </c>
      <c r="B215" s="5">
        <v>43743</v>
      </c>
      <c r="C215" s="3" t="s">
        <v>30</v>
      </c>
      <c r="E215" s="3" t="s">
        <v>11</v>
      </c>
      <c r="F215" s="3">
        <v>89832.55</v>
      </c>
      <c r="G215" s="3">
        <v>100015.83</v>
      </c>
      <c r="I215" s="4">
        <f>SUM($F$5:$F215)-SUM($E$5:$E215)</f>
        <v>100015.82999999961</v>
      </c>
      <c r="J215" s="4">
        <f t="shared" si="3"/>
        <v>-3.92901711165905E-10</v>
      </c>
    </row>
    <row r="216" spans="1:10" x14ac:dyDescent="0.75">
      <c r="A216" s="5" t="s">
        <v>213</v>
      </c>
      <c r="B216" s="5" t="s">
        <v>213</v>
      </c>
      <c r="C216" s="3" t="s">
        <v>214</v>
      </c>
      <c r="E216" s="3">
        <v>416.25</v>
      </c>
      <c r="F216" s="3" t="s">
        <v>11</v>
      </c>
      <c r="G216" s="3">
        <v>99599.58</v>
      </c>
      <c r="I216" s="4">
        <f>SUM($F$5:$F216)-SUM($E$5:$E216)</f>
        <v>99599.579999999609</v>
      </c>
      <c r="J216" s="4">
        <f t="shared" si="3"/>
        <v>-3.92901711165905E-10</v>
      </c>
    </row>
    <row r="217" spans="1:10" x14ac:dyDescent="0.75">
      <c r="A217" s="5" t="s">
        <v>213</v>
      </c>
      <c r="B217" s="5" t="s">
        <v>213</v>
      </c>
      <c r="C217" s="3" t="s">
        <v>215</v>
      </c>
      <c r="E217" s="3">
        <v>605.28</v>
      </c>
      <c r="F217" s="3" t="s">
        <v>11</v>
      </c>
      <c r="G217" s="3">
        <v>98994.3</v>
      </c>
      <c r="I217" s="4">
        <f>SUM($F$5:$F217)-SUM($E$5:$E217)</f>
        <v>98994.299999999814</v>
      </c>
      <c r="J217" s="4">
        <f t="shared" si="3"/>
        <v>-1.8917489796876907E-10</v>
      </c>
    </row>
    <row r="218" spans="1:10" x14ac:dyDescent="0.75">
      <c r="A218" s="5" t="s">
        <v>213</v>
      </c>
      <c r="B218" s="5" t="s">
        <v>213</v>
      </c>
      <c r="C218" s="3" t="s">
        <v>216</v>
      </c>
      <c r="E218" s="3">
        <v>1875.01</v>
      </c>
      <c r="F218" s="3" t="s">
        <v>11</v>
      </c>
      <c r="G218" s="3">
        <v>97119.29</v>
      </c>
      <c r="I218" s="4">
        <f>SUM($F$5:$F218)-SUM($E$5:$E218)</f>
        <v>97119.290000000037</v>
      </c>
      <c r="J218" s="4">
        <f t="shared" si="3"/>
        <v>0</v>
      </c>
    </row>
    <row r="219" spans="1:10" x14ac:dyDescent="0.75">
      <c r="A219" s="5" t="s">
        <v>213</v>
      </c>
      <c r="B219" s="5" t="s">
        <v>213</v>
      </c>
      <c r="C219" s="3" t="s">
        <v>217</v>
      </c>
      <c r="E219" s="3">
        <v>4206.5</v>
      </c>
      <c r="F219" s="3" t="s">
        <v>11</v>
      </c>
      <c r="G219" s="3">
        <v>92912.79</v>
      </c>
      <c r="I219" s="4">
        <f>SUM($F$5:$F219)-SUM($E$5:$E219)</f>
        <v>92912.790000000037</v>
      </c>
      <c r="J219" s="4">
        <f t="shared" si="3"/>
        <v>0</v>
      </c>
    </row>
    <row r="220" spans="1:10" x14ac:dyDescent="0.75">
      <c r="A220" s="5" t="s">
        <v>213</v>
      </c>
      <c r="B220" s="5" t="s">
        <v>213</v>
      </c>
      <c r="C220" s="3" t="s">
        <v>218</v>
      </c>
      <c r="E220" s="3">
        <v>5674.5</v>
      </c>
      <c r="F220" s="3" t="s">
        <v>11</v>
      </c>
      <c r="G220" s="3">
        <v>87238.29</v>
      </c>
      <c r="I220" s="4">
        <f>SUM($F$5:$F220)-SUM($E$5:$E220)</f>
        <v>87238.290000000037</v>
      </c>
      <c r="J220" s="4">
        <f t="shared" si="3"/>
        <v>0</v>
      </c>
    </row>
    <row r="221" spans="1:10" x14ac:dyDescent="0.75">
      <c r="A221" s="5" t="s">
        <v>213</v>
      </c>
      <c r="B221" s="5" t="s">
        <v>213</v>
      </c>
      <c r="C221" s="3" t="s">
        <v>219</v>
      </c>
      <c r="E221" s="3">
        <v>6227.4</v>
      </c>
      <c r="F221" s="3" t="s">
        <v>11</v>
      </c>
      <c r="G221" s="3">
        <v>81010.89</v>
      </c>
      <c r="I221" s="4">
        <f>SUM($F$5:$F221)-SUM($E$5:$E221)</f>
        <v>81010.89000000013</v>
      </c>
      <c r="J221" s="4">
        <f t="shared" si="3"/>
        <v>1.3096723705530167E-10</v>
      </c>
    </row>
    <row r="222" spans="1:10" x14ac:dyDescent="0.75">
      <c r="A222" s="5" t="s">
        <v>213</v>
      </c>
      <c r="B222" s="5" t="s">
        <v>213</v>
      </c>
      <c r="C222" s="3" t="s">
        <v>220</v>
      </c>
      <c r="E222" s="3">
        <v>1599.33</v>
      </c>
      <c r="F222" s="3" t="s">
        <v>11</v>
      </c>
      <c r="G222" s="3">
        <v>79411.56</v>
      </c>
      <c r="I222" s="4">
        <f>SUM($F$5:$F222)-SUM($E$5:$E222)</f>
        <v>79411.560000000056</v>
      </c>
      <c r="J222" s="4">
        <f t="shared" si="3"/>
        <v>0</v>
      </c>
    </row>
    <row r="223" spans="1:10" x14ac:dyDescent="0.75">
      <c r="A223" s="5" t="s">
        <v>213</v>
      </c>
      <c r="B223" s="5" t="s">
        <v>213</v>
      </c>
      <c r="C223" s="3" t="s">
        <v>221</v>
      </c>
      <c r="E223" s="3">
        <v>1776</v>
      </c>
      <c r="F223" s="3" t="s">
        <v>11</v>
      </c>
      <c r="G223" s="3">
        <v>77635.56</v>
      </c>
      <c r="I223" s="4">
        <f>SUM($F$5:$F223)-SUM($E$5:$E223)</f>
        <v>77635.560000000056</v>
      </c>
      <c r="J223" s="4">
        <f t="shared" si="3"/>
        <v>0</v>
      </c>
    </row>
    <row r="224" spans="1:10" x14ac:dyDescent="0.75">
      <c r="A224" s="5" t="s">
        <v>213</v>
      </c>
      <c r="B224" s="5" t="s">
        <v>213</v>
      </c>
      <c r="C224" s="3" t="s">
        <v>222</v>
      </c>
      <c r="E224" s="3">
        <v>5061</v>
      </c>
      <c r="F224" s="3" t="s">
        <v>11</v>
      </c>
      <c r="G224" s="3">
        <v>72574.559999999998</v>
      </c>
      <c r="I224" s="4">
        <f>SUM($F$5:$F224)-SUM($E$5:$E224)</f>
        <v>72574.560000000056</v>
      </c>
      <c r="J224" s="4">
        <f t="shared" si="3"/>
        <v>0</v>
      </c>
    </row>
    <row r="225" spans="1:10" x14ac:dyDescent="0.75">
      <c r="A225" s="5" t="s">
        <v>213</v>
      </c>
      <c r="B225" s="5" t="s">
        <v>213</v>
      </c>
      <c r="C225" s="3" t="s">
        <v>223</v>
      </c>
      <c r="E225" s="3">
        <v>6547.02</v>
      </c>
      <c r="F225" s="3" t="s">
        <v>11</v>
      </c>
      <c r="G225" s="3">
        <v>66027.539999999994</v>
      </c>
      <c r="I225" s="4">
        <f>SUM($F$5:$F225)-SUM($E$5:$E225)</f>
        <v>66027.540000000037</v>
      </c>
      <c r="J225" s="4">
        <f t="shared" si="3"/>
        <v>0</v>
      </c>
    </row>
    <row r="226" spans="1:10" x14ac:dyDescent="0.75">
      <c r="A226" s="5" t="s">
        <v>213</v>
      </c>
      <c r="B226" s="5" t="s">
        <v>213</v>
      </c>
      <c r="C226" s="3" t="s">
        <v>224</v>
      </c>
      <c r="E226" s="3">
        <v>9846.67</v>
      </c>
      <c r="F226" s="3" t="s">
        <v>11</v>
      </c>
      <c r="G226" s="3">
        <v>56180.87</v>
      </c>
      <c r="I226" s="4">
        <f>SUM($F$5:$F226)-SUM($E$5:$E226)</f>
        <v>56180.870000000112</v>
      </c>
      <c r="J226" s="4">
        <f t="shared" si="3"/>
        <v>1.0913936421275139E-10</v>
      </c>
    </row>
    <row r="227" spans="1:10" x14ac:dyDescent="0.75">
      <c r="A227" s="5" t="s">
        <v>213</v>
      </c>
      <c r="B227" s="3" t="s">
        <v>213</v>
      </c>
      <c r="C227" s="3" t="s">
        <v>30</v>
      </c>
      <c r="E227" s="3" t="s">
        <v>11</v>
      </c>
      <c r="F227" s="3">
        <v>98883.09</v>
      </c>
      <c r="G227" s="3">
        <v>155063.96</v>
      </c>
      <c r="I227" s="4">
        <f>SUM($F$5:$F227)-SUM($E$5:$E227)</f>
        <v>155063.95999999996</v>
      </c>
      <c r="J227" s="4">
        <f t="shared" si="3"/>
        <v>0</v>
      </c>
    </row>
    <row r="228" spans="1:10" x14ac:dyDescent="0.75">
      <c r="A228" s="5" t="s">
        <v>225</v>
      </c>
      <c r="B228" s="5" t="s">
        <v>225</v>
      </c>
      <c r="C228" s="3" t="s">
        <v>226</v>
      </c>
      <c r="E228" s="3">
        <v>239.44</v>
      </c>
      <c r="F228" s="3" t="s">
        <v>11</v>
      </c>
      <c r="G228" s="3">
        <v>154824.51999999999</v>
      </c>
      <c r="I228" s="4">
        <f>SUM($F$5:$F228)-SUM($E$5:$E228)</f>
        <v>154824.52000000002</v>
      </c>
      <c r="J228" s="4">
        <f t="shared" si="3"/>
        <v>0</v>
      </c>
    </row>
    <row r="229" spans="1:10" x14ac:dyDescent="0.75">
      <c r="A229" s="5" t="s">
        <v>225</v>
      </c>
      <c r="B229" s="5" t="s">
        <v>225</v>
      </c>
      <c r="C229" s="3" t="s">
        <v>227</v>
      </c>
      <c r="E229" s="3">
        <v>416.25</v>
      </c>
      <c r="F229" s="3" t="s">
        <v>11</v>
      </c>
      <c r="G229" s="3">
        <v>154408.26999999999</v>
      </c>
      <c r="I229" s="4">
        <f>SUM($F$5:$F229)-SUM($E$5:$E229)</f>
        <v>154408.27000000002</v>
      </c>
      <c r="J229" s="4">
        <f t="shared" si="3"/>
        <v>0</v>
      </c>
    </row>
    <row r="230" spans="1:10" x14ac:dyDescent="0.75">
      <c r="A230" s="5" t="s">
        <v>225</v>
      </c>
      <c r="B230" s="5" t="s">
        <v>225</v>
      </c>
      <c r="C230" s="3" t="s">
        <v>228</v>
      </c>
      <c r="E230" s="3">
        <v>525.47</v>
      </c>
      <c r="F230" s="3" t="s">
        <v>11</v>
      </c>
      <c r="G230" s="3">
        <v>153882.79999999999</v>
      </c>
      <c r="I230" s="4">
        <f>SUM($F$5:$F230)-SUM($E$5:$E230)</f>
        <v>153882.79999999981</v>
      </c>
      <c r="J230" s="4">
        <f t="shared" si="3"/>
        <v>0</v>
      </c>
    </row>
    <row r="231" spans="1:10" x14ac:dyDescent="0.75">
      <c r="A231" s="5" t="s">
        <v>225</v>
      </c>
      <c r="B231" s="5" t="s">
        <v>225</v>
      </c>
      <c r="C231" s="3" t="s">
        <v>229</v>
      </c>
      <c r="E231" s="3">
        <v>1200</v>
      </c>
      <c r="F231" s="3" t="s">
        <v>11</v>
      </c>
      <c r="G231" s="3">
        <v>152682.79999999999</v>
      </c>
      <c r="I231" s="4">
        <f>SUM($F$5:$F231)-SUM($E$5:$E231)</f>
        <v>152682.79999999981</v>
      </c>
      <c r="J231" s="4">
        <f t="shared" si="3"/>
        <v>0</v>
      </c>
    </row>
    <row r="232" spans="1:10" x14ac:dyDescent="0.75">
      <c r="A232" s="3" t="s">
        <v>225</v>
      </c>
      <c r="B232" s="3" t="s">
        <v>225</v>
      </c>
      <c r="C232" s="3" t="s">
        <v>230</v>
      </c>
      <c r="E232" s="3">
        <v>6111.1</v>
      </c>
      <c r="F232" s="3" t="s">
        <v>11</v>
      </c>
      <c r="G232" s="3">
        <v>146571.70000000001</v>
      </c>
      <c r="I232" s="4">
        <f>SUM($F$5:$F232)-SUM($E$5:$E232)</f>
        <v>146571.69999999972</v>
      </c>
      <c r="J232" s="4">
        <f t="shared" si="3"/>
        <v>-2.9103830456733704E-10</v>
      </c>
    </row>
    <row r="233" spans="1:10" x14ac:dyDescent="0.75">
      <c r="A233" s="3" t="s">
        <v>225</v>
      </c>
      <c r="B233" s="3" t="s">
        <v>225</v>
      </c>
      <c r="C233" s="3" t="s">
        <v>231</v>
      </c>
      <c r="E233" s="3">
        <v>17203.419999999998</v>
      </c>
      <c r="F233" s="3" t="s">
        <v>11</v>
      </c>
      <c r="G233" s="3">
        <v>129368.28</v>
      </c>
      <c r="I233" s="4">
        <f>SUM($F$5:$F233)-SUM($E$5:$E233)</f>
        <v>129368.2799999998</v>
      </c>
      <c r="J233" s="4">
        <f t="shared" si="3"/>
        <v>-2.0372681319713593E-10</v>
      </c>
    </row>
    <row r="234" spans="1:10" x14ac:dyDescent="0.75">
      <c r="A234" s="3" t="s">
        <v>225</v>
      </c>
      <c r="B234" s="3" t="s">
        <v>225</v>
      </c>
      <c r="C234" s="3" t="s">
        <v>30</v>
      </c>
      <c r="E234" s="3" t="s">
        <v>11</v>
      </c>
      <c r="F234" s="3">
        <v>55541.75</v>
      </c>
      <c r="G234" s="3">
        <v>184910.03</v>
      </c>
      <c r="I234" s="4">
        <f>SUM($F$5:$F234)-SUM($E$5:$E234)</f>
        <v>184910.0299999998</v>
      </c>
      <c r="J234" s="4">
        <f t="shared" si="3"/>
        <v>0</v>
      </c>
    </row>
    <row r="235" spans="1:10" x14ac:dyDescent="0.75">
      <c r="A235" s="3" t="s">
        <v>232</v>
      </c>
      <c r="B235" s="3" t="s">
        <v>232</v>
      </c>
      <c r="C235" s="3" t="s">
        <v>233</v>
      </c>
      <c r="E235" s="3">
        <v>485</v>
      </c>
      <c r="F235" s="3" t="s">
        <v>11</v>
      </c>
      <c r="G235" s="3">
        <v>184425.03</v>
      </c>
      <c r="I235" s="4">
        <f>SUM($F$5:$F235)-SUM($E$5:$E235)</f>
        <v>184425.0299999998</v>
      </c>
      <c r="J235" s="4">
        <f t="shared" si="3"/>
        <v>0</v>
      </c>
    </row>
    <row r="236" spans="1:10" x14ac:dyDescent="0.75">
      <c r="A236" s="3" t="s">
        <v>232</v>
      </c>
      <c r="B236" s="3" t="s">
        <v>232</v>
      </c>
      <c r="C236" s="3" t="s">
        <v>234</v>
      </c>
      <c r="E236" s="3">
        <v>2156</v>
      </c>
      <c r="F236" s="3" t="s">
        <v>11</v>
      </c>
      <c r="G236" s="3">
        <v>182269.03</v>
      </c>
      <c r="I236" s="4">
        <f>SUM($F$5:$F236)-SUM($E$5:$E236)</f>
        <v>182269.0299999998</v>
      </c>
      <c r="J236" s="4">
        <f t="shared" si="3"/>
        <v>0</v>
      </c>
    </row>
    <row r="237" spans="1:10" x14ac:dyDescent="0.75">
      <c r="A237" s="3" t="s">
        <v>232</v>
      </c>
      <c r="B237" s="3" t="s">
        <v>232</v>
      </c>
      <c r="C237" s="3" t="s">
        <v>235</v>
      </c>
      <c r="E237" s="3">
        <v>3330</v>
      </c>
      <c r="F237" s="3" t="s">
        <v>11</v>
      </c>
      <c r="G237" s="3">
        <v>178939.03</v>
      </c>
      <c r="I237" s="4">
        <f>SUM($F$5:$F237)-SUM($E$5:$E237)</f>
        <v>178939.0299999998</v>
      </c>
      <c r="J237" s="4">
        <f t="shared" si="3"/>
        <v>0</v>
      </c>
    </row>
    <row r="238" spans="1:10" x14ac:dyDescent="0.75">
      <c r="A238" s="3" t="s">
        <v>232</v>
      </c>
      <c r="B238" s="3" t="s">
        <v>232</v>
      </c>
      <c r="C238" s="3" t="s">
        <v>236</v>
      </c>
      <c r="E238" s="3">
        <v>1000</v>
      </c>
      <c r="F238" s="3" t="s">
        <v>11</v>
      </c>
      <c r="G238" s="3">
        <v>177939.03</v>
      </c>
      <c r="I238" s="4">
        <f>SUM($F$5:$F238)-SUM($E$5:$E238)</f>
        <v>177939.0299999998</v>
      </c>
      <c r="J238" s="4">
        <f t="shared" si="3"/>
        <v>0</v>
      </c>
    </row>
    <row r="239" spans="1:10" x14ac:dyDescent="0.75">
      <c r="A239" s="3" t="s">
        <v>232</v>
      </c>
      <c r="B239" s="3" t="s">
        <v>232</v>
      </c>
      <c r="C239" s="3" t="s">
        <v>237</v>
      </c>
      <c r="E239" s="3">
        <v>1200</v>
      </c>
      <c r="F239" s="3" t="s">
        <v>11</v>
      </c>
      <c r="G239" s="3">
        <v>176739.03</v>
      </c>
      <c r="I239" s="4">
        <f>SUM($F$5:$F239)-SUM($E$5:$E239)</f>
        <v>176739.0299999998</v>
      </c>
      <c r="J239" s="4">
        <f t="shared" si="3"/>
        <v>0</v>
      </c>
    </row>
    <row r="240" spans="1:10" x14ac:dyDescent="0.75">
      <c r="A240" s="3" t="s">
        <v>232</v>
      </c>
      <c r="B240" s="3" t="s">
        <v>232</v>
      </c>
      <c r="C240" s="3" t="s">
        <v>238</v>
      </c>
      <c r="E240" s="3">
        <v>1305</v>
      </c>
      <c r="F240" s="3" t="s">
        <v>11</v>
      </c>
      <c r="G240" s="3">
        <v>175434.03</v>
      </c>
      <c r="I240" s="4">
        <f>SUM($F$5:$F240)-SUM($E$5:$E240)</f>
        <v>175434.0299999998</v>
      </c>
      <c r="J240" s="4">
        <f t="shared" si="3"/>
        <v>0</v>
      </c>
    </row>
    <row r="241" spans="1:10" x14ac:dyDescent="0.75">
      <c r="A241" s="3" t="s">
        <v>232</v>
      </c>
      <c r="B241" s="3" t="s">
        <v>232</v>
      </c>
      <c r="C241" s="3" t="s">
        <v>239</v>
      </c>
      <c r="E241" s="3">
        <v>2712.75</v>
      </c>
      <c r="F241" s="3" t="s">
        <v>11</v>
      </c>
      <c r="G241" s="3">
        <v>172721.28</v>
      </c>
      <c r="I241" s="4">
        <f>SUM($F$5:$F241)-SUM($E$5:$E241)</f>
        <v>172721.2799999998</v>
      </c>
      <c r="J241" s="4">
        <f t="shared" si="3"/>
        <v>0</v>
      </c>
    </row>
    <row r="242" spans="1:10" x14ac:dyDescent="0.75">
      <c r="A242" s="3" t="s">
        <v>232</v>
      </c>
      <c r="B242" s="3" t="s">
        <v>232</v>
      </c>
      <c r="C242" s="3" t="s">
        <v>240</v>
      </c>
      <c r="E242" s="3">
        <v>2789.2</v>
      </c>
      <c r="F242" s="3" t="s">
        <v>11</v>
      </c>
      <c r="G242" s="3">
        <v>169932.08</v>
      </c>
      <c r="I242" s="4">
        <f>SUM($F$5:$F242)-SUM($E$5:$E242)</f>
        <v>169932.07999999961</v>
      </c>
      <c r="J242" s="4">
        <f t="shared" si="3"/>
        <v>-3.7834979593753815E-10</v>
      </c>
    </row>
    <row r="243" spans="1:10" x14ac:dyDescent="0.75">
      <c r="A243" s="3" t="s">
        <v>232</v>
      </c>
      <c r="B243" s="3" t="s">
        <v>232</v>
      </c>
      <c r="C243" s="3" t="s">
        <v>241</v>
      </c>
      <c r="E243" s="3">
        <v>2805.95</v>
      </c>
      <c r="F243" s="3" t="s">
        <v>11</v>
      </c>
      <c r="G243" s="3">
        <v>167126.13</v>
      </c>
      <c r="I243" s="4">
        <f>SUM($F$5:$F243)-SUM($E$5:$E243)</f>
        <v>167126.12999999942</v>
      </c>
      <c r="J243" s="4">
        <f t="shared" si="3"/>
        <v>-5.8207660913467407E-10</v>
      </c>
    </row>
    <row r="244" spans="1:10" x14ac:dyDescent="0.75">
      <c r="A244" s="3" t="s">
        <v>232</v>
      </c>
      <c r="B244" s="3" t="s">
        <v>232</v>
      </c>
      <c r="C244" s="3" t="s">
        <v>242</v>
      </c>
      <c r="E244" s="3">
        <v>2811.28</v>
      </c>
      <c r="F244" s="3" t="s">
        <v>11</v>
      </c>
      <c r="G244" s="3">
        <v>164314.85</v>
      </c>
      <c r="I244" s="4">
        <f>SUM($F$5:$F244)-SUM($E$5:$E244)</f>
        <v>164314.84999999963</v>
      </c>
      <c r="J244" s="4">
        <f t="shared" si="3"/>
        <v>-3.7834979593753815E-10</v>
      </c>
    </row>
    <row r="245" spans="1:10" x14ac:dyDescent="0.75">
      <c r="A245" s="3" t="s">
        <v>232</v>
      </c>
      <c r="B245" s="3" t="s">
        <v>232</v>
      </c>
      <c r="C245" s="3" t="s">
        <v>243</v>
      </c>
      <c r="E245" s="3">
        <v>2869.85</v>
      </c>
      <c r="F245" s="3" t="s">
        <v>11</v>
      </c>
      <c r="G245" s="3">
        <v>161445</v>
      </c>
      <c r="I245" s="4">
        <f>SUM($F$5:$F245)-SUM($E$5:$E245)</f>
        <v>161444.99999999953</v>
      </c>
      <c r="J245" s="4">
        <f t="shared" si="3"/>
        <v>-4.6566128730773926E-10</v>
      </c>
    </row>
    <row r="246" spans="1:10" x14ac:dyDescent="0.75">
      <c r="A246" s="3" t="s">
        <v>232</v>
      </c>
      <c r="B246" s="3" t="s">
        <v>232</v>
      </c>
      <c r="C246" s="3" t="s">
        <v>244</v>
      </c>
      <c r="E246" s="3">
        <v>2883</v>
      </c>
      <c r="F246" s="3" t="s">
        <v>11</v>
      </c>
      <c r="G246" s="3">
        <v>158562</v>
      </c>
      <c r="I246" s="4">
        <f>SUM($F$5:$F246)-SUM($E$5:$E246)</f>
        <v>158561.99999999953</v>
      </c>
      <c r="J246" s="4">
        <f t="shared" si="3"/>
        <v>-4.6566128730773926E-10</v>
      </c>
    </row>
    <row r="247" spans="1:10" x14ac:dyDescent="0.75">
      <c r="A247" s="3" t="s">
        <v>232</v>
      </c>
      <c r="B247" s="3" t="s">
        <v>232</v>
      </c>
      <c r="C247" s="3" t="s">
        <v>245</v>
      </c>
      <c r="E247" s="3">
        <v>2893.9</v>
      </c>
      <c r="F247" s="3" t="s">
        <v>11</v>
      </c>
      <c r="G247" s="3">
        <v>155668.1</v>
      </c>
      <c r="I247" s="4">
        <f>SUM($F$5:$F247)-SUM($E$5:$E247)</f>
        <v>155668.09999999963</v>
      </c>
      <c r="J247" s="4">
        <f t="shared" si="3"/>
        <v>-3.7834979593753815E-10</v>
      </c>
    </row>
    <row r="248" spans="1:10" x14ac:dyDescent="0.75">
      <c r="A248" s="3" t="s">
        <v>232</v>
      </c>
      <c r="B248" s="3" t="s">
        <v>232</v>
      </c>
      <c r="C248" s="3" t="s">
        <v>246</v>
      </c>
      <c r="E248" s="3">
        <v>2910.32</v>
      </c>
      <c r="F248" s="3" t="s">
        <v>11</v>
      </c>
      <c r="G248" s="3">
        <v>152757.78</v>
      </c>
      <c r="I248" s="4">
        <f>SUM($F$5:$F248)-SUM($E$5:$E248)</f>
        <v>152757.7799999998</v>
      </c>
      <c r="J248" s="4">
        <f t="shared" si="3"/>
        <v>0</v>
      </c>
    </row>
    <row r="249" spans="1:10" x14ac:dyDescent="0.75">
      <c r="A249" s="3" t="s">
        <v>232</v>
      </c>
      <c r="B249" s="3" t="s">
        <v>232</v>
      </c>
      <c r="C249" s="3" t="s">
        <v>247</v>
      </c>
      <c r="E249" s="3">
        <v>2964.4</v>
      </c>
      <c r="F249" s="3" t="s">
        <v>11</v>
      </c>
      <c r="G249" s="3">
        <v>149793.38</v>
      </c>
      <c r="I249" s="4">
        <f>SUM($F$5:$F249)-SUM($E$5:$E249)</f>
        <v>149793.37999999989</v>
      </c>
      <c r="J249" s="4">
        <f t="shared" si="3"/>
        <v>0</v>
      </c>
    </row>
    <row r="250" spans="1:10" x14ac:dyDescent="0.75">
      <c r="A250" s="3" t="s">
        <v>232</v>
      </c>
      <c r="B250" s="3" t="s">
        <v>232</v>
      </c>
      <c r="C250" s="3" t="s">
        <v>248</v>
      </c>
      <c r="E250" s="3">
        <v>2971.5</v>
      </c>
      <c r="F250" s="3" t="s">
        <v>11</v>
      </c>
      <c r="G250" s="3">
        <v>146821.88</v>
      </c>
      <c r="I250" s="4">
        <f>SUM($F$5:$F250)-SUM($E$5:$E250)</f>
        <v>146821.87999999989</v>
      </c>
      <c r="J250" s="4">
        <f t="shared" si="3"/>
        <v>0</v>
      </c>
    </row>
    <row r="251" spans="1:10" x14ac:dyDescent="0.75">
      <c r="A251" s="3" t="s">
        <v>232</v>
      </c>
      <c r="B251" s="3" t="s">
        <v>232</v>
      </c>
      <c r="C251" s="3" t="s">
        <v>249</v>
      </c>
      <c r="E251" s="3">
        <v>2988.45</v>
      </c>
      <c r="F251" s="3" t="s">
        <v>11</v>
      </c>
      <c r="G251" s="3">
        <v>143833.43</v>
      </c>
      <c r="I251" s="4">
        <f>SUM($F$5:$F251)-SUM($E$5:$E251)</f>
        <v>143833.4299999997</v>
      </c>
      <c r="J251" s="4">
        <f t="shared" si="3"/>
        <v>-2.9103830456733704E-10</v>
      </c>
    </row>
    <row r="252" spans="1:10" x14ac:dyDescent="0.75">
      <c r="A252" s="3" t="s">
        <v>232</v>
      </c>
      <c r="B252" s="3" t="s">
        <v>232</v>
      </c>
      <c r="C252" s="3" t="s">
        <v>30</v>
      </c>
      <c r="E252" s="3" t="s">
        <v>11</v>
      </c>
      <c r="F252" s="3">
        <v>43769.8</v>
      </c>
      <c r="G252" s="3">
        <v>187603.23</v>
      </c>
      <c r="I252" s="4">
        <f>SUM($F$5:$F252)-SUM($E$5:$E252)</f>
        <v>187603.22999999952</v>
      </c>
      <c r="J252" s="4">
        <f t="shared" si="3"/>
        <v>-4.9476511776447296E-10</v>
      </c>
    </row>
    <row r="253" spans="1:10" x14ac:dyDescent="0.75">
      <c r="A253" s="3" t="s">
        <v>250</v>
      </c>
      <c r="B253" s="3" t="s">
        <v>250</v>
      </c>
      <c r="C253" s="3" t="s">
        <v>251</v>
      </c>
      <c r="E253" s="3">
        <v>552.9</v>
      </c>
      <c r="F253" s="3" t="s">
        <v>11</v>
      </c>
      <c r="G253" s="3">
        <v>187050.33</v>
      </c>
      <c r="I253" s="4">
        <f>SUM($F$5:$F253)-SUM($E$5:$E253)</f>
        <v>187050.32999999961</v>
      </c>
      <c r="J253" s="4">
        <f t="shared" si="3"/>
        <v>-3.7834979593753815E-10</v>
      </c>
    </row>
    <row r="254" spans="1:10" x14ac:dyDescent="0.75">
      <c r="A254" s="3" t="s">
        <v>250</v>
      </c>
      <c r="B254" s="3" t="s">
        <v>250</v>
      </c>
      <c r="C254" s="3" t="s">
        <v>252</v>
      </c>
      <c r="E254" s="3">
        <v>1901.2</v>
      </c>
      <c r="F254" s="3" t="s">
        <v>11</v>
      </c>
      <c r="G254" s="3">
        <v>185149.13</v>
      </c>
      <c r="I254" s="4">
        <f>SUM($F$5:$F254)-SUM($E$5:$E254)</f>
        <v>185149.12999999942</v>
      </c>
      <c r="J254" s="4">
        <f t="shared" si="3"/>
        <v>-5.8207660913467407E-10</v>
      </c>
    </row>
    <row r="255" spans="1:10" x14ac:dyDescent="0.75">
      <c r="A255" s="3" t="s">
        <v>250</v>
      </c>
      <c r="B255" s="3" t="s">
        <v>250</v>
      </c>
      <c r="C255" s="3" t="s">
        <v>253</v>
      </c>
      <c r="E255" s="3">
        <v>3477.45</v>
      </c>
      <c r="F255" s="3" t="s">
        <v>11</v>
      </c>
      <c r="G255" s="3">
        <v>181671.67999999999</v>
      </c>
      <c r="I255" s="4">
        <f>SUM($F$5:$F255)-SUM($E$5:$E255)</f>
        <v>181671.67999999924</v>
      </c>
      <c r="J255" s="4">
        <f t="shared" si="3"/>
        <v>-7.5669959187507629E-10</v>
      </c>
    </row>
    <row r="256" spans="1:10" x14ac:dyDescent="0.75">
      <c r="A256" s="3" t="s">
        <v>250</v>
      </c>
      <c r="B256" s="3" t="s">
        <v>250</v>
      </c>
      <c r="C256" s="3" t="s">
        <v>254</v>
      </c>
      <c r="E256" s="3">
        <v>17205</v>
      </c>
      <c r="F256" s="3" t="s">
        <v>11</v>
      </c>
      <c r="G256" s="3">
        <v>164466.68</v>
      </c>
      <c r="I256" s="4">
        <f>SUM($F$5:$F256)-SUM($E$5:$E256)</f>
        <v>164466.67999999924</v>
      </c>
      <c r="J256" s="4">
        <f t="shared" si="3"/>
        <v>-7.5669959187507629E-10</v>
      </c>
    </row>
    <row r="257" spans="1:10" x14ac:dyDescent="0.75">
      <c r="A257" s="3" t="s">
        <v>250</v>
      </c>
      <c r="B257" s="3" t="s">
        <v>250</v>
      </c>
      <c r="C257" s="3" t="s">
        <v>30</v>
      </c>
      <c r="E257" s="3" t="s">
        <v>11</v>
      </c>
      <c r="F257" s="3">
        <v>77663.42</v>
      </c>
      <c r="G257" s="3">
        <v>242130.1</v>
      </c>
      <c r="I257" s="4">
        <f>SUM($F$5:$F257)-SUM($E$5:$E257)</f>
        <v>242130.09999999916</v>
      </c>
      <c r="J257" s="4">
        <f t="shared" si="3"/>
        <v>-8.440110832452774E-10</v>
      </c>
    </row>
    <row r="258" spans="1:10" x14ac:dyDescent="0.75">
      <c r="A258" s="3" t="s">
        <v>255</v>
      </c>
      <c r="B258" s="3" t="s">
        <v>255</v>
      </c>
      <c r="C258" s="3" t="s">
        <v>256</v>
      </c>
      <c r="E258" s="3">
        <v>885</v>
      </c>
      <c r="F258" s="3" t="s">
        <v>11</v>
      </c>
      <c r="G258" s="3">
        <v>241245.1</v>
      </c>
      <c r="I258" s="4">
        <f>SUM($F$5:$F258)-SUM($E$5:$E258)</f>
        <v>241245.09999999916</v>
      </c>
      <c r="J258" s="4">
        <f t="shared" si="3"/>
        <v>-8.440110832452774E-10</v>
      </c>
    </row>
    <row r="259" spans="1:10" x14ac:dyDescent="0.75">
      <c r="A259" s="3" t="s">
        <v>255</v>
      </c>
      <c r="B259" s="3" t="s">
        <v>255</v>
      </c>
      <c r="C259" s="3" t="s">
        <v>257</v>
      </c>
      <c r="E259" s="3">
        <v>1857.55</v>
      </c>
      <c r="F259" s="3" t="s">
        <v>11</v>
      </c>
      <c r="G259" s="3">
        <v>239387.55</v>
      </c>
      <c r="I259" s="4">
        <f>SUM($F$5:$F259)-SUM($E$5:$E259)</f>
        <v>239387.54999999935</v>
      </c>
      <c r="J259" s="4">
        <f t="shared" si="3"/>
        <v>-6.4028427004814148E-10</v>
      </c>
    </row>
    <row r="260" spans="1:10" x14ac:dyDescent="0.75">
      <c r="A260" s="3" t="s">
        <v>255</v>
      </c>
      <c r="B260" s="3" t="s">
        <v>255</v>
      </c>
      <c r="C260" s="3" t="s">
        <v>258</v>
      </c>
      <c r="E260" s="3">
        <v>1998.54</v>
      </c>
      <c r="F260" s="3" t="s">
        <v>11</v>
      </c>
      <c r="G260" s="3">
        <v>237389.01</v>
      </c>
      <c r="I260" s="4">
        <f>SUM($F$5:$F260)-SUM($E$5:$E260)</f>
        <v>237389.00999999931</v>
      </c>
      <c r="J260" s="4">
        <f t="shared" si="3"/>
        <v>-6.9849193096160889E-10</v>
      </c>
    </row>
    <row r="261" spans="1:10" x14ac:dyDescent="0.75">
      <c r="A261" s="3" t="s">
        <v>255</v>
      </c>
      <c r="B261" s="3" t="s">
        <v>255</v>
      </c>
      <c r="C261" s="3" t="s">
        <v>259</v>
      </c>
      <c r="E261" s="3">
        <v>4054.6</v>
      </c>
      <c r="F261" s="3" t="s">
        <v>11</v>
      </c>
      <c r="G261" s="3">
        <v>233334.41</v>
      </c>
      <c r="I261" s="4">
        <f>SUM($F$5:$F261)-SUM($E$5:$E261)</f>
        <v>233334.40999999922</v>
      </c>
      <c r="J261" s="4">
        <f t="shared" si="3"/>
        <v>-7.8580342233181E-10</v>
      </c>
    </row>
    <row r="262" spans="1:10" x14ac:dyDescent="0.75">
      <c r="A262" s="3" t="s">
        <v>255</v>
      </c>
      <c r="B262" s="3" t="s">
        <v>255</v>
      </c>
      <c r="C262" s="3" t="s">
        <v>260</v>
      </c>
      <c r="E262" s="3">
        <v>7574.73</v>
      </c>
      <c r="F262" s="3" t="s">
        <v>11</v>
      </c>
      <c r="G262" s="3">
        <v>225759.68</v>
      </c>
      <c r="I262" s="4">
        <f>SUM($F$5:$F262)-SUM($E$5:$E262)</f>
        <v>225759.67999999924</v>
      </c>
      <c r="J262" s="4">
        <f t="shared" ref="J262:J325" si="4">I262-G262</f>
        <v>-7.5669959187507629E-10</v>
      </c>
    </row>
    <row r="263" spans="1:10" x14ac:dyDescent="0.75">
      <c r="A263" s="3" t="s">
        <v>255</v>
      </c>
      <c r="B263" s="3" t="s">
        <v>255</v>
      </c>
      <c r="C263" s="3" t="s">
        <v>30</v>
      </c>
      <c r="E263" s="3" t="s">
        <v>11</v>
      </c>
      <c r="F263" s="3">
        <v>92155.07</v>
      </c>
      <c r="G263" s="3">
        <v>317914.75</v>
      </c>
      <c r="I263" s="4">
        <f>SUM($F$5:$F263)-SUM($E$5:$E263)</f>
        <v>317914.74999999907</v>
      </c>
      <c r="J263" s="4">
        <f t="shared" si="4"/>
        <v>-9.3132257461547852E-10</v>
      </c>
    </row>
    <row r="264" spans="1:10" x14ac:dyDescent="0.75">
      <c r="A264" s="3" t="s">
        <v>261</v>
      </c>
      <c r="B264" s="3" t="s">
        <v>261</v>
      </c>
      <c r="C264" s="3" t="s">
        <v>262</v>
      </c>
      <c r="E264" s="3">
        <v>1168.95</v>
      </c>
      <c r="F264" s="3" t="s">
        <v>11</v>
      </c>
      <c r="G264" s="3">
        <v>316745.8</v>
      </c>
      <c r="I264" s="4">
        <f>SUM($F$5:$F264)-SUM($E$5:$E264)</f>
        <v>316745.79999999888</v>
      </c>
      <c r="J264" s="4">
        <f t="shared" si="4"/>
        <v>-1.1059455573558807E-9</v>
      </c>
    </row>
    <row r="265" spans="1:10" x14ac:dyDescent="0.75">
      <c r="A265" s="3" t="s">
        <v>261</v>
      </c>
      <c r="B265" s="3" t="s">
        <v>261</v>
      </c>
      <c r="C265" s="3" t="s">
        <v>263</v>
      </c>
      <c r="E265" s="3">
        <v>5758</v>
      </c>
      <c r="F265" s="3" t="s">
        <v>11</v>
      </c>
      <c r="G265" s="3">
        <v>310987.8</v>
      </c>
      <c r="I265" s="4">
        <f>SUM($F$5:$F265)-SUM($E$5:$E265)</f>
        <v>310987.79999999888</v>
      </c>
      <c r="J265" s="4">
        <f t="shared" si="4"/>
        <v>-1.1059455573558807E-9</v>
      </c>
    </row>
    <row r="266" spans="1:10" x14ac:dyDescent="0.75">
      <c r="A266" s="3" t="s">
        <v>261</v>
      </c>
      <c r="B266" s="3" t="s">
        <v>261</v>
      </c>
      <c r="C266" s="3" t="s">
        <v>264</v>
      </c>
      <c r="E266" s="3">
        <v>7995.71</v>
      </c>
      <c r="F266" s="3" t="s">
        <v>11</v>
      </c>
      <c r="G266" s="3">
        <v>302992.09000000003</v>
      </c>
      <c r="I266" s="4">
        <f>SUM($F$5:$F266)-SUM($E$5:$E266)</f>
        <v>302992.08999999892</v>
      </c>
      <c r="J266" s="4">
        <f t="shared" si="4"/>
        <v>-1.1059455573558807E-9</v>
      </c>
    </row>
    <row r="267" spans="1:10" x14ac:dyDescent="0.75">
      <c r="A267" s="3" t="s">
        <v>261</v>
      </c>
      <c r="B267" s="3" t="s">
        <v>261</v>
      </c>
      <c r="C267" s="3" t="s">
        <v>265</v>
      </c>
      <c r="E267" s="3">
        <v>12175.39</v>
      </c>
      <c r="F267" s="3" t="s">
        <v>11</v>
      </c>
      <c r="G267" s="3">
        <v>290816.7</v>
      </c>
      <c r="I267" s="4">
        <f>SUM($F$5:$F267)-SUM($E$5:$E267)</f>
        <v>290816.69999999879</v>
      </c>
      <c r="J267" s="4">
        <f t="shared" si="4"/>
        <v>-1.2223608791828156E-9</v>
      </c>
    </row>
    <row r="268" spans="1:10" x14ac:dyDescent="0.75">
      <c r="A268" s="3" t="s">
        <v>261</v>
      </c>
      <c r="B268" s="3" t="s">
        <v>261</v>
      </c>
      <c r="C268" s="3" t="s">
        <v>266</v>
      </c>
      <c r="E268" s="3">
        <v>14553.01</v>
      </c>
      <c r="F268" s="3" t="s">
        <v>11</v>
      </c>
      <c r="G268" s="3">
        <v>276263.69</v>
      </c>
      <c r="I268" s="4">
        <f>SUM($F$5:$F268)-SUM($E$5:$E268)</f>
        <v>276263.68999999901</v>
      </c>
      <c r="J268" s="4">
        <f t="shared" si="4"/>
        <v>-9.8953023552894592E-10</v>
      </c>
    </row>
    <row r="269" spans="1:10" x14ac:dyDescent="0.75">
      <c r="A269" s="3" t="s">
        <v>261</v>
      </c>
      <c r="B269" s="3" t="s">
        <v>261</v>
      </c>
      <c r="C269" s="3" t="s">
        <v>267</v>
      </c>
      <c r="E269" s="3">
        <v>14553.01</v>
      </c>
      <c r="F269" s="3" t="s">
        <v>11</v>
      </c>
      <c r="G269" s="3">
        <v>261710.68</v>
      </c>
      <c r="I269" s="4">
        <f>SUM($F$5:$F269)-SUM($E$5:$E269)</f>
        <v>261710.67999999924</v>
      </c>
      <c r="J269" s="4">
        <f t="shared" si="4"/>
        <v>-7.5669959187507629E-10</v>
      </c>
    </row>
    <row r="270" spans="1:10" x14ac:dyDescent="0.75">
      <c r="A270" s="3" t="s">
        <v>261</v>
      </c>
      <c r="B270" s="3" t="s">
        <v>261</v>
      </c>
      <c r="C270" s="3" t="s">
        <v>30</v>
      </c>
      <c r="E270" s="3" t="s">
        <v>11</v>
      </c>
      <c r="F270" s="3">
        <v>33816.04</v>
      </c>
      <c r="G270" s="3">
        <v>295526.71999999997</v>
      </c>
      <c r="I270" s="4">
        <f>SUM($F$5:$F270)-SUM($E$5:$E270)</f>
        <v>295526.71999999927</v>
      </c>
      <c r="J270" s="4">
        <f t="shared" si="4"/>
        <v>-6.9849193096160889E-10</v>
      </c>
    </row>
    <row r="271" spans="1:10" x14ac:dyDescent="0.75">
      <c r="A271" s="3" t="s">
        <v>268</v>
      </c>
      <c r="B271" s="3" t="s">
        <v>268</v>
      </c>
      <c r="C271" s="3" t="s">
        <v>269</v>
      </c>
      <c r="E271" s="3">
        <v>862.31</v>
      </c>
      <c r="F271" s="3" t="s">
        <v>11</v>
      </c>
      <c r="G271" s="3">
        <v>294664.40999999997</v>
      </c>
      <c r="I271" s="4">
        <f>SUM($F$5:$F271)-SUM($E$5:$E271)</f>
        <v>294664.40999999922</v>
      </c>
      <c r="J271" s="4">
        <f t="shared" si="4"/>
        <v>-7.5669959187507629E-10</v>
      </c>
    </row>
    <row r="272" spans="1:10" x14ac:dyDescent="0.75">
      <c r="A272" s="3" t="s">
        <v>268</v>
      </c>
      <c r="B272" s="3" t="s">
        <v>268</v>
      </c>
      <c r="C272" s="3" t="s">
        <v>270</v>
      </c>
      <c r="E272" s="3">
        <v>960</v>
      </c>
      <c r="F272" s="3" t="s">
        <v>11</v>
      </c>
      <c r="G272" s="3">
        <v>293704.40999999997</v>
      </c>
      <c r="I272" s="4">
        <f>SUM($F$5:$F272)-SUM($E$5:$E272)</f>
        <v>293704.40999999922</v>
      </c>
      <c r="J272" s="4">
        <f t="shared" si="4"/>
        <v>-7.5669959187507629E-10</v>
      </c>
    </row>
    <row r="273" spans="1:10" x14ac:dyDescent="0.75">
      <c r="A273" s="3" t="s">
        <v>268</v>
      </c>
      <c r="B273" s="3" t="s">
        <v>268</v>
      </c>
      <c r="C273" s="3" t="s">
        <v>271</v>
      </c>
      <c r="E273" s="3">
        <v>1350.68</v>
      </c>
      <c r="F273" s="3" t="s">
        <v>11</v>
      </c>
      <c r="G273" s="3">
        <v>292353.73</v>
      </c>
      <c r="I273" s="4">
        <f>SUM($F$5:$F273)-SUM($E$5:$E273)</f>
        <v>292353.72999999905</v>
      </c>
      <c r="J273" s="4">
        <f t="shared" si="4"/>
        <v>-9.3132257461547852E-10</v>
      </c>
    </row>
    <row r="274" spans="1:10" x14ac:dyDescent="0.75">
      <c r="A274" s="3" t="s">
        <v>268</v>
      </c>
      <c r="B274" s="3" t="s">
        <v>268</v>
      </c>
      <c r="C274" s="3" t="s">
        <v>272</v>
      </c>
      <c r="E274" s="3">
        <v>1850</v>
      </c>
      <c r="F274" s="3" t="s">
        <v>11</v>
      </c>
      <c r="G274" s="3">
        <v>290503.73</v>
      </c>
      <c r="I274" s="4">
        <f>SUM($F$5:$F274)-SUM($E$5:$E274)</f>
        <v>290503.72999999905</v>
      </c>
      <c r="J274" s="4">
        <f t="shared" si="4"/>
        <v>-9.3132257461547852E-10</v>
      </c>
    </row>
    <row r="275" spans="1:10" x14ac:dyDescent="0.75">
      <c r="A275" s="3" t="s">
        <v>268</v>
      </c>
      <c r="B275" s="3" t="s">
        <v>268</v>
      </c>
      <c r="C275" s="3" t="s">
        <v>273</v>
      </c>
      <c r="E275" s="3">
        <v>1993.35</v>
      </c>
      <c r="F275" s="3" t="s">
        <v>11</v>
      </c>
      <c r="G275" s="3">
        <v>288510.38</v>
      </c>
      <c r="I275" s="4">
        <f>SUM($F$5:$F275)-SUM($E$5:$E275)</f>
        <v>288510.37999999896</v>
      </c>
      <c r="J275" s="4">
        <f t="shared" si="4"/>
        <v>-1.0477378964424133E-9</v>
      </c>
    </row>
    <row r="276" spans="1:10" x14ac:dyDescent="0.75">
      <c r="A276" s="3" t="s">
        <v>268</v>
      </c>
      <c r="B276" s="3" t="s">
        <v>268</v>
      </c>
      <c r="C276" s="3" t="s">
        <v>274</v>
      </c>
      <c r="E276" s="3">
        <v>2141.54</v>
      </c>
      <c r="F276" s="3" t="s">
        <v>11</v>
      </c>
      <c r="G276" s="3">
        <v>286368.84000000003</v>
      </c>
      <c r="I276" s="4">
        <f>SUM($F$5:$F276)-SUM($E$5:$E276)</f>
        <v>286368.83999999892</v>
      </c>
      <c r="J276" s="4">
        <f t="shared" si="4"/>
        <v>-1.1059455573558807E-9</v>
      </c>
    </row>
    <row r="277" spans="1:10" x14ac:dyDescent="0.75">
      <c r="A277" s="3" t="s">
        <v>268</v>
      </c>
      <c r="B277" s="3" t="s">
        <v>268</v>
      </c>
      <c r="C277" s="3" t="s">
        <v>275</v>
      </c>
      <c r="E277" s="3">
        <v>3768.45</v>
      </c>
      <c r="F277" s="3" t="s">
        <v>11</v>
      </c>
      <c r="G277" s="3">
        <v>282600.39</v>
      </c>
      <c r="I277" s="4">
        <f>SUM($F$5:$F277)-SUM($E$5:$E277)</f>
        <v>282600.38999999873</v>
      </c>
      <c r="J277" s="4">
        <f t="shared" si="4"/>
        <v>-1.280568540096283E-9</v>
      </c>
    </row>
    <row r="278" spans="1:10" x14ac:dyDescent="0.75">
      <c r="A278" s="3" t="s">
        <v>268</v>
      </c>
      <c r="B278" s="3" t="s">
        <v>268</v>
      </c>
      <c r="C278" s="3" t="s">
        <v>276</v>
      </c>
      <c r="E278" s="3">
        <v>4282.6899999999996</v>
      </c>
      <c r="F278" s="3" t="s">
        <v>11</v>
      </c>
      <c r="G278" s="3">
        <v>278317.7</v>
      </c>
      <c r="I278" s="4">
        <f>SUM($F$5:$F278)-SUM($E$5:$E278)</f>
        <v>278317.69999999879</v>
      </c>
      <c r="J278" s="4">
        <f t="shared" si="4"/>
        <v>-1.2223608791828156E-9</v>
      </c>
    </row>
    <row r="279" spans="1:10" x14ac:dyDescent="0.75">
      <c r="A279" s="3" t="s">
        <v>268</v>
      </c>
      <c r="B279" s="3" t="s">
        <v>268</v>
      </c>
      <c r="C279" s="3" t="s">
        <v>277</v>
      </c>
      <c r="E279" s="3">
        <v>4311</v>
      </c>
      <c r="F279" s="3" t="s">
        <v>11</v>
      </c>
      <c r="G279" s="3">
        <v>274006.7</v>
      </c>
      <c r="I279" s="4">
        <f>SUM($F$5:$F279)-SUM($E$5:$E279)</f>
        <v>274006.69999999879</v>
      </c>
      <c r="J279" s="4">
        <f t="shared" si="4"/>
        <v>-1.2223608791828156E-9</v>
      </c>
    </row>
    <row r="280" spans="1:10" x14ac:dyDescent="0.75">
      <c r="A280" s="3" t="s">
        <v>268</v>
      </c>
      <c r="B280" s="3" t="s">
        <v>268</v>
      </c>
      <c r="C280" s="3" t="s">
        <v>278</v>
      </c>
      <c r="E280" s="3">
        <v>4564.87</v>
      </c>
      <c r="F280" s="3" t="s">
        <v>11</v>
      </c>
      <c r="G280" s="3">
        <v>269441.83</v>
      </c>
      <c r="I280" s="4">
        <f>SUM($F$5:$F280)-SUM($E$5:$E280)</f>
        <v>269441.82999999868</v>
      </c>
      <c r="J280" s="4">
        <f t="shared" si="4"/>
        <v>-1.3387762010097504E-9</v>
      </c>
    </row>
    <row r="281" spans="1:10" x14ac:dyDescent="0.75">
      <c r="A281" s="3" t="s">
        <v>268</v>
      </c>
      <c r="B281" s="3" t="s">
        <v>268</v>
      </c>
      <c r="C281" s="3" t="s">
        <v>279</v>
      </c>
      <c r="E281" s="3">
        <v>5100.26</v>
      </c>
      <c r="F281" s="3" t="s">
        <v>11</v>
      </c>
      <c r="G281" s="3">
        <v>264341.57</v>
      </c>
      <c r="I281" s="4">
        <f>SUM($F$5:$F281)-SUM($E$5:$E281)</f>
        <v>264341.5699999989</v>
      </c>
      <c r="J281" s="4">
        <f t="shared" si="4"/>
        <v>-1.1059455573558807E-9</v>
      </c>
    </row>
    <row r="282" spans="1:10" x14ac:dyDescent="0.75">
      <c r="A282" s="3" t="s">
        <v>268</v>
      </c>
      <c r="B282" s="3" t="s">
        <v>268</v>
      </c>
      <c r="C282" s="3" t="s">
        <v>280</v>
      </c>
      <c r="E282" s="3">
        <v>9315.8799999999992</v>
      </c>
      <c r="F282" s="3" t="s">
        <v>11</v>
      </c>
      <c r="G282" s="3">
        <v>255025.69</v>
      </c>
      <c r="I282" s="4">
        <f>SUM($F$5:$F282)-SUM($E$5:$E282)</f>
        <v>255025.68999999901</v>
      </c>
      <c r="J282" s="4">
        <f t="shared" si="4"/>
        <v>-9.8953023552894592E-10</v>
      </c>
    </row>
    <row r="283" spans="1:10" x14ac:dyDescent="0.75">
      <c r="A283" s="3" t="s">
        <v>268</v>
      </c>
      <c r="B283" s="3" t="s">
        <v>268</v>
      </c>
      <c r="C283" s="3" t="s">
        <v>281</v>
      </c>
      <c r="E283" s="3">
        <v>52860.93</v>
      </c>
      <c r="F283" s="3" t="s">
        <v>11</v>
      </c>
      <c r="G283" s="3">
        <v>202164.76</v>
      </c>
      <c r="I283" s="4">
        <f>SUM($F$5:$F283)-SUM($E$5:$E283)</f>
        <v>202164.75999999885</v>
      </c>
      <c r="J283" s="4">
        <f t="shared" si="4"/>
        <v>-1.1641532182693481E-9</v>
      </c>
    </row>
    <row r="284" spans="1:10" x14ac:dyDescent="0.75">
      <c r="A284" s="3" t="s">
        <v>268</v>
      </c>
      <c r="B284" s="3" t="s">
        <v>268</v>
      </c>
      <c r="C284" s="3" t="s">
        <v>282</v>
      </c>
      <c r="E284" s="3">
        <v>388</v>
      </c>
      <c r="F284" s="3" t="s">
        <v>11</v>
      </c>
      <c r="G284" s="3">
        <v>201776.76</v>
      </c>
      <c r="I284" s="4">
        <f>SUM($F$5:$F284)-SUM($E$5:$E284)</f>
        <v>201776.75999999885</v>
      </c>
      <c r="J284" s="4">
        <f t="shared" si="4"/>
        <v>-1.1641532182693481E-9</v>
      </c>
    </row>
    <row r="285" spans="1:10" x14ac:dyDescent="0.75">
      <c r="A285" s="3" t="s">
        <v>283</v>
      </c>
      <c r="B285" s="3" t="s">
        <v>283</v>
      </c>
      <c r="C285" s="3" t="s">
        <v>284</v>
      </c>
      <c r="E285" s="3">
        <v>675.39</v>
      </c>
      <c r="F285" s="3" t="s">
        <v>11</v>
      </c>
      <c r="G285" s="3">
        <v>201101.37</v>
      </c>
      <c r="I285" s="4">
        <f>SUM($F$5:$F285)-SUM($E$5:$E285)</f>
        <v>201101.36999999871</v>
      </c>
      <c r="J285" s="4">
        <f t="shared" si="4"/>
        <v>-1.280568540096283E-9</v>
      </c>
    </row>
    <row r="286" spans="1:10" x14ac:dyDescent="0.75">
      <c r="A286" s="3" t="s">
        <v>283</v>
      </c>
      <c r="B286" s="3" t="s">
        <v>283</v>
      </c>
      <c r="C286" s="3" t="s">
        <v>285</v>
      </c>
      <c r="E286" s="3">
        <v>677.25</v>
      </c>
      <c r="F286" s="3" t="s">
        <v>11</v>
      </c>
      <c r="G286" s="3">
        <v>200424.12</v>
      </c>
      <c r="I286" s="4">
        <f>SUM($F$5:$F286)-SUM($E$5:$E286)</f>
        <v>200424.11999999871</v>
      </c>
      <c r="J286" s="4">
        <f t="shared" si="4"/>
        <v>-1.280568540096283E-9</v>
      </c>
    </row>
    <row r="287" spans="1:10" x14ac:dyDescent="0.75">
      <c r="A287" s="3" t="s">
        <v>283</v>
      </c>
      <c r="B287" s="3" t="s">
        <v>283</v>
      </c>
      <c r="C287" s="3" t="s">
        <v>286</v>
      </c>
      <c r="E287" s="3">
        <v>1755</v>
      </c>
      <c r="F287" s="3" t="s">
        <v>11</v>
      </c>
      <c r="G287" s="3">
        <v>198669.12</v>
      </c>
      <c r="I287" s="4">
        <f>SUM($F$5:$F287)-SUM($E$5:$E287)</f>
        <v>198669.11999999871</v>
      </c>
      <c r="J287" s="4">
        <f t="shared" si="4"/>
        <v>-1.280568540096283E-9</v>
      </c>
    </row>
    <row r="288" spans="1:10" x14ac:dyDescent="0.75">
      <c r="A288" s="3" t="s">
        <v>283</v>
      </c>
      <c r="B288" s="3" t="s">
        <v>283</v>
      </c>
      <c r="C288" s="3" t="s">
        <v>287</v>
      </c>
      <c r="E288" s="3">
        <v>4000</v>
      </c>
      <c r="F288" s="3" t="s">
        <v>11</v>
      </c>
      <c r="G288" s="3">
        <v>194669.12</v>
      </c>
      <c r="I288" s="4">
        <f>SUM($F$5:$F288)-SUM($E$5:$E288)</f>
        <v>194669.11999999871</v>
      </c>
      <c r="J288" s="4">
        <f t="shared" si="4"/>
        <v>-1.280568540096283E-9</v>
      </c>
    </row>
    <row r="289" spans="1:10" x14ac:dyDescent="0.75">
      <c r="A289" s="3" t="s">
        <v>283</v>
      </c>
      <c r="B289" s="3" t="s">
        <v>283</v>
      </c>
      <c r="C289" s="3" t="s">
        <v>288</v>
      </c>
      <c r="E289" s="3">
        <v>5305.12</v>
      </c>
      <c r="F289" s="3" t="s">
        <v>11</v>
      </c>
      <c r="G289" s="3">
        <v>189364</v>
      </c>
      <c r="I289" s="4">
        <f>SUM($F$5:$F289)-SUM($E$5:$E289)</f>
        <v>189363.9999999986</v>
      </c>
      <c r="J289" s="4">
        <f t="shared" si="4"/>
        <v>-1.3969838619232178E-9</v>
      </c>
    </row>
    <row r="290" spans="1:10" x14ac:dyDescent="0.75">
      <c r="A290" s="3" t="s">
        <v>283</v>
      </c>
      <c r="B290" s="3" t="s">
        <v>283</v>
      </c>
      <c r="C290" s="3" t="s">
        <v>289</v>
      </c>
      <c r="E290" s="3">
        <v>1704</v>
      </c>
      <c r="F290" s="3" t="s">
        <v>11</v>
      </c>
      <c r="G290" s="3">
        <v>187660</v>
      </c>
      <c r="I290" s="4">
        <f>SUM($F$5:$F290)-SUM($E$5:$E290)</f>
        <v>187659.9999999986</v>
      </c>
      <c r="J290" s="4">
        <f t="shared" si="4"/>
        <v>-1.3969838619232178E-9</v>
      </c>
    </row>
    <row r="291" spans="1:10" x14ac:dyDescent="0.75">
      <c r="A291" s="3" t="s">
        <v>283</v>
      </c>
      <c r="B291" s="3" t="s">
        <v>283</v>
      </c>
      <c r="C291" s="3" t="s">
        <v>30</v>
      </c>
      <c r="E291" s="3" t="s">
        <v>11</v>
      </c>
      <c r="F291" s="3">
        <v>32845.440000000002</v>
      </c>
      <c r="G291" s="3">
        <v>220505.44</v>
      </c>
      <c r="I291" s="4">
        <f>SUM($F$5:$F291)-SUM($E$5:$E291)</f>
        <v>220505.43999999855</v>
      </c>
      <c r="J291" s="4">
        <f t="shared" si="4"/>
        <v>-1.4551915228366852E-9</v>
      </c>
    </row>
    <row r="292" spans="1:10" x14ac:dyDescent="0.75">
      <c r="A292" s="3" t="s">
        <v>290</v>
      </c>
      <c r="B292" s="3" t="s">
        <v>290</v>
      </c>
      <c r="C292" s="3" t="s">
        <v>291</v>
      </c>
      <c r="E292" s="3">
        <v>582.52</v>
      </c>
      <c r="F292" s="3" t="s">
        <v>11</v>
      </c>
      <c r="G292" s="3">
        <v>219922.92</v>
      </c>
      <c r="I292" s="4">
        <f>SUM($F$5:$F292)-SUM($E$5:$E292)</f>
        <v>219922.91999999853</v>
      </c>
      <c r="J292" s="4">
        <f t="shared" si="4"/>
        <v>-1.4842953532934189E-9</v>
      </c>
    </row>
    <row r="293" spans="1:10" x14ac:dyDescent="0.75">
      <c r="A293" s="3" t="s">
        <v>290</v>
      </c>
      <c r="B293" s="3" t="s">
        <v>290</v>
      </c>
      <c r="C293" s="3" t="s">
        <v>292</v>
      </c>
      <c r="E293" s="3">
        <v>829.83</v>
      </c>
      <c r="F293" s="3" t="s">
        <v>11</v>
      </c>
      <c r="G293" s="3">
        <v>219093.09</v>
      </c>
      <c r="I293" s="4">
        <f>SUM($F$5:$F293)-SUM($E$5:$E293)</f>
        <v>219093.08999999845</v>
      </c>
      <c r="J293" s="4">
        <f t="shared" si="4"/>
        <v>-1.5425030142068863E-9</v>
      </c>
    </row>
    <row r="294" spans="1:10" x14ac:dyDescent="0.75">
      <c r="A294" s="3" t="s">
        <v>290</v>
      </c>
      <c r="B294" s="3" t="s">
        <v>290</v>
      </c>
      <c r="C294" s="3" t="s">
        <v>293</v>
      </c>
      <c r="E294" s="3">
        <v>2095.1999999999998</v>
      </c>
      <c r="F294" s="3" t="s">
        <v>11</v>
      </c>
      <c r="G294" s="3">
        <v>216997.89</v>
      </c>
      <c r="I294" s="4">
        <f>SUM($F$5:$F294)-SUM($E$5:$E294)</f>
        <v>216997.88999999827</v>
      </c>
      <c r="J294" s="4">
        <f t="shared" si="4"/>
        <v>-1.7462298274040222E-9</v>
      </c>
    </row>
    <row r="295" spans="1:10" x14ac:dyDescent="0.75">
      <c r="A295" s="3" t="s">
        <v>290</v>
      </c>
      <c r="B295" s="3" t="s">
        <v>290</v>
      </c>
      <c r="C295" s="3" t="s">
        <v>294</v>
      </c>
      <c r="E295" s="3">
        <v>2223.3200000000002</v>
      </c>
      <c r="F295" s="3" t="s">
        <v>11</v>
      </c>
      <c r="G295" s="3">
        <v>214774.57</v>
      </c>
      <c r="I295" s="4">
        <f>SUM($F$5:$F295)-SUM($E$5:$E295)</f>
        <v>214774.56999999844</v>
      </c>
      <c r="J295" s="4">
        <f t="shared" si="4"/>
        <v>-1.57160684466362E-9</v>
      </c>
    </row>
    <row r="296" spans="1:10" x14ac:dyDescent="0.75">
      <c r="A296" s="3" t="s">
        <v>290</v>
      </c>
      <c r="B296" s="3" t="s">
        <v>290</v>
      </c>
      <c r="C296" s="3" t="s">
        <v>295</v>
      </c>
      <c r="E296" s="3">
        <v>2328</v>
      </c>
      <c r="F296" s="3" t="s">
        <v>11</v>
      </c>
      <c r="G296" s="3">
        <v>212446.57</v>
      </c>
      <c r="I296" s="4">
        <f>SUM($F$5:$F296)-SUM($E$5:$E296)</f>
        <v>212446.56999999844</v>
      </c>
      <c r="J296" s="4">
        <f t="shared" si="4"/>
        <v>-1.57160684466362E-9</v>
      </c>
    </row>
    <row r="297" spans="1:10" x14ac:dyDescent="0.75">
      <c r="A297" s="3" t="s">
        <v>290</v>
      </c>
      <c r="B297" s="3" t="s">
        <v>290</v>
      </c>
      <c r="C297" s="3" t="s">
        <v>296</v>
      </c>
      <c r="E297" s="3">
        <v>2328</v>
      </c>
      <c r="F297" s="3" t="s">
        <v>11</v>
      </c>
      <c r="G297" s="3">
        <v>210118.57</v>
      </c>
      <c r="I297" s="4">
        <f>SUM($F$5:$F297)-SUM($E$5:$E297)</f>
        <v>210118.56999999844</v>
      </c>
      <c r="J297" s="4">
        <f t="shared" si="4"/>
        <v>-1.57160684466362E-9</v>
      </c>
    </row>
    <row r="298" spans="1:10" x14ac:dyDescent="0.75">
      <c r="A298" s="3" t="s">
        <v>290</v>
      </c>
      <c r="B298" s="3" t="s">
        <v>290</v>
      </c>
      <c r="C298" s="3" t="s">
        <v>297</v>
      </c>
      <c r="E298" s="3">
        <v>3480.61</v>
      </c>
      <c r="F298" s="3" t="s">
        <v>11</v>
      </c>
      <c r="G298" s="3">
        <v>206637.96</v>
      </c>
      <c r="I298" s="4">
        <f>SUM($F$5:$F298)-SUM($E$5:$E298)</f>
        <v>206637.95999999857</v>
      </c>
      <c r="J298" s="4">
        <f t="shared" si="4"/>
        <v>-1.4260876923799515E-9</v>
      </c>
    </row>
    <row r="299" spans="1:10" x14ac:dyDescent="0.75">
      <c r="A299" s="3" t="s">
        <v>290</v>
      </c>
      <c r="B299" s="3" t="s">
        <v>290</v>
      </c>
      <c r="C299" s="3" t="s">
        <v>298</v>
      </c>
      <c r="E299" s="3">
        <v>4419.18</v>
      </c>
      <c r="F299" s="3" t="s">
        <v>11</v>
      </c>
      <c r="G299" s="3">
        <v>202218.78</v>
      </c>
      <c r="I299" s="4">
        <f>SUM($F$5:$F299)-SUM($E$5:$E299)</f>
        <v>202218.7799999984</v>
      </c>
      <c r="J299" s="4">
        <f t="shared" si="4"/>
        <v>-1.6007106751203537E-9</v>
      </c>
    </row>
    <row r="300" spans="1:10" x14ac:dyDescent="0.75">
      <c r="A300" s="3" t="s">
        <v>290</v>
      </c>
      <c r="B300" s="3" t="s">
        <v>290</v>
      </c>
      <c r="C300" s="3" t="s">
        <v>30</v>
      </c>
      <c r="E300" s="3" t="s">
        <v>11</v>
      </c>
      <c r="F300" s="3">
        <v>68312.820000000007</v>
      </c>
      <c r="G300" s="3">
        <v>270531.59999999998</v>
      </c>
      <c r="I300" s="4">
        <f>SUM($F$5:$F300)-SUM($E$5:$E300)</f>
        <v>270531.59999999823</v>
      </c>
      <c r="J300" s="4">
        <f t="shared" si="4"/>
        <v>-1.7462298274040222E-9</v>
      </c>
    </row>
    <row r="301" spans="1:10" x14ac:dyDescent="0.75">
      <c r="A301" s="3" t="s">
        <v>299</v>
      </c>
      <c r="B301" s="3" t="s">
        <v>299</v>
      </c>
      <c r="C301" s="3" t="s">
        <v>300</v>
      </c>
      <c r="E301" s="3">
        <v>8940.68</v>
      </c>
      <c r="F301" s="3" t="s">
        <v>11</v>
      </c>
      <c r="G301" s="3">
        <v>261590.92</v>
      </c>
      <c r="I301" s="4">
        <f>SUM($F$5:$F301)-SUM($E$5:$E301)</f>
        <v>261590.91999999806</v>
      </c>
      <c r="J301" s="4">
        <f t="shared" si="4"/>
        <v>-1.9499566406011581E-9</v>
      </c>
    </row>
    <row r="302" spans="1:10" x14ac:dyDescent="0.75">
      <c r="A302" s="3" t="s">
        <v>299</v>
      </c>
      <c r="B302" s="3" t="s">
        <v>299</v>
      </c>
      <c r="C302" s="3" t="s">
        <v>301</v>
      </c>
      <c r="E302" s="3">
        <v>9021.86</v>
      </c>
      <c r="F302" s="3" t="s">
        <v>11</v>
      </c>
      <c r="G302" s="3">
        <v>252569.06</v>
      </c>
      <c r="I302" s="4">
        <f>SUM($F$5:$F302)-SUM($E$5:$E302)</f>
        <v>252569.05999999819</v>
      </c>
      <c r="J302" s="4">
        <f t="shared" si="4"/>
        <v>-1.8044374883174896E-9</v>
      </c>
    </row>
    <row r="303" spans="1:10" x14ac:dyDescent="0.75">
      <c r="A303" s="3" t="s">
        <v>299</v>
      </c>
      <c r="B303" s="3" t="s">
        <v>299</v>
      </c>
      <c r="C303" s="3" t="s">
        <v>302</v>
      </c>
      <c r="E303" s="3">
        <v>1019.42</v>
      </c>
      <c r="F303" s="3" t="s">
        <v>11</v>
      </c>
      <c r="G303" s="3">
        <v>251549.64</v>
      </c>
      <c r="I303" s="4">
        <f>SUM($F$5:$F303)-SUM($E$5:$E303)</f>
        <v>251549.63999999827</v>
      </c>
      <c r="J303" s="4">
        <f t="shared" si="4"/>
        <v>-1.7462298274040222E-9</v>
      </c>
    </row>
    <row r="304" spans="1:10" x14ac:dyDescent="0.75">
      <c r="A304" s="3" t="s">
        <v>299</v>
      </c>
      <c r="B304" s="3" t="s">
        <v>299</v>
      </c>
      <c r="C304" s="3" t="s">
        <v>303</v>
      </c>
      <c r="E304" s="3">
        <v>1529.13</v>
      </c>
      <c r="F304" s="3" t="s">
        <v>11</v>
      </c>
      <c r="G304" s="3">
        <v>250020.51</v>
      </c>
      <c r="I304" s="4">
        <f>SUM($F$5:$F304)-SUM($E$5:$E304)</f>
        <v>250020.50999999838</v>
      </c>
      <c r="J304" s="4">
        <f t="shared" si="4"/>
        <v>-1.6298145055770874E-9</v>
      </c>
    </row>
    <row r="305" spans="1:10" x14ac:dyDescent="0.75">
      <c r="A305" s="3" t="s">
        <v>299</v>
      </c>
      <c r="B305" s="3" t="s">
        <v>299</v>
      </c>
      <c r="C305" s="3" t="s">
        <v>304</v>
      </c>
      <c r="E305" s="3">
        <v>3769.92</v>
      </c>
      <c r="F305" s="3" t="s">
        <v>11</v>
      </c>
      <c r="G305" s="3">
        <v>246250.59</v>
      </c>
      <c r="I305" s="4">
        <f>SUM($F$5:$F305)-SUM($E$5:$E305)</f>
        <v>246250.58999999845</v>
      </c>
      <c r="J305" s="4">
        <f t="shared" si="4"/>
        <v>-1.5425030142068863E-9</v>
      </c>
    </row>
    <row r="306" spans="1:10" x14ac:dyDescent="0.75">
      <c r="A306" s="3" t="s">
        <v>299</v>
      </c>
      <c r="B306" s="3" t="s">
        <v>299</v>
      </c>
      <c r="C306" s="3" t="s">
        <v>305</v>
      </c>
      <c r="E306" s="3">
        <v>11731.59</v>
      </c>
      <c r="F306" s="3" t="s">
        <v>11</v>
      </c>
      <c r="G306" s="3">
        <v>234519</v>
      </c>
      <c r="I306" s="4">
        <f>SUM($F$5:$F306)-SUM($E$5:$E306)</f>
        <v>234518.9999999986</v>
      </c>
      <c r="J306" s="4">
        <f t="shared" si="4"/>
        <v>-1.3969838619232178E-9</v>
      </c>
    </row>
    <row r="307" spans="1:10" x14ac:dyDescent="0.75">
      <c r="A307" s="3" t="s">
        <v>299</v>
      </c>
      <c r="B307" s="3" t="s">
        <v>299</v>
      </c>
      <c r="C307" s="3" t="s">
        <v>30</v>
      </c>
      <c r="E307" s="3" t="s">
        <v>11</v>
      </c>
      <c r="F307" s="3">
        <v>180647.99</v>
      </c>
      <c r="G307" s="3">
        <v>415166.99</v>
      </c>
      <c r="I307" s="4">
        <f>SUM($F$5:$F307)-SUM($E$5:$E307)</f>
        <v>415166.98999999836</v>
      </c>
      <c r="J307" s="4">
        <f t="shared" si="4"/>
        <v>-1.6298145055770874E-9</v>
      </c>
    </row>
    <row r="308" spans="1:10" x14ac:dyDescent="0.75">
      <c r="A308" s="3" t="s">
        <v>306</v>
      </c>
      <c r="B308" s="3" t="s">
        <v>306</v>
      </c>
      <c r="C308" s="3" t="s">
        <v>307</v>
      </c>
      <c r="E308" s="3">
        <v>2</v>
      </c>
      <c r="F308" s="3" t="s">
        <v>11</v>
      </c>
      <c r="G308" s="3">
        <v>415164.99</v>
      </c>
      <c r="I308" s="4">
        <f>SUM($F$5:$F308)-SUM($E$5:$E308)</f>
        <v>415164.98999999836</v>
      </c>
      <c r="J308" s="4">
        <f t="shared" si="4"/>
        <v>-1.6298145055770874E-9</v>
      </c>
    </row>
    <row r="309" spans="1:10" x14ac:dyDescent="0.75">
      <c r="A309" s="3" t="s">
        <v>306</v>
      </c>
      <c r="B309" s="3" t="s">
        <v>306</v>
      </c>
      <c r="C309" s="3" t="s">
        <v>308</v>
      </c>
      <c r="E309" s="3">
        <v>1746</v>
      </c>
      <c r="F309" s="3" t="s">
        <v>11</v>
      </c>
      <c r="G309" s="3">
        <v>413418.99</v>
      </c>
      <c r="I309" s="4">
        <f>SUM($F$5:$F309)-SUM($E$5:$E309)</f>
        <v>413418.98999999836</v>
      </c>
      <c r="J309" s="4">
        <f t="shared" si="4"/>
        <v>-1.6298145055770874E-9</v>
      </c>
    </row>
    <row r="310" spans="1:10" x14ac:dyDescent="0.75">
      <c r="A310" s="3" t="s">
        <v>306</v>
      </c>
      <c r="B310" s="3" t="s">
        <v>306</v>
      </c>
      <c r="C310" s="3" t="s">
        <v>309</v>
      </c>
      <c r="E310" s="3">
        <v>3040</v>
      </c>
      <c r="F310" s="3" t="s">
        <v>11</v>
      </c>
      <c r="G310" s="3">
        <v>410378.99</v>
      </c>
      <c r="I310" s="4">
        <f>SUM($F$5:$F310)-SUM($E$5:$E310)</f>
        <v>410378.98999999836</v>
      </c>
      <c r="J310" s="4">
        <f t="shared" si="4"/>
        <v>-1.6298145055770874E-9</v>
      </c>
    </row>
    <row r="311" spans="1:10" x14ac:dyDescent="0.75">
      <c r="A311" s="3" t="s">
        <v>306</v>
      </c>
      <c r="B311" s="3" t="s">
        <v>306</v>
      </c>
      <c r="C311" s="3" t="s">
        <v>310</v>
      </c>
      <c r="E311" s="3">
        <v>4153.8999999999996</v>
      </c>
      <c r="F311" s="3" t="s">
        <v>11</v>
      </c>
      <c r="G311" s="3">
        <v>406225.09</v>
      </c>
      <c r="I311" s="4">
        <f>SUM($F$5:$F311)-SUM($E$5:$E311)</f>
        <v>406225.08999999845</v>
      </c>
      <c r="J311" s="4">
        <f t="shared" si="4"/>
        <v>-1.57160684466362E-9</v>
      </c>
    </row>
    <row r="312" spans="1:10" x14ac:dyDescent="0.75">
      <c r="A312" s="3" t="s">
        <v>306</v>
      </c>
      <c r="B312" s="3" t="s">
        <v>306</v>
      </c>
      <c r="C312" s="3" t="s">
        <v>311</v>
      </c>
      <c r="E312" s="3">
        <v>8780</v>
      </c>
      <c r="F312" s="3" t="s">
        <v>11</v>
      </c>
      <c r="G312" s="3">
        <v>397445.09</v>
      </c>
      <c r="I312" s="4">
        <f>SUM($F$5:$F312)-SUM($E$5:$E312)</f>
        <v>397445.08999999845</v>
      </c>
      <c r="J312" s="4">
        <f t="shared" si="4"/>
        <v>-1.57160684466362E-9</v>
      </c>
    </row>
    <row r="313" spans="1:10" x14ac:dyDescent="0.75">
      <c r="A313" s="3" t="s">
        <v>306</v>
      </c>
      <c r="B313" s="3" t="s">
        <v>306</v>
      </c>
      <c r="C313" s="3" t="s">
        <v>312</v>
      </c>
      <c r="E313" s="3">
        <v>9680</v>
      </c>
      <c r="F313" s="3" t="s">
        <v>11</v>
      </c>
      <c r="G313" s="3">
        <v>387765.09</v>
      </c>
      <c r="I313" s="4">
        <f>SUM($F$5:$F313)-SUM($E$5:$E313)</f>
        <v>387765.08999999845</v>
      </c>
      <c r="J313" s="4">
        <f t="shared" si="4"/>
        <v>-1.57160684466362E-9</v>
      </c>
    </row>
    <row r="314" spans="1:10" x14ac:dyDescent="0.75">
      <c r="A314" s="3" t="s">
        <v>306</v>
      </c>
      <c r="B314" s="3" t="s">
        <v>306</v>
      </c>
      <c r="C314" s="3" t="s">
        <v>30</v>
      </c>
      <c r="E314" s="3" t="s">
        <v>11</v>
      </c>
      <c r="F314" s="3">
        <v>362730.47</v>
      </c>
      <c r="G314" s="3">
        <v>750495.56</v>
      </c>
      <c r="I314" s="4">
        <f>SUM($F$5:$F314)-SUM($E$5:$E314)</f>
        <v>750495.55999999819</v>
      </c>
      <c r="J314" s="4">
        <f t="shared" si="4"/>
        <v>-1.862645149230957E-9</v>
      </c>
    </row>
    <row r="315" spans="1:10" x14ac:dyDescent="0.75">
      <c r="A315" s="3" t="s">
        <v>313</v>
      </c>
      <c r="B315" s="3" t="s">
        <v>313</v>
      </c>
      <c r="C315" s="3" t="s">
        <v>314</v>
      </c>
      <c r="E315" s="3">
        <v>2186.8200000000002</v>
      </c>
      <c r="F315" s="3" t="s">
        <v>11</v>
      </c>
      <c r="G315" s="3">
        <v>748308.74</v>
      </c>
      <c r="I315" s="4">
        <f>SUM($F$5:$F315)-SUM($E$5:$E315)</f>
        <v>748308.73999999836</v>
      </c>
      <c r="J315" s="4">
        <f t="shared" si="4"/>
        <v>-1.6298145055770874E-9</v>
      </c>
    </row>
    <row r="316" spans="1:10" x14ac:dyDescent="0.75">
      <c r="A316" s="3" t="s">
        <v>313</v>
      </c>
      <c r="B316" s="3" t="s">
        <v>313</v>
      </c>
      <c r="C316" s="3" t="s">
        <v>315</v>
      </c>
      <c r="E316" s="3">
        <v>2864.08</v>
      </c>
      <c r="F316" s="3" t="s">
        <v>11</v>
      </c>
      <c r="G316" s="3">
        <v>745444.66</v>
      </c>
      <c r="I316" s="4">
        <f>SUM($F$5:$F316)-SUM($E$5:$E316)</f>
        <v>745444.65999999829</v>
      </c>
      <c r="J316" s="4">
        <f t="shared" si="4"/>
        <v>-1.7462298274040222E-9</v>
      </c>
    </row>
    <row r="317" spans="1:10" x14ac:dyDescent="0.75">
      <c r="A317" s="3" t="s">
        <v>313</v>
      </c>
      <c r="B317" s="3" t="s">
        <v>313</v>
      </c>
      <c r="C317" s="3" t="s">
        <v>316</v>
      </c>
      <c r="E317" s="3">
        <v>3056.21</v>
      </c>
      <c r="F317" s="3" t="s">
        <v>11</v>
      </c>
      <c r="G317" s="3">
        <v>742388.45</v>
      </c>
      <c r="I317" s="4">
        <f>SUM($F$5:$F317)-SUM($E$5:$E317)</f>
        <v>742388.44999999832</v>
      </c>
      <c r="J317" s="4">
        <f t="shared" si="4"/>
        <v>-1.6298145055770874E-9</v>
      </c>
    </row>
    <row r="318" spans="1:10" x14ac:dyDescent="0.75">
      <c r="A318" s="3" t="s">
        <v>313</v>
      </c>
      <c r="B318" s="3" t="s">
        <v>313</v>
      </c>
      <c r="C318" s="3" t="s">
        <v>317</v>
      </c>
      <c r="E318" s="3">
        <v>6383.55</v>
      </c>
      <c r="F318" s="3" t="s">
        <v>11</v>
      </c>
      <c r="G318" s="4">
        <v>736004.9</v>
      </c>
      <c r="I318" s="4">
        <f>SUM($F$5:$F318)-SUM($E$5:$E318)</f>
        <v>736004.89999999851</v>
      </c>
      <c r="J318" s="4">
        <f t="shared" si="4"/>
        <v>-1.5133991837501526E-9</v>
      </c>
    </row>
    <row r="319" spans="1:10" x14ac:dyDescent="0.75">
      <c r="A319" s="3" t="s">
        <v>313</v>
      </c>
      <c r="B319" s="3" t="s">
        <v>313</v>
      </c>
      <c r="C319" s="3" t="s">
        <v>30</v>
      </c>
      <c r="E319" s="3" t="s">
        <v>11</v>
      </c>
      <c r="F319" s="4">
        <v>8507.5</v>
      </c>
      <c r="G319" s="4">
        <v>744512.4</v>
      </c>
      <c r="I319" s="4">
        <f>SUM($F$5:$F319)-SUM($E$5:$E319)</f>
        <v>744512.39999999851</v>
      </c>
      <c r="J319" s="4">
        <f t="shared" si="4"/>
        <v>-1.5133991837501526E-9</v>
      </c>
    </row>
    <row r="320" spans="1:10" x14ac:dyDescent="0.75">
      <c r="A320" s="3" t="s">
        <v>318</v>
      </c>
      <c r="B320" s="3" t="s">
        <v>319</v>
      </c>
      <c r="C320" s="3" t="s">
        <v>320</v>
      </c>
      <c r="E320" s="4">
        <v>2328</v>
      </c>
      <c r="F320" s="3" t="s">
        <v>11</v>
      </c>
      <c r="G320" s="4">
        <v>742184.4</v>
      </c>
      <c r="I320" s="4">
        <f>SUM($F$5:$F320)-SUM($E$5:$E320)</f>
        <v>742184.39999999851</v>
      </c>
      <c r="J320" s="4">
        <f t="shared" si="4"/>
        <v>-1.5133991837501526E-9</v>
      </c>
    </row>
    <row r="321" spans="1:10" x14ac:dyDescent="0.75">
      <c r="A321" s="3" t="s">
        <v>319</v>
      </c>
      <c r="B321" s="3" t="s">
        <v>319</v>
      </c>
      <c r="C321" s="3" t="s">
        <v>30</v>
      </c>
      <c r="E321" s="3" t="s">
        <v>11</v>
      </c>
      <c r="F321" s="4">
        <v>1786.25</v>
      </c>
      <c r="G321" s="4">
        <v>743970.65</v>
      </c>
      <c r="I321" s="4">
        <f>SUM($F$5:$F321)-SUM($E$5:$E321)</f>
        <v>743970.64999999851</v>
      </c>
      <c r="J321" s="4">
        <f t="shared" si="4"/>
        <v>-1.5133991837501526E-9</v>
      </c>
    </row>
    <row r="322" spans="1:10" x14ac:dyDescent="0.75">
      <c r="A322" s="3" t="s">
        <v>319</v>
      </c>
      <c r="B322" s="3" t="s">
        <v>321</v>
      </c>
      <c r="C322" s="3" t="s">
        <v>322</v>
      </c>
      <c r="E322" s="3">
        <v>416.25</v>
      </c>
      <c r="F322" s="3" t="s">
        <v>11</v>
      </c>
      <c r="G322" s="4">
        <v>743554.4</v>
      </c>
      <c r="I322" s="4">
        <f>SUM($F$5:$F322)-SUM($E$5:$E322)</f>
        <v>743554.39999999851</v>
      </c>
      <c r="J322" s="4">
        <f t="shared" si="4"/>
        <v>-1.5133991837501526E-9</v>
      </c>
    </row>
    <row r="323" spans="1:10" x14ac:dyDescent="0.75">
      <c r="A323" s="3" t="s">
        <v>321</v>
      </c>
      <c r="B323" s="3" t="s">
        <v>321</v>
      </c>
      <c r="G323" s="4">
        <v>743554.4</v>
      </c>
      <c r="I323" s="4">
        <f>SUM($F$5:$F323)-SUM($E$5:$E323)</f>
        <v>743554.39999999851</v>
      </c>
      <c r="J323" s="4">
        <f t="shared" si="4"/>
        <v>-1.5133991837501526E-9</v>
      </c>
    </row>
    <row r="324" spans="1:10" x14ac:dyDescent="0.75">
      <c r="A324" s="3" t="s">
        <v>321</v>
      </c>
      <c r="B324" s="3" t="s">
        <v>321</v>
      </c>
      <c r="C324" s="3" t="s">
        <v>323</v>
      </c>
      <c r="E324" s="3">
        <v>4800</v>
      </c>
      <c r="F324" s="3" t="s">
        <v>11</v>
      </c>
      <c r="G324" s="3">
        <v>738754.4</v>
      </c>
      <c r="I324" s="4">
        <f>SUM($F$5:$F324)-SUM($E$5:$E324)</f>
        <v>738754.39999999851</v>
      </c>
      <c r="J324" s="4">
        <f t="shared" si="4"/>
        <v>-1.5133991837501526E-9</v>
      </c>
    </row>
    <row r="325" spans="1:10" x14ac:dyDescent="0.75">
      <c r="A325" s="5">
        <v>43530</v>
      </c>
      <c r="B325" s="5">
        <v>43530</v>
      </c>
      <c r="C325" s="3" t="s">
        <v>324</v>
      </c>
      <c r="E325" s="3">
        <v>15685.3</v>
      </c>
      <c r="F325" s="3" t="s">
        <v>11</v>
      </c>
      <c r="G325" s="3">
        <v>723069.1</v>
      </c>
      <c r="I325" s="4">
        <f>SUM($F$5:$F325)-SUM($E$5:$E325)</f>
        <v>723069.0999999987</v>
      </c>
      <c r="J325" s="4">
        <f t="shared" si="4"/>
        <v>-1.280568540096283E-9</v>
      </c>
    </row>
    <row r="326" spans="1:10" x14ac:dyDescent="0.75">
      <c r="A326" s="5">
        <v>43530</v>
      </c>
      <c r="B326" s="5">
        <v>43530</v>
      </c>
      <c r="C326" s="3" t="s">
        <v>30</v>
      </c>
      <c r="E326" s="3" t="s">
        <v>11</v>
      </c>
      <c r="F326" s="3">
        <v>15000</v>
      </c>
      <c r="G326" s="3">
        <v>738069.1</v>
      </c>
      <c r="I326" s="4">
        <f>SUM($F$5:$F326)-SUM($E$5:$E326)</f>
        <v>738069.0999999987</v>
      </c>
      <c r="J326" s="4">
        <f t="shared" ref="J326:J389" si="5">I326-G326</f>
        <v>-1.280568540096283E-9</v>
      </c>
    </row>
    <row r="327" spans="1:10" x14ac:dyDescent="0.75">
      <c r="A327" s="5">
        <v>43561</v>
      </c>
      <c r="B327" s="5">
        <v>43561</v>
      </c>
      <c r="C327" s="3" t="s">
        <v>325</v>
      </c>
      <c r="E327" s="3">
        <v>600000</v>
      </c>
      <c r="F327" s="3" t="s">
        <v>11</v>
      </c>
      <c r="G327" s="3">
        <v>138069.1</v>
      </c>
      <c r="I327" s="4">
        <f>SUM($F$5:$F327)-SUM($E$5:$E327)</f>
        <v>138069.0999999987</v>
      </c>
      <c r="J327" s="4">
        <f t="shared" si="5"/>
        <v>-1.3096723705530167E-9</v>
      </c>
    </row>
    <row r="328" spans="1:10" x14ac:dyDescent="0.75">
      <c r="A328" s="5">
        <v>43561</v>
      </c>
      <c r="B328" s="5">
        <v>43561</v>
      </c>
      <c r="C328" s="3" t="s">
        <v>30</v>
      </c>
      <c r="E328" s="3" t="s">
        <v>11</v>
      </c>
      <c r="F328" s="3">
        <v>9390.42</v>
      </c>
      <c r="G328" s="3">
        <v>147459.51999999999</v>
      </c>
      <c r="I328" s="4">
        <f>SUM($F$5:$F328)-SUM($E$5:$E328)</f>
        <v>147459.51999999862</v>
      </c>
      <c r="J328" s="4">
        <f t="shared" si="5"/>
        <v>-1.3678800314664841E-9</v>
      </c>
    </row>
    <row r="329" spans="1:10" x14ac:dyDescent="0.75">
      <c r="A329" s="5">
        <v>43622</v>
      </c>
      <c r="B329" s="5">
        <v>43622</v>
      </c>
      <c r="C329" s="3" t="s">
        <v>326</v>
      </c>
      <c r="E329" s="3">
        <v>817.6</v>
      </c>
      <c r="F329" s="3" t="s">
        <v>11</v>
      </c>
      <c r="G329" s="3">
        <v>146641.92000000001</v>
      </c>
      <c r="I329" s="4">
        <f>SUM($F$5:$F329)-SUM($E$5:$E329)</f>
        <v>146641.91999999899</v>
      </c>
      <c r="J329" s="4">
        <f t="shared" si="5"/>
        <v>-1.0186340659856796E-9</v>
      </c>
    </row>
    <row r="330" spans="1:10" x14ac:dyDescent="0.75">
      <c r="A330" s="5">
        <v>43622</v>
      </c>
      <c r="B330" s="5">
        <v>43622</v>
      </c>
      <c r="C330" s="3" t="s">
        <v>327</v>
      </c>
      <c r="E330" s="3">
        <v>1615</v>
      </c>
      <c r="F330" s="3" t="s">
        <v>11</v>
      </c>
      <c r="G330" s="3">
        <v>145026.92000000001</v>
      </c>
      <c r="I330" s="4">
        <f>SUM($F$5:$F330)-SUM($E$5:$E330)</f>
        <v>145026.91999999899</v>
      </c>
      <c r="J330" s="4">
        <f t="shared" si="5"/>
        <v>-1.0186340659856796E-9</v>
      </c>
    </row>
    <row r="331" spans="1:10" x14ac:dyDescent="0.75">
      <c r="A331" s="5">
        <v>43622</v>
      </c>
      <c r="B331" s="5">
        <v>43622</v>
      </c>
      <c r="C331" s="3" t="s">
        <v>328</v>
      </c>
      <c r="E331" s="3">
        <v>2530.66</v>
      </c>
      <c r="F331" s="3" t="s">
        <v>11</v>
      </c>
      <c r="G331" s="3">
        <v>142496.26</v>
      </c>
      <c r="I331" s="4">
        <f>SUM($F$5:$F331)-SUM($E$5:$E331)</f>
        <v>142496.25999999885</v>
      </c>
      <c r="J331" s="4">
        <f t="shared" si="5"/>
        <v>-1.1641532182693481E-9</v>
      </c>
    </row>
    <row r="332" spans="1:10" x14ac:dyDescent="0.75">
      <c r="A332" s="5">
        <v>43622</v>
      </c>
      <c r="B332" s="5">
        <v>43622</v>
      </c>
      <c r="C332" s="3" t="s">
        <v>30</v>
      </c>
      <c r="E332" s="3" t="s">
        <v>11</v>
      </c>
      <c r="F332" s="3">
        <v>9436.18</v>
      </c>
      <c r="G332" s="3">
        <v>151932.44</v>
      </c>
      <c r="I332" s="4">
        <f>SUM($F$5:$F332)-SUM($E$5:$E332)</f>
        <v>151932.43999999855</v>
      </c>
      <c r="J332" s="4">
        <f t="shared" si="5"/>
        <v>-1.4551915228366852E-9</v>
      </c>
    </row>
    <row r="333" spans="1:10" x14ac:dyDescent="0.75">
      <c r="A333" s="5">
        <v>43744</v>
      </c>
      <c r="B333" s="5">
        <v>43744</v>
      </c>
      <c r="C333" s="3" t="s">
        <v>329</v>
      </c>
      <c r="E333" s="3">
        <v>2904.8</v>
      </c>
      <c r="F333" s="3" t="s">
        <v>11</v>
      </c>
      <c r="G333" s="3">
        <v>149027.64000000001</v>
      </c>
      <c r="I333" s="4">
        <f>SUM($F$5:$F333)-SUM($E$5:$E333)</f>
        <v>149027.63999999873</v>
      </c>
      <c r="J333" s="4">
        <f t="shared" si="5"/>
        <v>-1.280568540096283E-9</v>
      </c>
    </row>
    <row r="334" spans="1:10" x14ac:dyDescent="0.75">
      <c r="A334" s="5">
        <v>43744</v>
      </c>
      <c r="B334" s="5">
        <v>43744</v>
      </c>
      <c r="C334" s="3" t="s">
        <v>330</v>
      </c>
      <c r="E334" s="3">
        <v>2912.8</v>
      </c>
      <c r="F334" s="3" t="s">
        <v>11</v>
      </c>
      <c r="G334" s="3">
        <v>146114.84</v>
      </c>
      <c r="I334" s="4">
        <f>SUM($F$5:$F334)-SUM($E$5:$E334)</f>
        <v>146114.83999999892</v>
      </c>
      <c r="J334" s="4">
        <f t="shared" si="5"/>
        <v>-1.076841726899147E-9</v>
      </c>
    </row>
    <row r="335" spans="1:10" x14ac:dyDescent="0.75">
      <c r="A335" s="5">
        <v>43744</v>
      </c>
      <c r="B335" s="5">
        <v>43744</v>
      </c>
      <c r="C335" s="3" t="s">
        <v>331</v>
      </c>
      <c r="E335" s="3">
        <v>2946.11</v>
      </c>
      <c r="F335" s="3" t="s">
        <v>11</v>
      </c>
      <c r="G335" s="3">
        <v>143168.73000000001</v>
      </c>
      <c r="I335" s="4">
        <f>SUM($F$5:$F335)-SUM($E$5:$E335)</f>
        <v>143168.72999999858</v>
      </c>
      <c r="J335" s="4">
        <f t="shared" si="5"/>
        <v>-1.4260876923799515E-9</v>
      </c>
    </row>
    <row r="336" spans="1:10" x14ac:dyDescent="0.75">
      <c r="A336" s="5">
        <v>43744</v>
      </c>
      <c r="B336" s="5">
        <v>43744</v>
      </c>
      <c r="C336" s="3" t="s">
        <v>30</v>
      </c>
      <c r="E336" s="3" t="s">
        <v>11</v>
      </c>
      <c r="F336" s="3">
        <v>21292.82</v>
      </c>
      <c r="G336" s="3">
        <v>164461.54999999999</v>
      </c>
      <c r="I336" s="4">
        <f>SUM($F$5:$F336)-SUM($E$5:$E336)</f>
        <v>164461.54999999888</v>
      </c>
      <c r="J336" s="4">
        <f t="shared" si="5"/>
        <v>-1.1059455573558807E-9</v>
      </c>
    </row>
    <row r="337" spans="1:10" x14ac:dyDescent="0.75">
      <c r="A337" s="5">
        <v>43775</v>
      </c>
      <c r="B337" s="5">
        <v>43775</v>
      </c>
      <c r="C337" s="3" t="s">
        <v>332</v>
      </c>
      <c r="E337" s="3">
        <v>3371.72</v>
      </c>
      <c r="F337" s="3" t="s">
        <v>11</v>
      </c>
      <c r="G337" s="3">
        <v>161089.82999999999</v>
      </c>
      <c r="I337" s="4">
        <f>SUM($F$5:$F337)-SUM($E$5:$E337)</f>
        <v>161089.82999999914</v>
      </c>
      <c r="J337" s="4">
        <f t="shared" si="5"/>
        <v>-8.440110832452774E-10</v>
      </c>
    </row>
    <row r="338" spans="1:10" x14ac:dyDescent="0.75">
      <c r="A338" s="5">
        <v>43775</v>
      </c>
      <c r="B338" s="5">
        <v>43775</v>
      </c>
      <c r="C338" s="3" t="s">
        <v>30</v>
      </c>
      <c r="E338" s="3" t="s">
        <v>11</v>
      </c>
      <c r="F338" s="3">
        <v>7566.09</v>
      </c>
      <c r="G338" s="3">
        <v>168655.92</v>
      </c>
      <c r="I338" s="4">
        <f>SUM($F$5:$F338)-SUM($E$5:$E338)</f>
        <v>168655.91999999899</v>
      </c>
      <c r="J338" s="4">
        <f t="shared" si="5"/>
        <v>-1.0186340659856796E-9</v>
      </c>
    </row>
    <row r="339" spans="1:10" x14ac:dyDescent="0.75">
      <c r="A339" s="3" t="s">
        <v>333</v>
      </c>
      <c r="B339" s="3" t="s">
        <v>333</v>
      </c>
      <c r="C339" s="3" t="s">
        <v>30</v>
      </c>
      <c r="E339" s="3" t="s">
        <v>11</v>
      </c>
      <c r="F339" s="3">
        <v>37377.39</v>
      </c>
      <c r="G339" s="3">
        <v>206033.31</v>
      </c>
      <c r="I339" s="4">
        <f>SUM($F$5:$F339)-SUM($E$5:$E339)</f>
        <v>206033.30999999866</v>
      </c>
      <c r="J339" s="4">
        <f t="shared" si="5"/>
        <v>-1.3387762010097504E-9</v>
      </c>
    </row>
    <row r="340" spans="1:10" x14ac:dyDescent="0.75">
      <c r="A340" s="3" t="s">
        <v>334</v>
      </c>
      <c r="B340" s="3" t="s">
        <v>334</v>
      </c>
      <c r="C340" s="3" t="s">
        <v>335</v>
      </c>
      <c r="E340" s="3">
        <v>15052.46</v>
      </c>
      <c r="F340" s="3" t="s">
        <v>11</v>
      </c>
      <c r="G340" s="3">
        <v>190980.85</v>
      </c>
      <c r="I340" s="4">
        <f>SUM($F$5:$F340)-SUM($E$5:$E340)</f>
        <v>190980.8499999987</v>
      </c>
      <c r="J340" s="4">
        <f t="shared" si="5"/>
        <v>-1.3096723705530167E-9</v>
      </c>
    </row>
    <row r="341" spans="1:10" x14ac:dyDescent="0.75">
      <c r="A341" s="3" t="s">
        <v>334</v>
      </c>
      <c r="B341" s="3" t="s">
        <v>334</v>
      </c>
      <c r="C341" s="3" t="s">
        <v>336</v>
      </c>
      <c r="E341" s="3">
        <v>21285.49</v>
      </c>
      <c r="F341" s="3" t="s">
        <v>11</v>
      </c>
      <c r="G341" s="3">
        <v>169695.35999999999</v>
      </c>
      <c r="I341" s="4">
        <f>SUM($F$5:$F341)-SUM($E$5:$E341)</f>
        <v>169695.35999999847</v>
      </c>
      <c r="J341" s="4">
        <f t="shared" si="5"/>
        <v>-1.5133991837501526E-9</v>
      </c>
    </row>
    <row r="342" spans="1:10" x14ac:dyDescent="0.75">
      <c r="A342" s="3" t="s">
        <v>334</v>
      </c>
      <c r="B342" s="3" t="s">
        <v>334</v>
      </c>
      <c r="C342" s="3" t="s">
        <v>30</v>
      </c>
      <c r="E342" s="3" t="s">
        <v>11</v>
      </c>
      <c r="F342" s="3">
        <v>14470.53</v>
      </c>
      <c r="G342" s="4">
        <v>184165.89</v>
      </c>
      <c r="I342" s="4">
        <f>SUM($F$5:$F342)-SUM($E$5:$E342)</f>
        <v>184165.88999999873</v>
      </c>
      <c r="J342" s="4">
        <f t="shared" si="5"/>
        <v>-1.280568540096283E-9</v>
      </c>
    </row>
    <row r="343" spans="1:10" x14ac:dyDescent="0.75">
      <c r="A343" s="3" t="s">
        <v>337</v>
      </c>
      <c r="B343" s="3" t="s">
        <v>337</v>
      </c>
      <c r="C343" s="3" t="s">
        <v>338</v>
      </c>
      <c r="E343" s="3">
        <v>504.4</v>
      </c>
      <c r="F343" s="4" t="s">
        <v>11</v>
      </c>
      <c r="G343" s="4">
        <v>183661.49</v>
      </c>
      <c r="I343" s="4">
        <f>SUM($F$5:$F343)-SUM($E$5:$E343)</f>
        <v>183661.48999999836</v>
      </c>
      <c r="J343" s="4">
        <f t="shared" si="5"/>
        <v>-1.6298145055770874E-9</v>
      </c>
    </row>
    <row r="344" spans="1:10" x14ac:dyDescent="0.75">
      <c r="A344" s="3" t="s">
        <v>337</v>
      </c>
      <c r="B344" s="3" t="s">
        <v>337</v>
      </c>
      <c r="C344" s="3" t="s">
        <v>339</v>
      </c>
      <c r="E344" s="4">
        <v>1081.55</v>
      </c>
      <c r="F344" s="3" t="s">
        <v>11</v>
      </c>
      <c r="G344" s="4">
        <v>182579.94</v>
      </c>
      <c r="I344" s="4">
        <f>SUM($F$5:$F344)-SUM($E$5:$E344)</f>
        <v>182579.93999999855</v>
      </c>
      <c r="J344" s="4">
        <f t="shared" si="5"/>
        <v>-1.4551915228366852E-9</v>
      </c>
    </row>
    <row r="345" spans="1:10" x14ac:dyDescent="0.75">
      <c r="A345" s="3" t="s">
        <v>337</v>
      </c>
      <c r="B345" s="3" t="s">
        <v>337</v>
      </c>
      <c r="C345" s="3" t="s">
        <v>340</v>
      </c>
      <c r="E345" s="3">
        <v>6324</v>
      </c>
      <c r="F345" s="4" t="s">
        <v>11</v>
      </c>
      <c r="G345" s="4">
        <v>176255.94</v>
      </c>
      <c r="I345" s="4">
        <f>SUM($F$5:$F345)-SUM($E$5:$E345)</f>
        <v>176255.93999999855</v>
      </c>
      <c r="J345" s="4">
        <f t="shared" si="5"/>
        <v>-1.4551915228366852E-9</v>
      </c>
    </row>
    <row r="346" spans="1:10" x14ac:dyDescent="0.75">
      <c r="A346" s="3" t="s">
        <v>337</v>
      </c>
      <c r="B346" s="3" t="s">
        <v>337</v>
      </c>
      <c r="C346" s="3" t="s">
        <v>341</v>
      </c>
      <c r="E346" s="3">
        <v>7760.79</v>
      </c>
      <c r="F346" s="3" t="s">
        <v>11</v>
      </c>
      <c r="G346" s="4">
        <v>168495.15</v>
      </c>
      <c r="I346" s="4">
        <f>SUM($F$5:$F346)-SUM($E$5:$E346)</f>
        <v>168495.14999999851</v>
      </c>
      <c r="J346" s="4">
        <f t="shared" si="5"/>
        <v>-1.4842953532934189E-9</v>
      </c>
    </row>
    <row r="347" spans="1:10" x14ac:dyDescent="0.75">
      <c r="A347" s="3" t="s">
        <v>337</v>
      </c>
      <c r="B347" s="3" t="s">
        <v>337</v>
      </c>
      <c r="C347" s="3" t="s">
        <v>342</v>
      </c>
      <c r="E347" s="3">
        <v>22700.91</v>
      </c>
      <c r="F347" s="3" t="s">
        <v>11</v>
      </c>
      <c r="G347" s="3">
        <v>145794.23999999999</v>
      </c>
      <c r="I347" s="4">
        <f>SUM($F$5:$F347)-SUM($E$5:$E347)</f>
        <v>145794.23999999836</v>
      </c>
      <c r="J347" s="4">
        <f t="shared" si="5"/>
        <v>-1.6298145055770874E-9</v>
      </c>
    </row>
    <row r="348" spans="1:10" x14ac:dyDescent="0.75">
      <c r="A348" s="3" t="s">
        <v>337</v>
      </c>
      <c r="B348" s="3" t="s">
        <v>337</v>
      </c>
      <c r="C348" s="3" t="s">
        <v>343</v>
      </c>
      <c r="E348" s="3">
        <v>36718.1</v>
      </c>
      <c r="F348" s="3" t="s">
        <v>11</v>
      </c>
      <c r="G348" s="3">
        <v>109076.14</v>
      </c>
      <c r="I348" s="4">
        <f>SUM($F$5:$F348)-SUM($E$5:$E348)</f>
        <v>109076.13999999873</v>
      </c>
      <c r="J348" s="4">
        <f t="shared" si="5"/>
        <v>-1.2660166248679161E-9</v>
      </c>
    </row>
    <row r="349" spans="1:10" x14ac:dyDescent="0.75">
      <c r="A349" s="3" t="s">
        <v>337</v>
      </c>
      <c r="B349" s="3" t="s">
        <v>337</v>
      </c>
      <c r="C349" s="3" t="s">
        <v>344</v>
      </c>
      <c r="E349" s="3">
        <v>8809.75</v>
      </c>
      <c r="F349" s="3" t="s">
        <v>11</v>
      </c>
      <c r="G349" s="3">
        <v>100266.39</v>
      </c>
      <c r="I349" s="4">
        <f>SUM($F$5:$F349)-SUM($E$5:$E349)</f>
        <v>100266.38999999873</v>
      </c>
      <c r="J349" s="4">
        <f t="shared" si="5"/>
        <v>-1.2660166248679161E-9</v>
      </c>
    </row>
    <row r="350" spans="1:10" x14ac:dyDescent="0.75">
      <c r="A350" s="5" t="s">
        <v>337</v>
      </c>
      <c r="B350" s="5" t="s">
        <v>337</v>
      </c>
      <c r="C350" s="3" t="s">
        <v>345</v>
      </c>
      <c r="E350" s="3">
        <v>12512.64</v>
      </c>
      <c r="F350" s="3" t="s">
        <v>11</v>
      </c>
      <c r="G350" s="3">
        <v>87753.75</v>
      </c>
      <c r="I350" s="4">
        <f>SUM($F$5:$F350)-SUM($E$5:$E350)</f>
        <v>87753.749999999069</v>
      </c>
      <c r="J350" s="4">
        <f t="shared" si="5"/>
        <v>-9.3132257461547852E-10</v>
      </c>
    </row>
    <row r="351" spans="1:10" x14ac:dyDescent="0.75">
      <c r="A351" s="5" t="s">
        <v>337</v>
      </c>
      <c r="B351" s="5" t="s">
        <v>337</v>
      </c>
      <c r="C351" s="3" t="s">
        <v>346</v>
      </c>
      <c r="E351" s="3">
        <v>552.9</v>
      </c>
      <c r="F351" s="3" t="s">
        <v>11</v>
      </c>
      <c r="G351" s="3">
        <v>87200.85</v>
      </c>
      <c r="I351" s="4">
        <f>SUM($F$5:$F351)-SUM($E$5:$E351)</f>
        <v>87200.849999998696</v>
      </c>
      <c r="J351" s="4">
        <f t="shared" si="5"/>
        <v>-1.3096723705530167E-9</v>
      </c>
    </row>
    <row r="352" spans="1:10" x14ac:dyDescent="0.75">
      <c r="A352" s="5" t="s">
        <v>347</v>
      </c>
      <c r="B352" s="5" t="s">
        <v>347</v>
      </c>
      <c r="C352" s="3" t="s">
        <v>348</v>
      </c>
      <c r="E352" s="3">
        <v>692.76</v>
      </c>
      <c r="F352" s="3" t="s">
        <v>11</v>
      </c>
      <c r="G352" s="3">
        <v>86508.09</v>
      </c>
      <c r="I352" s="4">
        <f>SUM($F$5:$F352)-SUM($E$5:$E352)</f>
        <v>86508.08999999892</v>
      </c>
      <c r="J352" s="4">
        <f t="shared" si="5"/>
        <v>-1.076841726899147E-9</v>
      </c>
    </row>
    <row r="353" spans="1:10" x14ac:dyDescent="0.75">
      <c r="A353" s="5" t="s">
        <v>347</v>
      </c>
      <c r="B353" s="5" t="s">
        <v>347</v>
      </c>
      <c r="C353" s="3" t="s">
        <v>349</v>
      </c>
      <c r="E353" s="3">
        <v>2263.9699999999998</v>
      </c>
      <c r="F353" s="3" t="s">
        <v>11</v>
      </c>
      <c r="G353" s="3">
        <v>84244.12</v>
      </c>
      <c r="I353" s="4">
        <f>SUM($F$5:$F353)-SUM($E$5:$E353)</f>
        <v>84244.11999999918</v>
      </c>
      <c r="J353" s="4">
        <f t="shared" si="5"/>
        <v>-8.149072527885437E-10</v>
      </c>
    </row>
    <row r="354" spans="1:10" x14ac:dyDescent="0.75">
      <c r="A354" s="5" t="s">
        <v>347</v>
      </c>
      <c r="B354" s="5" t="s">
        <v>347</v>
      </c>
      <c r="C354" s="3" t="s">
        <v>350</v>
      </c>
      <c r="E354" s="3">
        <v>5619.42</v>
      </c>
      <c r="F354" s="3" t="s">
        <v>11</v>
      </c>
      <c r="G354" s="3">
        <v>78624.7</v>
      </c>
      <c r="I354" s="4">
        <f>SUM($F$5:$F354)-SUM($E$5:$E354)</f>
        <v>78624.699999999255</v>
      </c>
      <c r="J354" s="4">
        <f t="shared" si="5"/>
        <v>-7.4214767664670944E-10</v>
      </c>
    </row>
    <row r="355" spans="1:10" x14ac:dyDescent="0.75">
      <c r="A355" s="5" t="s">
        <v>347</v>
      </c>
      <c r="B355" s="5" t="s">
        <v>347</v>
      </c>
      <c r="C355" s="3" t="s">
        <v>351</v>
      </c>
      <c r="E355" s="3">
        <v>10324.030000000001</v>
      </c>
      <c r="F355" s="3" t="s">
        <v>11</v>
      </c>
      <c r="G355" s="3">
        <v>68300.67</v>
      </c>
      <c r="I355" s="4">
        <f>SUM($F$5:$F355)-SUM($E$5:$E355)</f>
        <v>68300.669999998994</v>
      </c>
      <c r="J355" s="4">
        <f t="shared" si="5"/>
        <v>-1.0040821507573128E-9</v>
      </c>
    </row>
    <row r="356" spans="1:10" x14ac:dyDescent="0.75">
      <c r="A356" s="5" t="s">
        <v>347</v>
      </c>
      <c r="B356" s="5" t="s">
        <v>347</v>
      </c>
      <c r="C356" s="3" t="s">
        <v>352</v>
      </c>
      <c r="E356" s="3">
        <v>465.6</v>
      </c>
      <c r="F356" s="3" t="s">
        <v>11</v>
      </c>
      <c r="G356" s="3">
        <v>67835.070000000007</v>
      </c>
      <c r="I356" s="4">
        <f>SUM($F$5:$F356)-SUM($E$5:$E356)</f>
        <v>67835.069999999367</v>
      </c>
      <c r="J356" s="4">
        <f t="shared" si="5"/>
        <v>-6.4028427004814148E-10</v>
      </c>
    </row>
    <row r="357" spans="1:10" x14ac:dyDescent="0.75">
      <c r="A357" s="5" t="s">
        <v>353</v>
      </c>
      <c r="B357" s="5" t="s">
        <v>353</v>
      </c>
      <c r="C357" s="3" t="s">
        <v>354</v>
      </c>
      <c r="E357" s="3">
        <v>6548.85</v>
      </c>
      <c r="F357" s="3" t="s">
        <v>11</v>
      </c>
      <c r="G357" s="3">
        <v>61286.22</v>
      </c>
      <c r="I357" s="4">
        <f>SUM($F$5:$F357)-SUM($E$5:$E357)</f>
        <v>61286.219999999739</v>
      </c>
      <c r="J357" s="4">
        <f t="shared" si="5"/>
        <v>-2.6193447411060333E-10</v>
      </c>
    </row>
    <row r="358" spans="1:10" x14ac:dyDescent="0.75">
      <c r="A358" s="5" t="s">
        <v>353</v>
      </c>
      <c r="B358" s="5" t="s">
        <v>353</v>
      </c>
      <c r="C358" s="3" t="s">
        <v>30</v>
      </c>
      <c r="E358" s="3" t="s">
        <v>11</v>
      </c>
      <c r="F358" s="3">
        <v>995</v>
      </c>
      <c r="G358" s="3">
        <v>62281.22</v>
      </c>
      <c r="I358" s="4">
        <f>SUM($F$5:$F358)-SUM($E$5:$E358)</f>
        <v>62281.219999999739</v>
      </c>
      <c r="J358" s="4">
        <f t="shared" si="5"/>
        <v>-2.6193447411060333E-10</v>
      </c>
    </row>
    <row r="359" spans="1:10" x14ac:dyDescent="0.75">
      <c r="A359" s="5" t="s">
        <v>355</v>
      </c>
      <c r="B359" s="5" t="s">
        <v>355</v>
      </c>
      <c r="C359" s="3" t="s">
        <v>356</v>
      </c>
      <c r="E359" s="3">
        <v>3306.37</v>
      </c>
      <c r="F359" s="3" t="s">
        <v>11</v>
      </c>
      <c r="G359" s="3">
        <v>58974.85</v>
      </c>
      <c r="I359" s="4">
        <f>SUM($F$5:$F359)-SUM($E$5:$E359)</f>
        <v>58974.849999999627</v>
      </c>
      <c r="J359" s="4">
        <f t="shared" si="5"/>
        <v>-3.7107383832335472E-10</v>
      </c>
    </row>
    <row r="360" spans="1:10" x14ac:dyDescent="0.75">
      <c r="A360" s="5" t="s">
        <v>355</v>
      </c>
      <c r="B360" s="5" t="s">
        <v>355</v>
      </c>
      <c r="C360" s="3" t="s">
        <v>357</v>
      </c>
      <c r="E360" s="3">
        <v>584</v>
      </c>
      <c r="F360" s="3" t="s">
        <v>11</v>
      </c>
      <c r="G360" s="3">
        <v>58390.85</v>
      </c>
      <c r="I360" s="4">
        <f>SUM($F$5:$F360)-SUM($E$5:$E360)</f>
        <v>58390.849999999627</v>
      </c>
      <c r="J360" s="4">
        <f t="shared" si="5"/>
        <v>-3.7107383832335472E-10</v>
      </c>
    </row>
    <row r="361" spans="1:10" x14ac:dyDescent="0.75">
      <c r="A361" s="5" t="s">
        <v>358</v>
      </c>
      <c r="B361" s="5" t="s">
        <v>358</v>
      </c>
      <c r="C361" s="3" t="s">
        <v>359</v>
      </c>
      <c r="E361" s="3">
        <v>1323</v>
      </c>
      <c r="F361" s="3" t="s">
        <v>11</v>
      </c>
      <c r="G361" s="3">
        <v>57067.85</v>
      </c>
      <c r="I361" s="4">
        <f>SUM($F$5:$F361)-SUM($E$5:$E361)</f>
        <v>57067.849999999627</v>
      </c>
      <c r="J361" s="4">
        <f t="shared" si="5"/>
        <v>-3.7107383832335472E-10</v>
      </c>
    </row>
    <row r="362" spans="1:10" x14ac:dyDescent="0.75">
      <c r="A362" s="5" t="s">
        <v>358</v>
      </c>
      <c r="B362" s="3" t="s">
        <v>358</v>
      </c>
      <c r="C362" s="3" t="s">
        <v>360</v>
      </c>
      <c r="E362" s="3">
        <v>1389.15</v>
      </c>
      <c r="F362" s="3" t="s">
        <v>11</v>
      </c>
      <c r="G362" s="3">
        <v>55678.7</v>
      </c>
      <c r="I362" s="4">
        <f>SUM($F$5:$F362)-SUM($E$5:$E362)</f>
        <v>55678.699999999255</v>
      </c>
      <c r="J362" s="4">
        <f t="shared" si="5"/>
        <v>-7.4214767664670944E-10</v>
      </c>
    </row>
    <row r="363" spans="1:10" x14ac:dyDescent="0.75">
      <c r="A363" s="5" t="s">
        <v>358</v>
      </c>
      <c r="B363" s="5" t="s">
        <v>358</v>
      </c>
      <c r="C363" s="3" t="s">
        <v>361</v>
      </c>
      <c r="E363" s="3">
        <v>8696.7099999999991</v>
      </c>
      <c r="F363" s="3" t="s">
        <v>11</v>
      </c>
      <c r="G363" s="3">
        <v>46981.99</v>
      </c>
      <c r="I363" s="4">
        <f>SUM($F$5:$F363)-SUM($E$5:$E363)</f>
        <v>46981.989999999292</v>
      </c>
      <c r="J363" s="4">
        <f t="shared" si="5"/>
        <v>-7.0576788857579231E-10</v>
      </c>
    </row>
    <row r="364" spans="1:10" x14ac:dyDescent="0.75">
      <c r="A364" s="5" t="s">
        <v>358</v>
      </c>
      <c r="B364" s="5" t="s">
        <v>358</v>
      </c>
      <c r="C364" s="3" t="s">
        <v>362</v>
      </c>
      <c r="E364" s="3">
        <v>1045.43</v>
      </c>
      <c r="F364" s="3" t="s">
        <v>11</v>
      </c>
      <c r="G364" s="3">
        <v>45936.56</v>
      </c>
      <c r="I364" s="4">
        <f>SUM($F$5:$F364)-SUM($E$5:$E364)</f>
        <v>45936.55999999959</v>
      </c>
      <c r="J364" s="4">
        <f t="shared" si="5"/>
        <v>-4.0745362639427185E-10</v>
      </c>
    </row>
    <row r="365" spans="1:10" x14ac:dyDescent="0.75">
      <c r="A365" s="3" t="s">
        <v>358</v>
      </c>
      <c r="B365" s="3" t="s">
        <v>358</v>
      </c>
      <c r="C365" s="3" t="s">
        <v>30</v>
      </c>
      <c r="E365" s="3" t="s">
        <v>11</v>
      </c>
      <c r="F365" s="3">
        <v>43420.63</v>
      </c>
      <c r="G365" s="3">
        <v>89357.19</v>
      </c>
      <c r="I365" s="4">
        <f>SUM($F$5:$F365)-SUM($E$5:$E365)</f>
        <v>89357.189999999478</v>
      </c>
      <c r="J365" s="4">
        <f t="shared" si="5"/>
        <v>-5.2386894822120667E-10</v>
      </c>
    </row>
    <row r="366" spans="1:10" x14ac:dyDescent="0.75">
      <c r="A366" s="3" t="s">
        <v>363</v>
      </c>
      <c r="B366" s="3" t="s">
        <v>363</v>
      </c>
      <c r="C366" s="3" t="s">
        <v>364</v>
      </c>
      <c r="E366" s="3">
        <v>2059</v>
      </c>
      <c r="F366" s="3" t="s">
        <v>11</v>
      </c>
      <c r="G366" s="3">
        <v>87298.19</v>
      </c>
      <c r="I366" s="4">
        <f>SUM($F$5:$F366)-SUM($E$5:$E366)</f>
        <v>87298.189999999478</v>
      </c>
      <c r="J366" s="4">
        <f t="shared" si="5"/>
        <v>-5.2386894822120667E-10</v>
      </c>
    </row>
    <row r="367" spans="1:10" x14ac:dyDescent="0.75">
      <c r="A367" s="3" t="s">
        <v>363</v>
      </c>
      <c r="B367" s="3" t="s">
        <v>363</v>
      </c>
      <c r="C367" s="3" t="s">
        <v>365</v>
      </c>
      <c r="E367" s="3">
        <v>6609.5</v>
      </c>
      <c r="F367" s="3" t="s">
        <v>11</v>
      </c>
      <c r="G367" s="3">
        <v>80688.69</v>
      </c>
      <c r="I367" s="4">
        <f>SUM($F$5:$F367)-SUM($E$5:$E367)</f>
        <v>80688.689999999478</v>
      </c>
      <c r="J367" s="4">
        <f t="shared" si="5"/>
        <v>-5.2386894822120667E-10</v>
      </c>
    </row>
    <row r="368" spans="1:10" x14ac:dyDescent="0.75">
      <c r="A368" s="3" t="s">
        <v>366</v>
      </c>
      <c r="B368" s="3" t="s">
        <v>366</v>
      </c>
      <c r="C368" s="3" t="s">
        <v>367</v>
      </c>
      <c r="E368" s="3">
        <v>7916.34</v>
      </c>
      <c r="F368" s="3" t="s">
        <v>11</v>
      </c>
      <c r="G368" s="3">
        <v>72772.350000000006</v>
      </c>
      <c r="I368" s="4">
        <f>SUM($F$5:$F368)-SUM($E$5:$E368)</f>
        <v>72772.349999999627</v>
      </c>
      <c r="J368" s="4">
        <f t="shared" si="5"/>
        <v>-3.7834979593753815E-10</v>
      </c>
    </row>
    <row r="369" spans="1:10" x14ac:dyDescent="0.75">
      <c r="A369" s="3" t="s">
        <v>366</v>
      </c>
      <c r="B369" s="3" t="s">
        <v>366</v>
      </c>
      <c r="C369" s="3" t="s">
        <v>368</v>
      </c>
      <c r="E369" s="3">
        <v>9446.2000000000007</v>
      </c>
      <c r="F369" s="3" t="s">
        <v>11</v>
      </c>
      <c r="G369" s="3">
        <v>63326.15</v>
      </c>
      <c r="I369" s="4">
        <f>SUM($F$5:$F369)-SUM($E$5:$E369)</f>
        <v>63326.149999999441</v>
      </c>
      <c r="J369" s="4">
        <f t="shared" si="5"/>
        <v>-5.6024873629212379E-10</v>
      </c>
    </row>
    <row r="370" spans="1:10" x14ac:dyDescent="0.75">
      <c r="A370" s="3" t="s">
        <v>366</v>
      </c>
      <c r="B370" s="3" t="s">
        <v>366</v>
      </c>
      <c r="C370" s="3" t="s">
        <v>369</v>
      </c>
      <c r="E370" s="3">
        <v>1504.85</v>
      </c>
      <c r="F370" s="3" t="s">
        <v>11</v>
      </c>
      <c r="G370" s="3">
        <v>61821.3</v>
      </c>
      <c r="I370" s="4">
        <f>SUM($F$5:$F370)-SUM($E$5:$E370)</f>
        <v>61821.299999999814</v>
      </c>
      <c r="J370" s="4">
        <f t="shared" si="5"/>
        <v>-1.8917489796876907E-10</v>
      </c>
    </row>
    <row r="371" spans="1:10" x14ac:dyDescent="0.75">
      <c r="A371" s="3" t="s">
        <v>370</v>
      </c>
      <c r="B371" s="3" t="s">
        <v>370</v>
      </c>
      <c r="C371" s="3" t="s">
        <v>371</v>
      </c>
      <c r="E371" s="3">
        <v>3616.2</v>
      </c>
      <c r="F371" s="3" t="s">
        <v>11</v>
      </c>
      <c r="G371" s="3">
        <v>58205.1</v>
      </c>
      <c r="I371" s="4">
        <f>SUM($F$5:$F371)-SUM($E$5:$E371)</f>
        <v>58205.099999999627</v>
      </c>
      <c r="J371" s="4">
        <f t="shared" si="5"/>
        <v>-3.7107383832335472E-10</v>
      </c>
    </row>
    <row r="372" spans="1:10" x14ac:dyDescent="0.75">
      <c r="A372" s="3" t="s">
        <v>370</v>
      </c>
      <c r="B372" s="3" t="s">
        <v>370</v>
      </c>
      <c r="F372" s="3" t="s">
        <v>11</v>
      </c>
      <c r="G372" s="4">
        <v>58205.1</v>
      </c>
      <c r="I372" s="4">
        <f>SUM($F$5:$F372)-SUM($E$5:$E372)</f>
        <v>58205.099999999627</v>
      </c>
      <c r="J372" s="4">
        <f t="shared" si="5"/>
        <v>-3.7107383832335472E-10</v>
      </c>
    </row>
    <row r="373" spans="1:10" x14ac:dyDescent="0.75">
      <c r="A373" s="3" t="s">
        <v>372</v>
      </c>
      <c r="B373" s="3" t="s">
        <v>372</v>
      </c>
      <c r="C373" s="3" t="s">
        <v>373</v>
      </c>
      <c r="E373" s="4">
        <v>6500</v>
      </c>
      <c r="F373" s="3" t="s">
        <v>11</v>
      </c>
      <c r="G373" s="4">
        <v>51705.1</v>
      </c>
      <c r="I373" s="4">
        <f>SUM($F$5:$F373)-SUM($E$5:$E373)</f>
        <v>51705.099999999627</v>
      </c>
      <c r="J373" s="4">
        <f t="shared" si="5"/>
        <v>-3.7107383832335472E-10</v>
      </c>
    </row>
    <row r="374" spans="1:10" x14ac:dyDescent="0.75">
      <c r="A374" s="3" t="s">
        <v>372</v>
      </c>
      <c r="B374" s="3" t="s">
        <v>374</v>
      </c>
      <c r="C374" s="3" t="s">
        <v>375</v>
      </c>
      <c r="E374" s="4">
        <v>2201.31</v>
      </c>
      <c r="F374" s="3" t="s">
        <v>11</v>
      </c>
      <c r="G374" s="4">
        <v>49503.79</v>
      </c>
      <c r="I374" s="4">
        <f>SUM($F$5:$F374)-SUM($E$5:$E374)</f>
        <v>49503.790000000037</v>
      </c>
      <c r="J374" s="4">
        <f t="shared" si="5"/>
        <v>0</v>
      </c>
    </row>
    <row r="375" spans="1:10" x14ac:dyDescent="0.75">
      <c r="A375" s="3" t="s">
        <v>374</v>
      </c>
      <c r="B375" s="3" t="s">
        <v>374</v>
      </c>
      <c r="C375" s="3" t="s">
        <v>376</v>
      </c>
      <c r="E375" s="4">
        <v>5358.28</v>
      </c>
      <c r="F375" s="3" t="s">
        <v>11</v>
      </c>
      <c r="G375" s="4">
        <v>44145.51</v>
      </c>
      <c r="I375" s="4">
        <f>SUM($F$5:$F375)-SUM($E$5:$E375)</f>
        <v>44145.509999999776</v>
      </c>
      <c r="J375" s="4">
        <f t="shared" si="5"/>
        <v>-2.255546860396862E-10</v>
      </c>
    </row>
    <row r="376" spans="1:10" x14ac:dyDescent="0.75">
      <c r="A376" s="3" t="s">
        <v>374</v>
      </c>
      <c r="B376" s="3" t="s">
        <v>377</v>
      </c>
      <c r="C376" s="3" t="s">
        <v>30</v>
      </c>
      <c r="E376" s="3" t="s">
        <v>11</v>
      </c>
      <c r="F376" s="4">
        <v>3814.22</v>
      </c>
      <c r="G376" s="4">
        <v>47959.73</v>
      </c>
      <c r="I376" s="4">
        <f>SUM($F$5:$F376)-SUM($E$5:$E376)</f>
        <v>47959.729999999516</v>
      </c>
      <c r="J376" s="4">
        <f t="shared" si="5"/>
        <v>-4.8748916015028954E-10</v>
      </c>
    </row>
    <row r="377" spans="1:10" x14ac:dyDescent="0.75">
      <c r="A377" s="3" t="s">
        <v>377</v>
      </c>
      <c r="C377" s="3" t="s">
        <v>30</v>
      </c>
      <c r="E377" s="3" t="s">
        <v>11</v>
      </c>
      <c r="F377" s="3">
        <v>14478.65</v>
      </c>
      <c r="G377" s="3">
        <v>62438.38</v>
      </c>
      <c r="I377" s="4">
        <f>SUM($F$5:$F377)-SUM($E$5:$E377)</f>
        <v>62438.379999999888</v>
      </c>
      <c r="J377" s="4">
        <f t="shared" si="5"/>
        <v>-1.0913936421275139E-10</v>
      </c>
    </row>
    <row r="378" spans="1:10" x14ac:dyDescent="0.75">
      <c r="A378" s="5">
        <v>43503</v>
      </c>
      <c r="B378" s="5">
        <v>43503</v>
      </c>
      <c r="C378" s="3" t="s">
        <v>30</v>
      </c>
      <c r="E378" s="3" t="s">
        <v>11</v>
      </c>
      <c r="F378" s="3">
        <v>4307.3599999999997</v>
      </c>
      <c r="G378" s="3">
        <v>66745.740000000005</v>
      </c>
      <c r="I378" s="4">
        <f>SUM($F$5:$F378)-SUM($E$5:$E378)</f>
        <v>66745.740000000224</v>
      </c>
      <c r="J378" s="4">
        <f t="shared" si="5"/>
        <v>2.1827872842550278E-10</v>
      </c>
    </row>
    <row r="379" spans="1:10" x14ac:dyDescent="0.75">
      <c r="A379" s="5">
        <v>43531</v>
      </c>
      <c r="B379" s="5">
        <v>43531</v>
      </c>
      <c r="C379" s="3" t="s">
        <v>378</v>
      </c>
      <c r="E379" s="3">
        <v>661.5</v>
      </c>
      <c r="F379" s="3" t="s">
        <v>11</v>
      </c>
      <c r="G379" s="3">
        <v>66084.240000000005</v>
      </c>
      <c r="I379" s="4">
        <f>SUM($F$5:$F379)-SUM($E$5:$E379)</f>
        <v>66084.240000000224</v>
      </c>
      <c r="J379" s="4">
        <f t="shared" si="5"/>
        <v>2.1827872842550278E-10</v>
      </c>
    </row>
    <row r="380" spans="1:10" x14ac:dyDescent="0.75">
      <c r="A380" s="5">
        <v>43531</v>
      </c>
      <c r="B380" s="5">
        <v>43531</v>
      </c>
      <c r="C380" s="3" t="s">
        <v>379</v>
      </c>
      <c r="E380" s="3">
        <v>2328</v>
      </c>
      <c r="F380" s="3" t="s">
        <v>11</v>
      </c>
      <c r="G380" s="3">
        <v>63756.24</v>
      </c>
      <c r="I380" s="4">
        <f>SUM($F$5:$F380)-SUM($E$5:$E380)</f>
        <v>63756.240000000224</v>
      </c>
      <c r="J380" s="4">
        <f t="shared" si="5"/>
        <v>2.255546860396862E-10</v>
      </c>
    </row>
    <row r="381" spans="1:10" x14ac:dyDescent="0.75">
      <c r="A381" s="5">
        <v>43531</v>
      </c>
      <c r="B381" s="5">
        <v>43531</v>
      </c>
      <c r="C381" s="3" t="s">
        <v>380</v>
      </c>
      <c r="E381" s="3">
        <v>485</v>
      </c>
      <c r="F381" s="3" t="s">
        <v>11</v>
      </c>
      <c r="G381" s="3">
        <v>63271.24</v>
      </c>
      <c r="I381" s="4">
        <f>SUM($F$5:$F381)-SUM($E$5:$E381)</f>
        <v>63271.240000000224</v>
      </c>
      <c r="J381" s="4">
        <f t="shared" si="5"/>
        <v>2.255546860396862E-10</v>
      </c>
    </row>
    <row r="382" spans="1:10" x14ac:dyDescent="0.75">
      <c r="A382" s="5">
        <v>43592</v>
      </c>
      <c r="B382" s="5">
        <v>43592</v>
      </c>
      <c r="C382" s="3" t="s">
        <v>30</v>
      </c>
      <c r="E382" s="3" t="s">
        <v>11</v>
      </c>
      <c r="F382" s="3">
        <v>20433.740000000002</v>
      </c>
      <c r="G382" s="3">
        <v>83704.98</v>
      </c>
      <c r="I382" s="4">
        <f>SUM($F$5:$F382)-SUM($E$5:$E382)</f>
        <v>83704.980000000447</v>
      </c>
      <c r="J382" s="4">
        <f t="shared" si="5"/>
        <v>4.5110937207937241E-10</v>
      </c>
    </row>
    <row r="383" spans="1:10" x14ac:dyDescent="0.75">
      <c r="A383" s="5">
        <v>43684</v>
      </c>
      <c r="B383" s="5">
        <v>43684</v>
      </c>
      <c r="C383" s="3" t="s">
        <v>30</v>
      </c>
      <c r="E383" s="3" t="s">
        <v>11</v>
      </c>
      <c r="F383" s="3">
        <v>48564.34</v>
      </c>
      <c r="G383" s="3">
        <v>132269.32</v>
      </c>
      <c r="I383" s="4">
        <f>SUM($F$5:$F383)-SUM($E$5:$E383)</f>
        <v>132269.3200000003</v>
      </c>
      <c r="J383" s="4">
        <f t="shared" si="5"/>
        <v>2.9103830456733704E-10</v>
      </c>
    </row>
    <row r="384" spans="1:10" x14ac:dyDescent="0.75">
      <c r="A384" s="5">
        <v>43715</v>
      </c>
      <c r="B384" s="5">
        <v>43715</v>
      </c>
      <c r="C384" s="3" t="s">
        <v>30</v>
      </c>
      <c r="E384" s="3" t="s">
        <v>11</v>
      </c>
      <c r="F384" s="3">
        <v>50890.6</v>
      </c>
      <c r="G384" s="3">
        <v>183159.92</v>
      </c>
      <c r="I384" s="4">
        <f>SUM($F$5:$F384)-SUM($E$5:$E384)</f>
        <v>183159.91999999993</v>
      </c>
      <c r="J384" s="4">
        <f t="shared" si="5"/>
        <v>0</v>
      </c>
    </row>
    <row r="385" spans="1:10" x14ac:dyDescent="0.75">
      <c r="A385" s="5">
        <v>43745</v>
      </c>
      <c r="B385" s="5">
        <v>43745</v>
      </c>
      <c r="C385" s="3" t="s">
        <v>30</v>
      </c>
      <c r="E385" s="3" t="s">
        <v>11</v>
      </c>
      <c r="F385" s="3">
        <v>19439.990000000002</v>
      </c>
      <c r="G385" s="3">
        <v>202599.91</v>
      </c>
      <c r="I385" s="4">
        <f>SUM($F$5:$F385)-SUM($E$5:$E385)</f>
        <v>202599.91000000015</v>
      </c>
      <c r="J385" s="4">
        <f t="shared" si="5"/>
        <v>0</v>
      </c>
    </row>
    <row r="386" spans="1:10" x14ac:dyDescent="0.75">
      <c r="A386" s="5">
        <v>43776</v>
      </c>
      <c r="B386" s="5">
        <v>43776</v>
      </c>
      <c r="C386" s="3" t="s">
        <v>30</v>
      </c>
      <c r="E386" s="3" t="s">
        <v>11</v>
      </c>
      <c r="F386" s="3">
        <v>5076.8500000000004</v>
      </c>
      <c r="G386" s="3">
        <v>207676.76</v>
      </c>
      <c r="I386" s="4">
        <f>SUM($F$5:$F386)-SUM($E$5:$E386)</f>
        <v>207676.75999999978</v>
      </c>
      <c r="J386" s="4">
        <f t="shared" si="5"/>
        <v>-2.3283064365386963E-10</v>
      </c>
    </row>
    <row r="387" spans="1:10" x14ac:dyDescent="0.75">
      <c r="A387" s="5">
        <v>43806</v>
      </c>
      <c r="B387" s="5">
        <v>43806</v>
      </c>
      <c r="C387" s="3" t="s">
        <v>381</v>
      </c>
      <c r="E387" s="3">
        <v>708.75</v>
      </c>
      <c r="F387" s="3" t="s">
        <v>11</v>
      </c>
      <c r="G387" s="3">
        <v>206968.01</v>
      </c>
      <c r="I387" s="4">
        <f>SUM($F$5:$F387)-SUM($E$5:$E387)</f>
        <v>206968.00999999978</v>
      </c>
      <c r="J387" s="4">
        <f t="shared" si="5"/>
        <v>-2.3283064365386963E-10</v>
      </c>
    </row>
    <row r="388" spans="1:10" x14ac:dyDescent="0.75">
      <c r="A388" s="5">
        <v>43806</v>
      </c>
      <c r="B388" s="5">
        <v>43806</v>
      </c>
      <c r="C388" s="3" t="s">
        <v>30</v>
      </c>
      <c r="E388" s="3" t="s">
        <v>11</v>
      </c>
      <c r="F388" s="3">
        <v>21037.68</v>
      </c>
      <c r="G388" s="3">
        <v>228005.69</v>
      </c>
      <c r="I388" s="4">
        <f>SUM($F$5:$F388)-SUM($E$5:$E388)</f>
        <v>228005.68999999948</v>
      </c>
      <c r="J388" s="4">
        <f t="shared" si="5"/>
        <v>-5.2386894822120667E-10</v>
      </c>
    </row>
    <row r="389" spans="1:10" x14ac:dyDescent="0.75">
      <c r="A389" s="3" t="s">
        <v>382</v>
      </c>
      <c r="B389" s="3" t="s">
        <v>382</v>
      </c>
      <c r="C389" s="3" t="s">
        <v>383</v>
      </c>
      <c r="E389" s="3">
        <v>8578.5</v>
      </c>
      <c r="F389" s="3" t="s">
        <v>11</v>
      </c>
      <c r="G389" s="3">
        <v>219427.19</v>
      </c>
      <c r="I389" s="4">
        <f>SUM($F$5:$F389)-SUM($E$5:$E389)</f>
        <v>219427.18999999948</v>
      </c>
      <c r="J389" s="4">
        <f t="shared" si="5"/>
        <v>-5.2386894822120667E-10</v>
      </c>
    </row>
    <row r="390" spans="1:10" x14ac:dyDescent="0.75">
      <c r="A390" s="3" t="s">
        <v>384</v>
      </c>
      <c r="B390" s="3" t="s">
        <v>384</v>
      </c>
      <c r="C390" s="3" t="s">
        <v>385</v>
      </c>
      <c r="E390" s="3">
        <v>27958.74</v>
      </c>
      <c r="F390" s="3" t="s">
        <v>11</v>
      </c>
      <c r="G390" s="3">
        <v>191468.45</v>
      </c>
      <c r="I390" s="4">
        <f>SUM($F$5:$F390)-SUM($E$5:$E390)</f>
        <v>191468.44999999925</v>
      </c>
      <c r="J390" s="4">
        <f t="shared" ref="J390:J453" si="6">I390-G390</f>
        <v>-7.5669959187507629E-10</v>
      </c>
    </row>
    <row r="391" spans="1:10" x14ac:dyDescent="0.75">
      <c r="A391" s="3" t="s">
        <v>384</v>
      </c>
      <c r="B391" s="3" t="s">
        <v>384</v>
      </c>
      <c r="C391" s="3" t="s">
        <v>30</v>
      </c>
      <c r="E391" s="3" t="s">
        <v>11</v>
      </c>
      <c r="F391" s="3">
        <v>21967.39</v>
      </c>
      <c r="G391" s="3">
        <v>213435.84</v>
      </c>
      <c r="I391" s="4">
        <f>SUM($F$5:$F391)-SUM($E$5:$E391)</f>
        <v>213435.83999999892</v>
      </c>
      <c r="J391" s="4">
        <f t="shared" si="6"/>
        <v>-1.076841726899147E-9</v>
      </c>
    </row>
    <row r="392" spans="1:10" x14ac:dyDescent="0.75">
      <c r="A392" s="3" t="s">
        <v>386</v>
      </c>
      <c r="B392" s="3" t="s">
        <v>386</v>
      </c>
      <c r="C392" s="3" t="s">
        <v>387</v>
      </c>
      <c r="E392" s="3">
        <v>2157.2800000000002</v>
      </c>
      <c r="F392" s="3" t="s">
        <v>11</v>
      </c>
      <c r="G392" s="3">
        <v>211278.56</v>
      </c>
      <c r="I392" s="4">
        <f>SUM($F$5:$F392)-SUM($E$5:$E392)</f>
        <v>211278.55999999866</v>
      </c>
      <c r="J392" s="4">
        <f t="shared" si="6"/>
        <v>-1.3387762010097504E-9</v>
      </c>
    </row>
    <row r="393" spans="1:10" x14ac:dyDescent="0.75">
      <c r="A393" s="3" t="s">
        <v>386</v>
      </c>
      <c r="B393" s="3" t="s">
        <v>386</v>
      </c>
      <c r="C393" s="3" t="s">
        <v>388</v>
      </c>
      <c r="E393" s="3">
        <v>1220.5</v>
      </c>
      <c r="F393" s="3" t="s">
        <v>11</v>
      </c>
      <c r="G393" s="3">
        <v>210058.06</v>
      </c>
      <c r="I393" s="4">
        <f>SUM($F$5:$F393)-SUM($E$5:$E393)</f>
        <v>210058.05999999866</v>
      </c>
      <c r="J393" s="4">
        <f t="shared" si="6"/>
        <v>-1.3387762010097504E-9</v>
      </c>
    </row>
    <row r="394" spans="1:10" x14ac:dyDescent="0.75">
      <c r="A394" s="3" t="s">
        <v>389</v>
      </c>
      <c r="B394" s="3" t="s">
        <v>389</v>
      </c>
      <c r="C394" s="3" t="s">
        <v>390</v>
      </c>
      <c r="E394" s="3">
        <v>23396.27</v>
      </c>
      <c r="F394" s="3" t="s">
        <v>11</v>
      </c>
      <c r="G394" s="3">
        <v>186661.79</v>
      </c>
      <c r="I394" s="4">
        <f>SUM($F$5:$F394)-SUM($E$5:$E394)</f>
        <v>186661.78999999911</v>
      </c>
      <c r="J394" s="4">
        <f t="shared" si="6"/>
        <v>-9.0221874415874481E-10</v>
      </c>
    </row>
    <row r="395" spans="1:10" x14ac:dyDescent="0.75">
      <c r="A395" s="3" t="s">
        <v>389</v>
      </c>
      <c r="B395" s="3" t="s">
        <v>389</v>
      </c>
      <c r="C395" s="3" t="s">
        <v>391</v>
      </c>
      <c r="E395" s="3">
        <v>28707.759999999998</v>
      </c>
      <c r="F395" s="3" t="s">
        <v>11</v>
      </c>
      <c r="G395" s="3">
        <v>157954.03</v>
      </c>
      <c r="I395" s="4">
        <f>SUM($F$5:$F395)-SUM($E$5:$E395)</f>
        <v>157954.02999999933</v>
      </c>
      <c r="J395" s="4">
        <f t="shared" si="6"/>
        <v>-6.6938810050487518E-10</v>
      </c>
    </row>
    <row r="396" spans="1:10" x14ac:dyDescent="0.75">
      <c r="A396" s="3" t="s">
        <v>389</v>
      </c>
      <c r="B396" s="3" t="s">
        <v>389</v>
      </c>
      <c r="C396" s="3" t="s">
        <v>392</v>
      </c>
      <c r="E396" s="3">
        <v>33809.599999999999</v>
      </c>
      <c r="F396" s="3" t="s">
        <v>11</v>
      </c>
      <c r="G396" s="3">
        <v>124144.43</v>
      </c>
      <c r="I396" s="4">
        <f>SUM($F$5:$F396)-SUM($E$5:$E396)</f>
        <v>124144.4299999997</v>
      </c>
      <c r="J396" s="4">
        <f t="shared" si="6"/>
        <v>-2.9103830456733704E-10</v>
      </c>
    </row>
    <row r="397" spans="1:10" x14ac:dyDescent="0.75">
      <c r="A397" s="3" t="s">
        <v>389</v>
      </c>
      <c r="B397" s="3" t="s">
        <v>389</v>
      </c>
      <c r="C397" s="3" t="s">
        <v>30</v>
      </c>
      <c r="E397" s="3" t="s">
        <v>11</v>
      </c>
      <c r="F397" s="3">
        <v>5112.33</v>
      </c>
      <c r="G397" s="3">
        <v>129256.76</v>
      </c>
      <c r="I397" s="4">
        <f>SUM($F$5:$F397)-SUM($E$5:$E397)</f>
        <v>129256.75999999978</v>
      </c>
      <c r="J397" s="4">
        <f t="shared" si="6"/>
        <v>-2.1827872842550278E-10</v>
      </c>
    </row>
    <row r="398" spans="1:10" x14ac:dyDescent="0.75">
      <c r="A398" s="3" t="s">
        <v>393</v>
      </c>
      <c r="B398" s="3" t="s">
        <v>393</v>
      </c>
      <c r="C398" s="3" t="s">
        <v>30</v>
      </c>
      <c r="E398" s="3" t="s">
        <v>11</v>
      </c>
      <c r="F398" s="3">
        <v>2758.5</v>
      </c>
      <c r="G398" s="3">
        <v>132015.26</v>
      </c>
      <c r="I398" s="4">
        <f>SUM($F$5:$F398)-SUM($E$5:$E398)</f>
        <v>132015.25999999978</v>
      </c>
      <c r="J398" s="4">
        <f t="shared" si="6"/>
        <v>-2.3283064365386963E-10</v>
      </c>
    </row>
    <row r="399" spans="1:10" x14ac:dyDescent="0.75">
      <c r="A399" s="3" t="s">
        <v>394</v>
      </c>
      <c r="B399" s="3" t="s">
        <v>394</v>
      </c>
      <c r="C399" s="3" t="s">
        <v>30</v>
      </c>
      <c r="E399" s="3" t="s">
        <v>11</v>
      </c>
      <c r="F399" s="3">
        <v>1895.03</v>
      </c>
      <c r="G399" s="4">
        <v>133910.29</v>
      </c>
      <c r="I399" s="4">
        <f>SUM($F$5:$F399)-SUM($E$5:$E399)</f>
        <v>133910.29000000004</v>
      </c>
      <c r="J399" s="4">
        <f t="shared" si="6"/>
        <v>0</v>
      </c>
    </row>
    <row r="400" spans="1:10" x14ac:dyDescent="0.75">
      <c r="A400" s="3" t="s">
        <v>395</v>
      </c>
      <c r="B400" s="3" t="s">
        <v>395</v>
      </c>
      <c r="C400" s="3" t="s">
        <v>30</v>
      </c>
      <c r="E400" s="4" t="s">
        <v>11</v>
      </c>
      <c r="F400" s="3">
        <v>9345.7000000000007</v>
      </c>
      <c r="G400" s="4">
        <v>143255.99</v>
      </c>
      <c r="I400" s="4">
        <f>SUM($F$5:$F400)-SUM($E$5:$E400)</f>
        <v>143255.99000000022</v>
      </c>
      <c r="J400" s="4">
        <f t="shared" si="6"/>
        <v>2.3283064365386963E-10</v>
      </c>
    </row>
    <row r="401" spans="1:10" x14ac:dyDescent="0.75">
      <c r="A401" s="3" t="s">
        <v>396</v>
      </c>
      <c r="B401" s="3" t="s">
        <v>396</v>
      </c>
      <c r="E401" s="4" t="s">
        <v>11</v>
      </c>
      <c r="G401" s="4">
        <v>143255.99</v>
      </c>
      <c r="I401" s="4">
        <f>SUM($F$5:$F401)-SUM($E$5:$E401)</f>
        <v>143255.99000000022</v>
      </c>
      <c r="J401" s="4">
        <f t="shared" si="6"/>
        <v>2.3283064365386963E-10</v>
      </c>
    </row>
    <row r="402" spans="1:10" x14ac:dyDescent="0.75">
      <c r="A402" s="3" t="s">
        <v>397</v>
      </c>
      <c r="B402" s="3" t="s">
        <v>397</v>
      </c>
      <c r="C402" s="3" t="s">
        <v>398</v>
      </c>
      <c r="E402" s="4">
        <v>3200</v>
      </c>
      <c r="F402" s="3" t="s">
        <v>11</v>
      </c>
      <c r="G402" s="4">
        <v>140055.99</v>
      </c>
      <c r="I402" s="4">
        <f>SUM($F$5:$F402)-SUM($E$5:$E402)</f>
        <v>140055.99000000022</v>
      </c>
      <c r="J402" s="4">
        <f t="shared" si="6"/>
        <v>2.3283064365386963E-10</v>
      </c>
    </row>
    <row r="403" spans="1:10" x14ac:dyDescent="0.75">
      <c r="A403" s="3" t="s">
        <v>397</v>
      </c>
      <c r="B403" s="3" t="s">
        <v>397</v>
      </c>
      <c r="C403" s="3" t="s">
        <v>399</v>
      </c>
      <c r="E403" s="4">
        <v>3675</v>
      </c>
      <c r="F403" s="3" t="s">
        <v>11</v>
      </c>
      <c r="G403" s="4">
        <v>136380.99</v>
      </c>
      <c r="I403" s="4">
        <f>SUM($F$5:$F403)-SUM($E$5:$E403)</f>
        <v>136380.99000000022</v>
      </c>
      <c r="J403" s="4">
        <f t="shared" si="6"/>
        <v>2.3283064365386963E-10</v>
      </c>
    </row>
    <row r="404" spans="1:10" x14ac:dyDescent="0.75">
      <c r="A404" s="3" t="s">
        <v>397</v>
      </c>
      <c r="B404" s="3" t="s">
        <v>397</v>
      </c>
      <c r="C404" s="3" t="s">
        <v>400</v>
      </c>
      <c r="E404" s="4">
        <v>13883.57</v>
      </c>
      <c r="F404" s="4" t="s">
        <v>11</v>
      </c>
      <c r="G404" s="4">
        <v>122497.42</v>
      </c>
      <c r="I404" s="4">
        <f>SUM($F$5:$F404)-SUM($E$5:$E404)</f>
        <v>122497.41999999993</v>
      </c>
      <c r="J404" s="4">
        <f t="shared" si="6"/>
        <v>0</v>
      </c>
    </row>
    <row r="405" spans="1:10" x14ac:dyDescent="0.75">
      <c r="A405" s="3" t="s">
        <v>397</v>
      </c>
      <c r="B405" s="3" t="s">
        <v>397</v>
      </c>
      <c r="C405" s="3" t="s">
        <v>401</v>
      </c>
      <c r="E405" s="4">
        <v>24359.03</v>
      </c>
      <c r="F405" s="3" t="s">
        <v>11</v>
      </c>
      <c r="G405" s="4">
        <v>98138.39</v>
      </c>
      <c r="I405" s="4">
        <f>SUM($F$5:$F405)-SUM($E$5:$E405)</f>
        <v>98138.389999999665</v>
      </c>
      <c r="J405" s="4">
        <f t="shared" si="6"/>
        <v>-3.3469405025243759E-10</v>
      </c>
    </row>
    <row r="406" spans="1:10" x14ac:dyDescent="0.75">
      <c r="A406" s="3" t="s">
        <v>397</v>
      </c>
      <c r="B406" s="3" t="s">
        <v>402</v>
      </c>
      <c r="C406" s="3" t="s">
        <v>30</v>
      </c>
      <c r="E406" s="3" t="s">
        <v>11</v>
      </c>
      <c r="F406" s="4">
        <v>5093.28</v>
      </c>
      <c r="G406" s="4">
        <v>103231.67</v>
      </c>
      <c r="I406" s="4">
        <f>SUM($F$5:$F406)-SUM($E$5:$E406)</f>
        <v>103231.66999999993</v>
      </c>
      <c r="J406" s="4">
        <f t="shared" si="6"/>
        <v>0</v>
      </c>
    </row>
    <row r="407" spans="1:10" x14ac:dyDescent="0.75">
      <c r="A407" s="5" t="s">
        <v>402</v>
      </c>
      <c r="B407" s="5" t="s">
        <v>403</v>
      </c>
      <c r="C407" s="3" t="s">
        <v>30</v>
      </c>
      <c r="E407" s="3" t="s">
        <v>11</v>
      </c>
      <c r="F407" s="4">
        <v>10382.5</v>
      </c>
      <c r="G407" s="4">
        <v>113614.17</v>
      </c>
      <c r="I407" s="4">
        <f>SUM($F$5:$F407)-SUM($E$5:$E407)</f>
        <v>113614.16999999993</v>
      </c>
      <c r="J407" s="4">
        <f t="shared" si="6"/>
        <v>0</v>
      </c>
    </row>
    <row r="408" spans="1:10" x14ac:dyDescent="0.75">
      <c r="A408" s="5" t="s">
        <v>403</v>
      </c>
      <c r="B408" s="5" t="s">
        <v>404</v>
      </c>
      <c r="C408" s="3" t="s">
        <v>30</v>
      </c>
      <c r="E408" s="3" t="s">
        <v>11</v>
      </c>
      <c r="F408" s="4">
        <v>1888.25</v>
      </c>
      <c r="G408" s="4">
        <v>115502.42</v>
      </c>
      <c r="I408" s="4">
        <f>SUM($F$5:$F408)-SUM($E$5:$E408)</f>
        <v>115502.41999999993</v>
      </c>
      <c r="J408" s="4">
        <f t="shared" si="6"/>
        <v>0</v>
      </c>
    </row>
    <row r="409" spans="1:10" x14ac:dyDescent="0.75">
      <c r="A409" s="5" t="s">
        <v>404</v>
      </c>
      <c r="B409" s="5" t="s">
        <v>404</v>
      </c>
      <c r="C409" s="3" t="s">
        <v>405</v>
      </c>
      <c r="E409" s="4">
        <v>2425.5</v>
      </c>
      <c r="F409" s="3" t="s">
        <v>11</v>
      </c>
      <c r="G409" s="4">
        <v>113076.92</v>
      </c>
      <c r="I409" s="4">
        <f>SUM($F$5:$F409)-SUM($E$5:$E409)</f>
        <v>113076.91999999993</v>
      </c>
      <c r="J409" s="4">
        <f t="shared" si="6"/>
        <v>0</v>
      </c>
    </row>
    <row r="410" spans="1:10" x14ac:dyDescent="0.75">
      <c r="A410" s="5" t="s">
        <v>404</v>
      </c>
      <c r="B410" s="5"/>
      <c r="C410" s="3" t="s">
        <v>30</v>
      </c>
      <c r="E410" s="3" t="s">
        <v>11</v>
      </c>
      <c r="F410" s="3">
        <v>48031.89</v>
      </c>
      <c r="G410" s="3">
        <v>161108.81</v>
      </c>
      <c r="I410" s="4">
        <f>SUM($F$5:$F410)-SUM($E$5:$E410)</f>
        <v>161108.80999999959</v>
      </c>
      <c r="J410" s="4">
        <f t="shared" si="6"/>
        <v>-4.0745362639427185E-10</v>
      </c>
    </row>
    <row r="411" spans="1:10" x14ac:dyDescent="0.75">
      <c r="A411" s="5">
        <v>43473</v>
      </c>
      <c r="B411" s="5">
        <v>43473</v>
      </c>
      <c r="C411" s="3" t="s">
        <v>406</v>
      </c>
      <c r="E411" s="3">
        <v>1230</v>
      </c>
      <c r="F411" s="3" t="s">
        <v>11</v>
      </c>
      <c r="G411" s="3">
        <v>159878.81</v>
      </c>
      <c r="I411" s="4">
        <f>SUM($F$5:$F411)-SUM($E$5:$E411)</f>
        <v>159878.80999999959</v>
      </c>
      <c r="J411" s="4">
        <f t="shared" si="6"/>
        <v>-4.0745362639427185E-10</v>
      </c>
    </row>
    <row r="412" spans="1:10" x14ac:dyDescent="0.75">
      <c r="A412" s="5">
        <v>43473</v>
      </c>
      <c r="B412" s="5">
        <v>43473</v>
      </c>
      <c r="C412" s="3" t="s">
        <v>407</v>
      </c>
      <c r="E412" s="3">
        <v>6260</v>
      </c>
      <c r="F412" s="3" t="s">
        <v>11</v>
      </c>
      <c r="G412" s="3">
        <v>153618.81</v>
      </c>
      <c r="I412" s="4">
        <f>SUM($F$5:$F412)-SUM($E$5:$E412)</f>
        <v>153618.80999999959</v>
      </c>
      <c r="J412" s="4">
        <f t="shared" si="6"/>
        <v>-4.0745362639427185E-10</v>
      </c>
    </row>
    <row r="413" spans="1:10" x14ac:dyDescent="0.75">
      <c r="A413" s="5">
        <v>43473</v>
      </c>
      <c r="B413" s="5">
        <v>43473</v>
      </c>
      <c r="C413" s="3" t="s">
        <v>30</v>
      </c>
      <c r="E413" s="3" t="s">
        <v>11</v>
      </c>
      <c r="F413" s="3">
        <v>1954.34</v>
      </c>
      <c r="G413" s="3">
        <v>155573.15</v>
      </c>
      <c r="I413" s="4">
        <f>SUM($F$5:$F413)-SUM($E$5:$E413)</f>
        <v>155573.14999999944</v>
      </c>
      <c r="J413" s="4">
        <f t="shared" si="6"/>
        <v>-5.5297277867794037E-10</v>
      </c>
    </row>
    <row r="414" spans="1:10" x14ac:dyDescent="0.75">
      <c r="A414" s="5">
        <v>43504</v>
      </c>
      <c r="B414" s="5">
        <v>43504</v>
      </c>
      <c r="C414" s="3" t="s">
        <v>30</v>
      </c>
      <c r="E414" s="3" t="s">
        <v>11</v>
      </c>
      <c r="F414" s="3">
        <v>8694.58</v>
      </c>
      <c r="G414" s="3">
        <v>164267.73000000001</v>
      </c>
      <c r="I414" s="4">
        <f>SUM($F$5:$F414)-SUM($E$5:$E414)</f>
        <v>164267.72999999952</v>
      </c>
      <c r="J414" s="4">
        <f t="shared" si="6"/>
        <v>-4.9476511776447296E-10</v>
      </c>
    </row>
    <row r="415" spans="1:10" x14ac:dyDescent="0.75">
      <c r="A415" s="5">
        <v>43624</v>
      </c>
      <c r="B415" s="5">
        <v>43624</v>
      </c>
      <c r="C415" s="3" t="s">
        <v>30</v>
      </c>
      <c r="E415" s="3" t="s">
        <v>11</v>
      </c>
      <c r="F415" s="3">
        <v>8252.2900000000009</v>
      </c>
      <c r="G415" s="3">
        <v>172520.02</v>
      </c>
      <c r="I415" s="4">
        <f>SUM($F$5:$F415)-SUM($E$5:$E415)</f>
        <v>172520.01999999955</v>
      </c>
      <c r="J415" s="4">
        <f t="shared" si="6"/>
        <v>-4.3655745685100555E-10</v>
      </c>
    </row>
    <row r="416" spans="1:10" x14ac:dyDescent="0.75">
      <c r="A416" s="5">
        <v>43685</v>
      </c>
      <c r="B416" s="5">
        <v>43685</v>
      </c>
      <c r="C416" s="3" t="s">
        <v>408</v>
      </c>
      <c r="E416" s="3">
        <v>150000</v>
      </c>
      <c r="F416" s="3" t="s">
        <v>11</v>
      </c>
      <c r="G416" s="3">
        <v>22520.02</v>
      </c>
      <c r="I416" s="4">
        <f>SUM($F$5:$F416)-SUM($E$5:$E416)</f>
        <v>22520.019999999553</v>
      </c>
      <c r="J416" s="4">
        <f t="shared" si="6"/>
        <v>-4.4747139327228069E-10</v>
      </c>
    </row>
    <row r="417" spans="1:10" x14ac:dyDescent="0.75">
      <c r="A417" s="5">
        <v>43716</v>
      </c>
      <c r="B417" s="5">
        <v>43716</v>
      </c>
      <c r="C417" s="3" t="s">
        <v>409</v>
      </c>
      <c r="E417" s="3">
        <v>3.5</v>
      </c>
      <c r="F417" s="3" t="s">
        <v>11</v>
      </c>
      <c r="G417" s="3">
        <v>22516.52</v>
      </c>
      <c r="I417" s="4">
        <f>SUM($F$5:$F417)-SUM($E$5:$E417)</f>
        <v>22516.519999999553</v>
      </c>
      <c r="J417" s="4">
        <f t="shared" si="6"/>
        <v>-4.4747139327228069E-10</v>
      </c>
    </row>
    <row r="418" spans="1:10" x14ac:dyDescent="0.75">
      <c r="A418" s="5">
        <v>43716</v>
      </c>
      <c r="B418" s="5">
        <v>43716</v>
      </c>
      <c r="C418" s="3" t="s">
        <v>30</v>
      </c>
      <c r="E418" s="3" t="s">
        <v>11</v>
      </c>
      <c r="F418" s="3">
        <v>6936.22</v>
      </c>
      <c r="G418" s="3">
        <v>29452.74</v>
      </c>
      <c r="I418" s="4">
        <f>SUM($F$5:$F418)-SUM($E$5:$E418)</f>
        <v>29452.739999999292</v>
      </c>
      <c r="J418" s="4">
        <f t="shared" si="6"/>
        <v>-7.0940586738288403E-10</v>
      </c>
    </row>
    <row r="419" spans="1:10" x14ac:dyDescent="0.75">
      <c r="A419" s="3" t="s">
        <v>410</v>
      </c>
      <c r="B419" s="3" t="s">
        <v>410</v>
      </c>
      <c r="C419" s="3" t="s">
        <v>30</v>
      </c>
      <c r="E419" s="3" t="s">
        <v>11</v>
      </c>
      <c r="F419" s="3">
        <v>2760.15</v>
      </c>
      <c r="G419" s="3">
        <v>32212.89</v>
      </c>
      <c r="I419" s="4">
        <f>SUM($F$5:$F419)-SUM($E$5:$E419)</f>
        <v>32212.889999999665</v>
      </c>
      <c r="J419" s="4">
        <f t="shared" si="6"/>
        <v>-3.3469405025243759E-10</v>
      </c>
    </row>
    <row r="420" spans="1:10" x14ac:dyDescent="0.75">
      <c r="A420" s="3" t="s">
        <v>411</v>
      </c>
      <c r="B420" s="3" t="s">
        <v>411</v>
      </c>
      <c r="C420" s="3" t="s">
        <v>30</v>
      </c>
      <c r="E420" s="3" t="s">
        <v>11</v>
      </c>
      <c r="F420" s="3">
        <v>4873.05</v>
      </c>
      <c r="G420" s="3">
        <v>37085.94</v>
      </c>
      <c r="I420" s="4">
        <f>SUM($F$5:$F420)-SUM($E$5:$E420)</f>
        <v>37085.939999999478</v>
      </c>
      <c r="J420" s="4">
        <f t="shared" si="6"/>
        <v>-5.2386894822120667E-10</v>
      </c>
    </row>
    <row r="421" spans="1:10" x14ac:dyDescent="0.75">
      <c r="A421" s="3" t="s">
        <v>412</v>
      </c>
      <c r="B421" s="3" t="s">
        <v>412</v>
      </c>
      <c r="C421" s="3" t="s">
        <v>30</v>
      </c>
      <c r="E421" s="3" t="s">
        <v>11</v>
      </c>
      <c r="F421" s="3">
        <v>11277.88</v>
      </c>
      <c r="G421" s="3">
        <v>48363.82</v>
      </c>
      <c r="I421" s="4">
        <f>SUM($F$5:$F421)-SUM($E$5:$E421)</f>
        <v>48363.819999999367</v>
      </c>
      <c r="J421" s="4">
        <f t="shared" si="6"/>
        <v>-6.3300831243395805E-10</v>
      </c>
    </row>
    <row r="422" spans="1:10" x14ac:dyDescent="0.75">
      <c r="A422" s="3" t="s">
        <v>413</v>
      </c>
      <c r="B422" s="3" t="s">
        <v>413</v>
      </c>
      <c r="E422" s="3" t="s">
        <v>11</v>
      </c>
      <c r="G422" s="4">
        <v>48363.82</v>
      </c>
      <c r="I422" s="4">
        <f>SUM($F$5:$F422)-SUM($E$5:$E422)</f>
        <v>48363.819999999367</v>
      </c>
      <c r="J422" s="4">
        <f t="shared" si="6"/>
        <v>-6.3300831243395805E-10</v>
      </c>
    </row>
    <row r="423" spans="1:10" x14ac:dyDescent="0.75">
      <c r="A423" s="3" t="s">
        <v>414</v>
      </c>
      <c r="B423" s="3" t="s">
        <v>414</v>
      </c>
      <c r="C423" s="3" t="s">
        <v>415</v>
      </c>
      <c r="E423" s="4">
        <v>4000</v>
      </c>
      <c r="F423" s="3" t="s">
        <v>11</v>
      </c>
      <c r="G423" s="4">
        <v>44363.82</v>
      </c>
      <c r="I423" s="4">
        <f>SUM($F$5:$F423)-SUM($E$5:$E423)</f>
        <v>44363.819999999367</v>
      </c>
      <c r="J423" s="4">
        <f t="shared" si="6"/>
        <v>-6.3300831243395805E-10</v>
      </c>
    </row>
    <row r="424" spans="1:10" x14ac:dyDescent="0.75">
      <c r="A424" s="3" t="s">
        <v>414</v>
      </c>
      <c r="B424" s="3" t="s">
        <v>416</v>
      </c>
      <c r="C424" s="3" t="s">
        <v>30</v>
      </c>
      <c r="E424" s="3" t="s">
        <v>11</v>
      </c>
      <c r="F424" s="4">
        <v>3600.51</v>
      </c>
      <c r="G424" s="4">
        <v>47964.33</v>
      </c>
      <c r="I424" s="4">
        <f>SUM($F$5:$F424)-SUM($E$5:$E424)</f>
        <v>47964.329999999143</v>
      </c>
      <c r="J424" s="4">
        <f t="shared" si="6"/>
        <v>-8.5856299847364426E-10</v>
      </c>
    </row>
    <row r="425" spans="1:10" x14ac:dyDescent="0.75">
      <c r="A425" s="3" t="s">
        <v>416</v>
      </c>
      <c r="B425" s="3" t="s">
        <v>417</v>
      </c>
      <c r="C425" s="3" t="s">
        <v>30</v>
      </c>
      <c r="E425" s="3" t="s">
        <v>11</v>
      </c>
      <c r="F425" s="4">
        <v>7623.53</v>
      </c>
      <c r="G425" s="4">
        <v>55587.86</v>
      </c>
      <c r="I425" s="4">
        <f>SUM($F$5:$F425)-SUM($E$5:$E425)</f>
        <v>55587.859999999404</v>
      </c>
      <c r="J425" s="4">
        <f t="shared" si="6"/>
        <v>-5.9662852436304092E-10</v>
      </c>
    </row>
    <row r="426" spans="1:10" x14ac:dyDescent="0.75">
      <c r="A426" s="3" t="s">
        <v>417</v>
      </c>
      <c r="C426" s="3" t="s">
        <v>30</v>
      </c>
      <c r="E426" s="3" t="s">
        <v>11</v>
      </c>
      <c r="F426" s="3">
        <v>23953.98</v>
      </c>
      <c r="G426" s="3">
        <v>79541.84</v>
      </c>
      <c r="I426" s="4">
        <f>SUM($F$5:$F426)-SUM($E$5:$E426)</f>
        <v>79541.839999999851</v>
      </c>
      <c r="J426" s="4">
        <f t="shared" si="6"/>
        <v>-1.4551915228366852E-10</v>
      </c>
    </row>
    <row r="427" spans="1:10" x14ac:dyDescent="0.75">
      <c r="A427" s="5">
        <v>43564</v>
      </c>
      <c r="B427" s="5">
        <v>43564</v>
      </c>
      <c r="C427" s="3" t="s">
        <v>30</v>
      </c>
      <c r="E427" s="3" t="s">
        <v>11</v>
      </c>
      <c r="F427" s="3">
        <v>6229.75</v>
      </c>
      <c r="G427" s="3">
        <v>85771.59</v>
      </c>
      <c r="I427" s="4">
        <f>SUM($F$5:$F427)-SUM($E$5:$E427)</f>
        <v>85771.589999999851</v>
      </c>
      <c r="J427" s="4">
        <f t="shared" si="6"/>
        <v>-1.4551915228366852E-10</v>
      </c>
    </row>
    <row r="428" spans="1:10" x14ac:dyDescent="0.75">
      <c r="A428" s="5">
        <v>43594</v>
      </c>
      <c r="B428" s="5">
        <v>43594</v>
      </c>
      <c r="C428" s="3" t="s">
        <v>418</v>
      </c>
      <c r="E428" s="3">
        <v>11178.78</v>
      </c>
      <c r="F428" s="3" t="s">
        <v>11</v>
      </c>
      <c r="G428" s="3">
        <v>74592.81</v>
      </c>
      <c r="I428" s="4">
        <f>SUM($F$5:$F428)-SUM($E$5:$E428)</f>
        <v>74592.80999999959</v>
      </c>
      <c r="J428" s="4">
        <f t="shared" si="6"/>
        <v>-4.0745362639427185E-10</v>
      </c>
    </row>
    <row r="429" spans="1:10" x14ac:dyDescent="0.75">
      <c r="A429" s="5">
        <v>43594</v>
      </c>
      <c r="B429" s="5">
        <v>43594</v>
      </c>
      <c r="C429" s="3" t="s">
        <v>30</v>
      </c>
      <c r="E429" s="3" t="s">
        <v>11</v>
      </c>
      <c r="F429" s="3">
        <v>12331</v>
      </c>
      <c r="G429" s="3">
        <v>86923.81</v>
      </c>
      <c r="I429" s="4">
        <f>SUM($F$5:$F429)-SUM($E$5:$E429)</f>
        <v>86923.80999999959</v>
      </c>
      <c r="J429" s="4">
        <f t="shared" si="6"/>
        <v>-4.0745362639427185E-10</v>
      </c>
    </row>
    <row r="430" spans="1:10" x14ac:dyDescent="0.75">
      <c r="A430" s="5">
        <v>43625</v>
      </c>
      <c r="B430" s="5">
        <v>43625</v>
      </c>
      <c r="C430" s="3" t="s">
        <v>30</v>
      </c>
      <c r="E430" s="3" t="s">
        <v>11</v>
      </c>
      <c r="F430" s="3">
        <v>38508.379999999997</v>
      </c>
      <c r="G430" s="4">
        <v>125432.19</v>
      </c>
      <c r="I430" s="4">
        <f>SUM($F$5:$F430)-SUM($E$5:$E430)</f>
        <v>125432.18999999948</v>
      </c>
      <c r="J430" s="4">
        <f t="shared" si="6"/>
        <v>-5.2386894822120667E-10</v>
      </c>
    </row>
    <row r="431" spans="1:10" x14ac:dyDescent="0.75">
      <c r="A431" s="5">
        <v>43717</v>
      </c>
      <c r="B431" s="5">
        <v>43717</v>
      </c>
      <c r="C431" s="3" t="s">
        <v>30</v>
      </c>
      <c r="E431" s="4" t="s">
        <v>11</v>
      </c>
      <c r="F431" s="3">
        <v>158091.51</v>
      </c>
      <c r="G431" s="4">
        <v>283523.7</v>
      </c>
      <c r="I431" s="4">
        <f>SUM($F$5:$F431)-SUM($E$5:$E431)</f>
        <v>283523.69999999925</v>
      </c>
      <c r="J431" s="4">
        <f t="shared" si="6"/>
        <v>-7.5669959187507629E-10</v>
      </c>
    </row>
    <row r="432" spans="1:10" x14ac:dyDescent="0.75">
      <c r="A432" s="5">
        <v>43747</v>
      </c>
      <c r="B432" s="5">
        <v>43747</v>
      </c>
      <c r="C432" s="3" t="s">
        <v>30</v>
      </c>
      <c r="E432" s="4" t="s">
        <v>11</v>
      </c>
      <c r="F432" s="3">
        <v>28383.29</v>
      </c>
      <c r="G432" s="4">
        <v>311906.99</v>
      </c>
      <c r="I432" s="4">
        <f>SUM($F$5:$F432)-SUM($E$5:$E432)</f>
        <v>311906.98999999929</v>
      </c>
      <c r="J432" s="4">
        <f t="shared" si="6"/>
        <v>-6.9849193096160889E-10</v>
      </c>
    </row>
    <row r="433" spans="1:10" x14ac:dyDescent="0.75">
      <c r="A433" s="5">
        <v>43778</v>
      </c>
      <c r="B433" s="5">
        <v>43778</v>
      </c>
      <c r="C433" s="3" t="s">
        <v>30</v>
      </c>
      <c r="E433" s="4" t="s">
        <v>11</v>
      </c>
      <c r="F433" s="3">
        <v>36168.97</v>
      </c>
      <c r="G433" s="4">
        <v>348075.96</v>
      </c>
      <c r="I433" s="4">
        <f>SUM($F$5:$F433)-SUM($E$5:$E433)</f>
        <v>348075.95999999903</v>
      </c>
      <c r="J433" s="4">
        <f t="shared" si="6"/>
        <v>-9.8953023552894592E-10</v>
      </c>
    </row>
    <row r="434" spans="1:10" x14ac:dyDescent="0.75">
      <c r="A434" s="5">
        <v>43808</v>
      </c>
      <c r="B434" s="5">
        <v>43808</v>
      </c>
      <c r="C434" s="3" t="s">
        <v>30</v>
      </c>
      <c r="E434" s="4" t="s">
        <v>11</v>
      </c>
      <c r="F434" s="3">
        <v>99246.06</v>
      </c>
      <c r="G434" s="4">
        <v>447322.02</v>
      </c>
      <c r="I434" s="4">
        <f>SUM($F$5:$F434)-SUM($E$5:$E434)</f>
        <v>447322.01999999862</v>
      </c>
      <c r="J434" s="4">
        <f t="shared" si="6"/>
        <v>-1.3969838619232178E-9</v>
      </c>
    </row>
    <row r="435" spans="1:10" x14ac:dyDescent="0.75">
      <c r="A435" s="3" t="s">
        <v>419</v>
      </c>
      <c r="B435" s="3" t="s">
        <v>419</v>
      </c>
      <c r="C435" s="3" t="s">
        <v>420</v>
      </c>
      <c r="E435" s="3">
        <v>280000</v>
      </c>
      <c r="F435" s="4" t="s">
        <v>11</v>
      </c>
      <c r="G435" s="4">
        <v>167322.01999999999</v>
      </c>
      <c r="I435" s="4">
        <f>SUM($F$5:$F435)-SUM($E$5:$E435)</f>
        <v>167322.01999999862</v>
      </c>
      <c r="J435" s="4">
        <f t="shared" si="6"/>
        <v>-1.3678800314664841E-9</v>
      </c>
    </row>
    <row r="436" spans="1:10" x14ac:dyDescent="0.75">
      <c r="A436" s="3" t="s">
        <v>419</v>
      </c>
      <c r="B436" s="3" t="s">
        <v>419</v>
      </c>
      <c r="C436" s="3" t="s">
        <v>30</v>
      </c>
      <c r="E436" s="3" t="s">
        <v>11</v>
      </c>
      <c r="F436" s="4">
        <v>30898</v>
      </c>
      <c r="G436" s="4">
        <v>198220.02</v>
      </c>
      <c r="I436" s="4">
        <f>SUM($F$5:$F436)-SUM($E$5:$E436)</f>
        <v>198220.01999999862</v>
      </c>
      <c r="J436" s="4">
        <f t="shared" si="6"/>
        <v>-1.3678800314664841E-9</v>
      </c>
    </row>
    <row r="437" spans="1:10" x14ac:dyDescent="0.75">
      <c r="A437" s="3" t="s">
        <v>421</v>
      </c>
      <c r="B437" s="3" t="s">
        <v>421</v>
      </c>
      <c r="C437" s="3" t="s">
        <v>30</v>
      </c>
      <c r="E437" s="3" t="s">
        <v>11</v>
      </c>
      <c r="F437" s="4">
        <v>32313.51</v>
      </c>
      <c r="G437" s="4">
        <v>230533.53</v>
      </c>
      <c r="I437" s="4">
        <f>SUM($F$5:$F437)-SUM($E$5:$E437)</f>
        <v>230533.5299999984</v>
      </c>
      <c r="J437" s="4">
        <f t="shared" si="6"/>
        <v>-1.6007106751203537E-9</v>
      </c>
    </row>
    <row r="438" spans="1:10" x14ac:dyDescent="0.75">
      <c r="A438" s="3" t="s">
        <v>422</v>
      </c>
      <c r="B438" s="3" t="s">
        <v>422</v>
      </c>
      <c r="C438" s="3" t="s">
        <v>30</v>
      </c>
      <c r="E438" s="4" t="s">
        <v>11</v>
      </c>
      <c r="F438" s="3">
        <v>6347</v>
      </c>
      <c r="G438" s="4">
        <v>236880.53</v>
      </c>
      <c r="I438" s="4">
        <f>SUM($F$5:$F438)-SUM($E$5:$E438)</f>
        <v>236880.5299999984</v>
      </c>
      <c r="J438" s="4">
        <f t="shared" si="6"/>
        <v>-1.6007106751203537E-9</v>
      </c>
    </row>
    <row r="439" spans="1:10" x14ac:dyDescent="0.75">
      <c r="A439" s="3" t="s">
        <v>423</v>
      </c>
      <c r="B439" s="3" t="s">
        <v>423</v>
      </c>
      <c r="C439" s="3" t="s">
        <v>30</v>
      </c>
      <c r="E439" s="3" t="s">
        <v>11</v>
      </c>
      <c r="F439" s="3">
        <v>37460.230000000003</v>
      </c>
      <c r="G439" s="3">
        <v>274340.76</v>
      </c>
      <c r="I439" s="4">
        <f>SUM($F$5:$F439)-SUM($E$5:$E439)</f>
        <v>274340.75999999885</v>
      </c>
      <c r="J439" s="4">
        <f t="shared" si="6"/>
        <v>-1.1641532182693481E-9</v>
      </c>
    </row>
    <row r="440" spans="1:10" x14ac:dyDescent="0.75">
      <c r="A440" s="3" t="s">
        <v>424</v>
      </c>
      <c r="B440" s="3" t="s">
        <v>424</v>
      </c>
      <c r="C440" s="3" t="s">
        <v>30</v>
      </c>
      <c r="E440" s="3" t="s">
        <v>11</v>
      </c>
      <c r="F440" s="3">
        <v>44019.16</v>
      </c>
      <c r="G440" s="3">
        <v>318359.92</v>
      </c>
      <c r="I440" s="4">
        <f>SUM($F$5:$F440)-SUM($E$5:$E440)</f>
        <v>318359.91999999899</v>
      </c>
      <c r="J440" s="4">
        <f t="shared" si="6"/>
        <v>-9.8953023552894592E-10</v>
      </c>
    </row>
    <row r="441" spans="1:10" x14ac:dyDescent="0.75">
      <c r="A441" s="3" t="s">
        <v>425</v>
      </c>
      <c r="B441" s="3" t="s">
        <v>425</v>
      </c>
      <c r="C441" s="3" t="s">
        <v>426</v>
      </c>
      <c r="E441" s="3">
        <v>800</v>
      </c>
      <c r="F441" s="3" t="s">
        <v>11</v>
      </c>
      <c r="G441" s="3">
        <v>317559.92</v>
      </c>
      <c r="I441" s="4">
        <f>SUM($F$5:$F441)-SUM($E$5:$E441)</f>
        <v>317559.91999999899</v>
      </c>
      <c r="J441" s="4">
        <f t="shared" si="6"/>
        <v>-9.8953023552894592E-10</v>
      </c>
    </row>
    <row r="442" spans="1:10" x14ac:dyDescent="0.75">
      <c r="A442" s="5" t="s">
        <v>425</v>
      </c>
      <c r="B442" s="5" t="s">
        <v>425</v>
      </c>
      <c r="C442" s="3" t="s">
        <v>427</v>
      </c>
      <c r="E442" s="3">
        <v>200000</v>
      </c>
      <c r="F442" s="3" t="s">
        <v>11</v>
      </c>
      <c r="G442" s="3">
        <v>117559.92</v>
      </c>
      <c r="I442" s="4">
        <f>SUM($F$5:$F442)-SUM($E$5:$E442)</f>
        <v>117559.91999999899</v>
      </c>
      <c r="J442" s="4">
        <f t="shared" si="6"/>
        <v>-1.0040821507573128E-9</v>
      </c>
    </row>
    <row r="443" spans="1:10" x14ac:dyDescent="0.75">
      <c r="A443" s="5" t="s">
        <v>428</v>
      </c>
      <c r="B443" s="5" t="s">
        <v>428</v>
      </c>
      <c r="C443" s="3" t="s">
        <v>30</v>
      </c>
      <c r="E443" s="3" t="s">
        <v>11</v>
      </c>
      <c r="F443" s="3">
        <v>32778.800000000003</v>
      </c>
      <c r="G443" s="3">
        <v>150338.72</v>
      </c>
      <c r="I443" s="4">
        <f>SUM($F$5:$F443)-SUM($E$5:$E443)</f>
        <v>150338.71999999881</v>
      </c>
      <c r="J443" s="4">
        <f t="shared" si="6"/>
        <v>-1.1932570487260818E-9</v>
      </c>
    </row>
    <row r="444" spans="1:10" x14ac:dyDescent="0.75">
      <c r="A444" s="5" t="s">
        <v>429</v>
      </c>
      <c r="B444" s="5" t="s">
        <v>429</v>
      </c>
      <c r="C444" s="3" t="s">
        <v>30</v>
      </c>
      <c r="E444" s="3" t="s">
        <v>11</v>
      </c>
      <c r="F444" s="3">
        <v>1837</v>
      </c>
      <c r="G444" s="3">
        <v>152175.72</v>
      </c>
      <c r="I444" s="4">
        <f>SUM($F$5:$F444)-SUM($E$5:$E444)</f>
        <v>152175.71999999881</v>
      </c>
      <c r="J444" s="4">
        <f t="shared" si="6"/>
        <v>-1.1932570487260818E-9</v>
      </c>
    </row>
    <row r="445" spans="1:10" x14ac:dyDescent="0.75">
      <c r="A445" s="5" t="s">
        <v>430</v>
      </c>
      <c r="B445" s="5" t="s">
        <v>430</v>
      </c>
      <c r="C445" s="3" t="s">
        <v>30</v>
      </c>
      <c r="E445" s="3" t="s">
        <v>11</v>
      </c>
      <c r="F445" s="3">
        <v>21131.99</v>
      </c>
      <c r="G445" s="3">
        <v>173307.71</v>
      </c>
      <c r="I445" s="4">
        <f>SUM($F$5:$F445)-SUM($E$5:$E445)</f>
        <v>173307.70999999903</v>
      </c>
      <c r="J445" s="4">
        <f t="shared" si="6"/>
        <v>-9.6042640507221222E-10</v>
      </c>
    </row>
    <row r="446" spans="1:10" x14ac:dyDescent="0.75">
      <c r="A446" s="5" t="s">
        <v>431</v>
      </c>
      <c r="B446" s="5" t="s">
        <v>431</v>
      </c>
      <c r="C446" s="3" t="s">
        <v>432</v>
      </c>
      <c r="E446" s="3">
        <v>2000</v>
      </c>
      <c r="F446" s="3" t="s">
        <v>11</v>
      </c>
      <c r="G446" s="3">
        <v>171307.71</v>
      </c>
      <c r="I446" s="4">
        <f>SUM($F$5:$F446)-SUM($E$5:$E446)</f>
        <v>171307.70999999903</v>
      </c>
      <c r="J446" s="4">
        <f t="shared" si="6"/>
        <v>-9.6042640507221222E-10</v>
      </c>
    </row>
    <row r="447" spans="1:10" x14ac:dyDescent="0.75">
      <c r="A447" s="5" t="s">
        <v>431</v>
      </c>
      <c r="B447" s="5" t="s">
        <v>431</v>
      </c>
      <c r="C447" s="3" t="s">
        <v>433</v>
      </c>
      <c r="E447" s="3">
        <v>4537.3500000000004</v>
      </c>
      <c r="F447" s="3" t="s">
        <v>11</v>
      </c>
      <c r="G447" s="3">
        <v>166770.35999999999</v>
      </c>
      <c r="I447" s="4">
        <f>SUM($F$5:$F447)-SUM($E$5:$E447)</f>
        <v>166770.3599999994</v>
      </c>
      <c r="J447" s="4">
        <f t="shared" si="6"/>
        <v>-5.8207660913467407E-10</v>
      </c>
    </row>
    <row r="448" spans="1:10" x14ac:dyDescent="0.75">
      <c r="A448" s="5" t="s">
        <v>431</v>
      </c>
      <c r="B448" s="5" t="s">
        <v>431</v>
      </c>
      <c r="C448" s="3" t="s">
        <v>434</v>
      </c>
      <c r="E448" s="3">
        <v>5726.36</v>
      </c>
      <c r="F448" s="3" t="s">
        <v>11</v>
      </c>
      <c r="G448" s="3">
        <v>161044</v>
      </c>
      <c r="I448" s="4">
        <f>SUM($F$5:$F448)-SUM($E$5:$E448)</f>
        <v>161043.99999999907</v>
      </c>
      <c r="J448" s="4">
        <f t="shared" si="6"/>
        <v>-9.3132257461547852E-10</v>
      </c>
    </row>
    <row r="449" spans="1:10" x14ac:dyDescent="0.75">
      <c r="A449" s="5" t="s">
        <v>431</v>
      </c>
      <c r="B449" s="5" t="s">
        <v>431</v>
      </c>
      <c r="C449" s="3" t="s">
        <v>435</v>
      </c>
      <c r="E449" s="3">
        <v>5238</v>
      </c>
      <c r="F449" s="3" t="s">
        <v>11</v>
      </c>
      <c r="G449" s="3">
        <v>155806</v>
      </c>
      <c r="I449" s="4">
        <f>SUM($F$5:$F449)-SUM($E$5:$E449)</f>
        <v>155805.99999999907</v>
      </c>
      <c r="J449" s="4">
        <f t="shared" si="6"/>
        <v>-9.3132257461547852E-10</v>
      </c>
    </row>
    <row r="450" spans="1:10" x14ac:dyDescent="0.75">
      <c r="A450" s="3" t="s">
        <v>431</v>
      </c>
      <c r="B450" s="3" t="s">
        <v>431</v>
      </c>
      <c r="F450" s="3" t="s">
        <v>11</v>
      </c>
      <c r="G450" s="4">
        <v>155806</v>
      </c>
      <c r="I450" s="4">
        <f>SUM($F$5:$F450)-SUM($E$5:$E450)</f>
        <v>155805.99999999907</v>
      </c>
      <c r="J450" s="4">
        <f t="shared" si="6"/>
        <v>-9.3132257461547852E-10</v>
      </c>
    </row>
    <row r="451" spans="1:10" x14ac:dyDescent="0.75">
      <c r="A451" s="3" t="s">
        <v>436</v>
      </c>
      <c r="B451" s="3" t="s">
        <v>437</v>
      </c>
      <c r="C451" s="3" t="s">
        <v>30</v>
      </c>
      <c r="E451" s="3" t="s">
        <v>11</v>
      </c>
      <c r="F451" s="3">
        <v>19018</v>
      </c>
      <c r="G451" s="4">
        <v>174824</v>
      </c>
      <c r="I451" s="4">
        <f>SUM($F$5:$F451)-SUM($E$5:$E451)</f>
        <v>174823.99999999907</v>
      </c>
      <c r="J451" s="4">
        <f t="shared" si="6"/>
        <v>-9.3132257461547852E-10</v>
      </c>
    </row>
    <row r="452" spans="1:10" x14ac:dyDescent="0.75">
      <c r="A452" s="3" t="s">
        <v>438</v>
      </c>
      <c r="C452" s="3" t="s">
        <v>30</v>
      </c>
      <c r="E452" s="3" t="s">
        <v>11</v>
      </c>
      <c r="F452" s="3">
        <v>22880.22</v>
      </c>
      <c r="G452" s="4">
        <v>197704.22</v>
      </c>
      <c r="I452" s="4">
        <f>SUM($F$5:$F452)-SUM($E$5:$E452)</f>
        <v>197704.21999999881</v>
      </c>
      <c r="J452" s="4">
        <f t="shared" si="6"/>
        <v>-1.1932570487260818E-9</v>
      </c>
    </row>
    <row r="453" spans="1:10" x14ac:dyDescent="0.75">
      <c r="A453" s="5">
        <v>43475</v>
      </c>
      <c r="B453" s="5">
        <v>43475</v>
      </c>
      <c r="C453" s="3" t="s">
        <v>30</v>
      </c>
      <c r="E453" s="4" t="s">
        <v>11</v>
      </c>
      <c r="F453" s="3">
        <v>2708.5</v>
      </c>
      <c r="G453" s="4">
        <v>200412.72</v>
      </c>
      <c r="I453" s="4">
        <f>SUM($F$5:$F453)-SUM($E$5:$E453)</f>
        <v>200412.71999999881</v>
      </c>
      <c r="J453" s="4">
        <f t="shared" si="6"/>
        <v>-1.1932570487260818E-9</v>
      </c>
    </row>
    <row r="454" spans="1:10" x14ac:dyDescent="0.75">
      <c r="A454" s="5">
        <v>43534</v>
      </c>
      <c r="B454" s="5">
        <v>43534</v>
      </c>
      <c r="C454" s="3" t="s">
        <v>439</v>
      </c>
      <c r="E454" s="3">
        <v>667.3</v>
      </c>
      <c r="F454" s="4" t="s">
        <v>11</v>
      </c>
      <c r="G454" s="4">
        <v>199745.42</v>
      </c>
      <c r="I454" s="4">
        <f>SUM($F$5:$F454)-SUM($E$5:$E454)</f>
        <v>199745.41999999899</v>
      </c>
      <c r="J454" s="4">
        <f t="shared" ref="J454:J517" si="7">I454-G454</f>
        <v>-1.0186340659856796E-9</v>
      </c>
    </row>
    <row r="455" spans="1:10" x14ac:dyDescent="0.75">
      <c r="A455" s="5">
        <v>43534</v>
      </c>
      <c r="B455" s="5">
        <v>43534</v>
      </c>
      <c r="C455" s="3" t="s">
        <v>440</v>
      </c>
      <c r="E455" s="3">
        <v>8079.61</v>
      </c>
      <c r="F455" s="4" t="s">
        <v>11</v>
      </c>
      <c r="G455" s="4">
        <v>191665.81</v>
      </c>
      <c r="I455" s="4">
        <f>SUM($F$5:$F455)-SUM($E$5:$E455)</f>
        <v>191665.80999999866</v>
      </c>
      <c r="J455" s="4">
        <f t="shared" si="7"/>
        <v>-1.3387762010097504E-9</v>
      </c>
    </row>
    <row r="456" spans="1:10" x14ac:dyDescent="0.75">
      <c r="A456" s="5">
        <v>43534</v>
      </c>
      <c r="B456" s="5">
        <v>43534</v>
      </c>
      <c r="C456" s="3" t="s">
        <v>30</v>
      </c>
      <c r="E456" s="3" t="s">
        <v>11</v>
      </c>
      <c r="F456" s="3">
        <v>31236.799999999999</v>
      </c>
      <c r="G456" s="3">
        <v>222902.61</v>
      </c>
      <c r="I456" s="4">
        <f>SUM($F$5:$F456)-SUM($E$5:$E456)</f>
        <v>222902.60999999847</v>
      </c>
      <c r="J456" s="4">
        <f t="shared" si="7"/>
        <v>-1.5133991837501526E-9</v>
      </c>
    </row>
    <row r="457" spans="1:10" x14ac:dyDescent="0.75">
      <c r="A457" s="5">
        <v>43565</v>
      </c>
      <c r="B457" s="5">
        <v>43565</v>
      </c>
      <c r="C457" s="3" t="s">
        <v>30</v>
      </c>
      <c r="E457" s="3" t="s">
        <v>11</v>
      </c>
      <c r="F457" s="3">
        <v>51712.56</v>
      </c>
      <c r="G457" s="3">
        <v>274615.17</v>
      </c>
      <c r="I457" s="4">
        <f>SUM($F$5:$F457)-SUM($E$5:$E457)</f>
        <v>274615.16999999806</v>
      </c>
      <c r="J457" s="4">
        <f t="shared" si="7"/>
        <v>-1.9208528101444244E-9</v>
      </c>
    </row>
    <row r="458" spans="1:10" x14ac:dyDescent="0.75">
      <c r="A458" s="5">
        <v>43656</v>
      </c>
      <c r="B458" s="5">
        <v>43656</v>
      </c>
      <c r="C458" s="3" t="s">
        <v>441</v>
      </c>
      <c r="E458" s="3">
        <v>2892.24</v>
      </c>
      <c r="F458" s="3" t="s">
        <v>11</v>
      </c>
      <c r="G458" s="3">
        <v>271722.93</v>
      </c>
      <c r="I458" s="4">
        <f>SUM($F$5:$F458)-SUM($E$5:$E458)</f>
        <v>271722.92999999784</v>
      </c>
      <c r="J458" s="4">
        <f t="shared" si="7"/>
        <v>-2.1536834537982941E-9</v>
      </c>
    </row>
    <row r="459" spans="1:10" x14ac:dyDescent="0.75">
      <c r="A459" s="5">
        <v>43656</v>
      </c>
      <c r="B459" s="5">
        <v>43656</v>
      </c>
      <c r="C459" s="3" t="s">
        <v>442</v>
      </c>
      <c r="E459" s="3">
        <v>31104.39</v>
      </c>
      <c r="F459" s="3" t="s">
        <v>11</v>
      </c>
      <c r="G459" s="3">
        <v>240618.54</v>
      </c>
      <c r="I459" s="4">
        <f>SUM($F$5:$F459)-SUM($E$5:$E459)</f>
        <v>240618.53999999817</v>
      </c>
      <c r="J459" s="4">
        <f t="shared" si="7"/>
        <v>-1.8335413187742233E-9</v>
      </c>
    </row>
    <row r="460" spans="1:10" x14ac:dyDescent="0.75">
      <c r="A460" s="5">
        <v>43656</v>
      </c>
      <c r="B460" s="5">
        <v>43656</v>
      </c>
      <c r="C460" s="3" t="s">
        <v>443</v>
      </c>
      <c r="E460" s="3">
        <v>65985.8</v>
      </c>
      <c r="F460" s="3" t="s">
        <v>11</v>
      </c>
      <c r="G460" s="3">
        <v>174632.74</v>
      </c>
      <c r="I460" s="4">
        <f>SUM($F$5:$F460)-SUM($E$5:$E460)</f>
        <v>174632.73999999836</v>
      </c>
      <c r="J460" s="4">
        <f t="shared" si="7"/>
        <v>-1.6298145055770874E-9</v>
      </c>
    </row>
    <row r="461" spans="1:10" x14ac:dyDescent="0.75">
      <c r="A461" s="5">
        <v>43656</v>
      </c>
      <c r="B461" s="5">
        <v>43656</v>
      </c>
      <c r="C461" s="3" t="s">
        <v>30</v>
      </c>
      <c r="E461" s="3" t="s">
        <v>11</v>
      </c>
      <c r="F461" s="3">
        <v>65884.649999999994</v>
      </c>
      <c r="G461" s="3">
        <v>240517.39</v>
      </c>
      <c r="I461" s="4">
        <f>SUM($F$5:$F461)-SUM($E$5:$E461)</f>
        <v>240517.38999999873</v>
      </c>
      <c r="J461" s="4">
        <f t="shared" si="7"/>
        <v>-1.280568540096283E-9</v>
      </c>
    </row>
    <row r="462" spans="1:10" x14ac:dyDescent="0.75">
      <c r="A462" s="5">
        <v>43687</v>
      </c>
      <c r="B462" s="5">
        <v>43687</v>
      </c>
      <c r="C462" s="3" t="s">
        <v>30</v>
      </c>
      <c r="E462" s="3" t="s">
        <v>11</v>
      </c>
      <c r="F462" s="3">
        <v>12647.95</v>
      </c>
      <c r="G462" s="3">
        <v>253165.34</v>
      </c>
      <c r="I462" s="4">
        <f>SUM($F$5:$F462)-SUM($E$5:$E462)</f>
        <v>253165.33999999892</v>
      </c>
      <c r="J462" s="4">
        <f t="shared" si="7"/>
        <v>-1.076841726899147E-9</v>
      </c>
    </row>
    <row r="463" spans="1:10" x14ac:dyDescent="0.75">
      <c r="A463" s="5">
        <v>43718</v>
      </c>
      <c r="B463" s="5">
        <v>43718</v>
      </c>
      <c r="C463" s="3" t="s">
        <v>444</v>
      </c>
      <c r="E463" s="3">
        <v>1628</v>
      </c>
      <c r="F463" s="3" t="s">
        <v>11</v>
      </c>
      <c r="G463" s="3">
        <v>251537.34</v>
      </c>
      <c r="I463" s="4">
        <f>SUM($F$5:$F463)-SUM($E$5:$E463)</f>
        <v>251537.33999999892</v>
      </c>
      <c r="J463" s="4">
        <f t="shared" si="7"/>
        <v>-1.076841726899147E-9</v>
      </c>
    </row>
    <row r="464" spans="1:10" x14ac:dyDescent="0.75">
      <c r="A464" s="5">
        <v>43718</v>
      </c>
      <c r="B464" s="5">
        <v>43718</v>
      </c>
      <c r="C464" s="3" t="s">
        <v>30</v>
      </c>
      <c r="E464" s="3" t="s">
        <v>11</v>
      </c>
      <c r="F464" s="3">
        <v>14426.33</v>
      </c>
      <c r="G464" s="3">
        <v>265963.67</v>
      </c>
      <c r="I464" s="4">
        <f>SUM($F$5:$F464)-SUM($E$5:$E464)</f>
        <v>265963.66999999899</v>
      </c>
      <c r="J464" s="4">
        <f t="shared" si="7"/>
        <v>-9.8953023552894592E-10</v>
      </c>
    </row>
    <row r="465" spans="1:10" x14ac:dyDescent="0.75">
      <c r="A465" s="5">
        <v>43748</v>
      </c>
      <c r="B465" s="5">
        <v>43748</v>
      </c>
      <c r="C465" s="3" t="s">
        <v>445</v>
      </c>
      <c r="E465" s="3">
        <v>3414.96</v>
      </c>
      <c r="F465" s="3" t="s">
        <v>11</v>
      </c>
      <c r="G465" s="3">
        <v>262548.71000000002</v>
      </c>
      <c r="I465" s="4">
        <f>SUM($F$5:$F465)-SUM($E$5:$E465)</f>
        <v>262548.70999999903</v>
      </c>
      <c r="J465" s="4">
        <f t="shared" si="7"/>
        <v>-9.8953023552894592E-10</v>
      </c>
    </row>
    <row r="466" spans="1:10" x14ac:dyDescent="0.75">
      <c r="A466" s="5">
        <v>43748</v>
      </c>
      <c r="B466" s="5">
        <v>43748</v>
      </c>
      <c r="C466" s="3" t="s">
        <v>446</v>
      </c>
      <c r="E466" s="3">
        <v>7432.04</v>
      </c>
      <c r="F466" s="3" t="s">
        <v>11</v>
      </c>
      <c r="G466" s="3">
        <v>255116.67</v>
      </c>
      <c r="I466" s="4">
        <f>SUM($F$5:$F466)-SUM($E$5:$E466)</f>
        <v>255116.66999999899</v>
      </c>
      <c r="J466" s="4">
        <f t="shared" si="7"/>
        <v>-1.0186340659856796E-9</v>
      </c>
    </row>
    <row r="467" spans="1:10" x14ac:dyDescent="0.75">
      <c r="A467" s="5">
        <v>43748</v>
      </c>
      <c r="B467" s="5">
        <v>43748</v>
      </c>
      <c r="C467" s="3" t="s">
        <v>30</v>
      </c>
      <c r="E467" s="3" t="s">
        <v>11</v>
      </c>
      <c r="F467" s="3">
        <v>63531.61</v>
      </c>
      <c r="G467" s="3">
        <v>318648.28000000003</v>
      </c>
      <c r="I467" s="4">
        <f>SUM($F$5:$F467)-SUM($E$5:$E467)</f>
        <v>318648.27999999933</v>
      </c>
      <c r="J467" s="4">
        <f t="shared" si="7"/>
        <v>-6.9849193096160889E-10</v>
      </c>
    </row>
    <row r="468" spans="1:10" x14ac:dyDescent="0.75">
      <c r="A468" s="5">
        <v>43779</v>
      </c>
      <c r="B468" s="5">
        <v>43779</v>
      </c>
      <c r="C468" s="3" t="s">
        <v>447</v>
      </c>
      <c r="E468" s="3">
        <v>500</v>
      </c>
      <c r="F468" s="3" t="s">
        <v>11</v>
      </c>
      <c r="G468" s="3">
        <v>318148.28000000003</v>
      </c>
      <c r="I468" s="4">
        <f>SUM($F$5:$F468)-SUM($E$5:$E468)</f>
        <v>318148.27999999933</v>
      </c>
      <c r="J468" s="4">
        <f t="shared" si="7"/>
        <v>-6.9849193096160889E-10</v>
      </c>
    </row>
    <row r="469" spans="1:10" x14ac:dyDescent="0.75">
      <c r="A469" s="5">
        <v>43779</v>
      </c>
      <c r="B469" s="5">
        <v>43779</v>
      </c>
      <c r="C469" s="3" t="s">
        <v>30</v>
      </c>
      <c r="E469" s="3" t="s">
        <v>11</v>
      </c>
      <c r="F469" s="3">
        <v>387482.71</v>
      </c>
      <c r="G469" s="3">
        <v>705630.99</v>
      </c>
      <c r="I469" s="4">
        <f>SUM($F$5:$F469)-SUM($E$5:$E469)</f>
        <v>705630.98999999929</v>
      </c>
      <c r="J469" s="4">
        <f t="shared" si="7"/>
        <v>0</v>
      </c>
    </row>
    <row r="470" spans="1:10" x14ac:dyDescent="0.75">
      <c r="A470" s="3" t="s">
        <v>448</v>
      </c>
      <c r="B470" s="3" t="s">
        <v>448</v>
      </c>
      <c r="C470" s="3" t="s">
        <v>449</v>
      </c>
      <c r="E470" s="3">
        <v>17390</v>
      </c>
      <c r="F470" s="3" t="s">
        <v>11</v>
      </c>
      <c r="G470" s="3">
        <v>688240.99</v>
      </c>
      <c r="I470" s="4">
        <f>SUM($F$5:$F470)-SUM($E$5:$E470)</f>
        <v>688240.98999999929</v>
      </c>
      <c r="J470" s="4">
        <f t="shared" si="7"/>
        <v>0</v>
      </c>
    </row>
    <row r="471" spans="1:10" x14ac:dyDescent="0.75">
      <c r="A471" s="3" t="s">
        <v>448</v>
      </c>
      <c r="B471" s="3" t="s">
        <v>448</v>
      </c>
      <c r="C471" s="3" t="s">
        <v>30</v>
      </c>
      <c r="E471" s="3" t="s">
        <v>11</v>
      </c>
      <c r="F471" s="3">
        <v>11790.19</v>
      </c>
      <c r="G471" s="3">
        <v>700031.18</v>
      </c>
      <c r="I471" s="4">
        <f>SUM($F$5:$F471)-SUM($E$5:$E471)</f>
        <v>700031.1799999997</v>
      </c>
      <c r="J471" s="4">
        <f t="shared" si="7"/>
        <v>0</v>
      </c>
    </row>
    <row r="472" spans="1:10" x14ac:dyDescent="0.75">
      <c r="A472" s="3" t="s">
        <v>450</v>
      </c>
      <c r="B472" s="3" t="s">
        <v>450</v>
      </c>
      <c r="C472" s="3" t="s">
        <v>30</v>
      </c>
      <c r="E472" s="3" t="s">
        <v>11</v>
      </c>
      <c r="F472" s="3">
        <v>13057</v>
      </c>
      <c r="G472" s="3">
        <v>713088.18</v>
      </c>
      <c r="I472" s="4">
        <f>SUM($F$5:$F472)-SUM($E$5:$E472)</f>
        <v>713088.1799999997</v>
      </c>
      <c r="J472" s="4">
        <f t="shared" si="7"/>
        <v>0</v>
      </c>
    </row>
    <row r="473" spans="1:10" x14ac:dyDescent="0.75">
      <c r="A473" s="3" t="s">
        <v>451</v>
      </c>
      <c r="B473" s="3" t="s">
        <v>451</v>
      </c>
      <c r="C473" s="3" t="s">
        <v>30</v>
      </c>
      <c r="E473" s="3" t="s">
        <v>11</v>
      </c>
      <c r="F473" s="3">
        <v>15301.69</v>
      </c>
      <c r="G473" s="3">
        <v>728389.87</v>
      </c>
      <c r="I473" s="4">
        <f>SUM($F$5:$F473)-SUM($E$5:$E473)</f>
        <v>728389.87000000011</v>
      </c>
      <c r="J473" s="4">
        <f t="shared" si="7"/>
        <v>0</v>
      </c>
    </row>
    <row r="474" spans="1:10" x14ac:dyDescent="0.75">
      <c r="A474" s="3" t="s">
        <v>452</v>
      </c>
      <c r="B474" s="3" t="s">
        <v>452</v>
      </c>
      <c r="C474" s="3" t="s">
        <v>453</v>
      </c>
      <c r="E474" s="3">
        <v>14333.53</v>
      </c>
      <c r="F474" s="3" t="s">
        <v>11</v>
      </c>
      <c r="G474" s="3">
        <v>714056.34</v>
      </c>
      <c r="I474" s="4">
        <f>SUM($F$5:$F474)-SUM($E$5:$E474)</f>
        <v>714056.33999999985</v>
      </c>
      <c r="J474" s="4">
        <f t="shared" si="7"/>
        <v>0</v>
      </c>
    </row>
    <row r="475" spans="1:10" x14ac:dyDescent="0.75">
      <c r="A475" s="3" t="s">
        <v>452</v>
      </c>
      <c r="B475" s="3" t="s">
        <v>452</v>
      </c>
      <c r="C475" s="3" t="s">
        <v>30</v>
      </c>
      <c r="E475" s="3" t="s">
        <v>11</v>
      </c>
      <c r="F475" s="3">
        <v>20936.419999999998</v>
      </c>
      <c r="G475" s="3">
        <v>734992.76</v>
      </c>
      <c r="I475" s="4">
        <f>SUM($F$5:$F475)-SUM($E$5:$E475)</f>
        <v>734992.75999999978</v>
      </c>
      <c r="J475" s="4">
        <f t="shared" si="7"/>
        <v>0</v>
      </c>
    </row>
    <row r="476" spans="1:10" x14ac:dyDescent="0.75">
      <c r="A476" s="3" t="s">
        <v>454</v>
      </c>
      <c r="B476" s="3" t="s">
        <v>454</v>
      </c>
      <c r="C476" s="3" t="s">
        <v>455</v>
      </c>
      <c r="E476" s="3">
        <v>2666</v>
      </c>
      <c r="F476" s="3" t="s">
        <v>11</v>
      </c>
      <c r="G476" s="3">
        <v>732326.76</v>
      </c>
      <c r="I476" s="4">
        <f>SUM($F$5:$F476)-SUM($E$5:$E476)</f>
        <v>732326.75999999978</v>
      </c>
      <c r="J476" s="4">
        <f t="shared" si="7"/>
        <v>0</v>
      </c>
    </row>
    <row r="477" spans="1:10" x14ac:dyDescent="0.75">
      <c r="A477" s="3" t="s">
        <v>454</v>
      </c>
      <c r="B477" s="3" t="s">
        <v>454</v>
      </c>
      <c r="C477" s="3" t="s">
        <v>456</v>
      </c>
      <c r="E477" s="3">
        <v>1576.25</v>
      </c>
      <c r="F477" s="3" t="s">
        <v>11</v>
      </c>
      <c r="G477" s="3">
        <v>730750.51</v>
      </c>
      <c r="I477" s="4">
        <f>SUM($F$5:$F477)-SUM($E$5:$E477)</f>
        <v>730750.50999999978</v>
      </c>
      <c r="J477" s="4">
        <f t="shared" si="7"/>
        <v>0</v>
      </c>
    </row>
    <row r="478" spans="1:10" x14ac:dyDescent="0.75">
      <c r="A478" s="3" t="s">
        <v>454</v>
      </c>
      <c r="B478" s="3" t="s">
        <v>454</v>
      </c>
      <c r="C478" s="3" t="s">
        <v>457</v>
      </c>
      <c r="E478" s="3">
        <v>22701.14</v>
      </c>
      <c r="F478" s="3" t="s">
        <v>11</v>
      </c>
      <c r="G478" s="3">
        <v>708049.37</v>
      </c>
      <c r="I478" s="4">
        <f>SUM($F$5:$F478)-SUM($E$5:$E478)</f>
        <v>708049.37000000011</v>
      </c>
      <c r="J478" s="4">
        <f t="shared" si="7"/>
        <v>0</v>
      </c>
    </row>
    <row r="479" spans="1:10" x14ac:dyDescent="0.75">
      <c r="A479" s="3" t="s">
        <v>454</v>
      </c>
      <c r="B479" s="3" t="s">
        <v>454</v>
      </c>
      <c r="C479" s="3" t="s">
        <v>458</v>
      </c>
      <c r="E479" s="3">
        <v>32199.56</v>
      </c>
      <c r="F479" s="3" t="s">
        <v>11</v>
      </c>
      <c r="G479" s="3">
        <v>675849.81</v>
      </c>
      <c r="I479" s="4">
        <f>SUM($F$5:$F479)-SUM($E$5:$E479)</f>
        <v>675849.81000000052</v>
      </c>
      <c r="J479" s="4">
        <f t="shared" si="7"/>
        <v>0</v>
      </c>
    </row>
    <row r="480" spans="1:10" x14ac:dyDescent="0.75">
      <c r="A480" s="3" t="s">
        <v>454</v>
      </c>
      <c r="B480" s="3" t="s">
        <v>454</v>
      </c>
      <c r="C480" s="3" t="s">
        <v>30</v>
      </c>
      <c r="E480" s="3" t="s">
        <v>11</v>
      </c>
      <c r="F480" s="3">
        <v>32658.98</v>
      </c>
      <c r="G480" s="3">
        <v>708508.79</v>
      </c>
      <c r="I480" s="4">
        <f>SUM($F$5:$F480)-SUM($E$5:$E480)</f>
        <v>708508.79000000097</v>
      </c>
      <c r="J480" s="4">
        <f t="shared" si="7"/>
        <v>9.3132257461547852E-10</v>
      </c>
    </row>
    <row r="481" spans="1:10" x14ac:dyDescent="0.75">
      <c r="A481" s="3" t="s">
        <v>459</v>
      </c>
      <c r="B481" s="3" t="s">
        <v>459</v>
      </c>
      <c r="C481" s="3" t="s">
        <v>460</v>
      </c>
      <c r="E481" s="3">
        <v>640.20000000000005</v>
      </c>
      <c r="F481" s="3" t="s">
        <v>11</v>
      </c>
      <c r="G481" s="3">
        <v>707868.59</v>
      </c>
      <c r="I481" s="4">
        <f>SUM($F$5:$F481)-SUM($E$5:$E481)</f>
        <v>707868.59000000078</v>
      </c>
      <c r="J481" s="4">
        <f t="shared" si="7"/>
        <v>0</v>
      </c>
    </row>
    <row r="482" spans="1:10" x14ac:dyDescent="0.75">
      <c r="A482" s="3" t="s">
        <v>459</v>
      </c>
      <c r="B482" s="3" t="s">
        <v>459</v>
      </c>
      <c r="C482" s="3" t="s">
        <v>461</v>
      </c>
      <c r="E482" s="3">
        <v>4156.26</v>
      </c>
      <c r="F482" s="3" t="s">
        <v>11</v>
      </c>
      <c r="G482" s="4">
        <v>703712.33</v>
      </c>
      <c r="I482" s="4">
        <f>SUM($F$5:$F482)-SUM($E$5:$E482)</f>
        <v>703712.33000000101</v>
      </c>
      <c r="J482" s="4">
        <f t="shared" si="7"/>
        <v>1.0477378964424133E-9</v>
      </c>
    </row>
    <row r="483" spans="1:10" x14ac:dyDescent="0.75">
      <c r="A483" s="3" t="s">
        <v>459</v>
      </c>
      <c r="B483" s="3" t="s">
        <v>459</v>
      </c>
      <c r="C483" s="3" t="s">
        <v>30</v>
      </c>
      <c r="E483" s="3" t="s">
        <v>11</v>
      </c>
      <c r="F483" s="3">
        <v>2528.6</v>
      </c>
      <c r="G483" s="4">
        <v>706240.93</v>
      </c>
      <c r="I483" s="4">
        <f>SUM($F$5:$F483)-SUM($E$5:$E483)</f>
        <v>706240.93000000063</v>
      </c>
      <c r="J483" s="4">
        <f t="shared" si="7"/>
        <v>0</v>
      </c>
    </row>
    <row r="484" spans="1:10" x14ac:dyDescent="0.75">
      <c r="A484" s="3" t="s">
        <v>462</v>
      </c>
      <c r="B484" s="3" t="s">
        <v>462</v>
      </c>
      <c r="C484" s="3" t="s">
        <v>463</v>
      </c>
      <c r="E484" s="3">
        <v>174.6</v>
      </c>
      <c r="F484" s="3" t="s">
        <v>11</v>
      </c>
      <c r="G484" s="3">
        <v>706066.33</v>
      </c>
      <c r="I484" s="4">
        <f>SUM($F$5:$F484)-SUM($E$5:$E484)</f>
        <v>706066.33000000101</v>
      </c>
      <c r="J484" s="4">
        <f t="shared" si="7"/>
        <v>1.0477378964424133E-9</v>
      </c>
    </row>
    <row r="485" spans="1:10" x14ac:dyDescent="0.75">
      <c r="A485" s="3" t="s">
        <v>462</v>
      </c>
      <c r="B485" s="3" t="s">
        <v>462</v>
      </c>
      <c r="C485" s="3" t="s">
        <v>464</v>
      </c>
      <c r="E485" s="3">
        <v>3388.47</v>
      </c>
      <c r="F485" s="3" t="s">
        <v>11</v>
      </c>
      <c r="G485" s="3">
        <v>702677.86</v>
      </c>
      <c r="I485" s="4">
        <f>SUM($F$5:$F485)-SUM($E$5:$E485)</f>
        <v>702677.86000000127</v>
      </c>
      <c r="J485" s="4">
        <f t="shared" si="7"/>
        <v>1.280568540096283E-9</v>
      </c>
    </row>
    <row r="486" spans="1:10" x14ac:dyDescent="0.75">
      <c r="A486" s="3" t="s">
        <v>462</v>
      </c>
      <c r="B486" s="3" t="s">
        <v>462</v>
      </c>
      <c r="C486" s="3" t="s">
        <v>465</v>
      </c>
      <c r="E486" s="3">
        <v>6200</v>
      </c>
      <c r="F486" s="3" t="s">
        <v>11</v>
      </c>
      <c r="G486" s="3">
        <v>696477.86</v>
      </c>
      <c r="I486" s="4">
        <f>SUM($F$5:$F486)-SUM($E$5:$E486)</f>
        <v>696477.86000000127</v>
      </c>
      <c r="J486" s="4">
        <f t="shared" si="7"/>
        <v>1.280568540096283E-9</v>
      </c>
    </row>
    <row r="487" spans="1:10" x14ac:dyDescent="0.75">
      <c r="A487" s="5" t="s">
        <v>462</v>
      </c>
      <c r="B487" s="5" t="s">
        <v>462</v>
      </c>
      <c r="C487" s="3" t="s">
        <v>466</v>
      </c>
      <c r="E487" s="3">
        <v>16205</v>
      </c>
      <c r="F487" s="3" t="s">
        <v>11</v>
      </c>
      <c r="G487" s="3">
        <v>680272.86</v>
      </c>
      <c r="I487" s="4">
        <f>SUM($F$5:$F487)-SUM($E$5:$E487)</f>
        <v>680272.86000000127</v>
      </c>
      <c r="J487" s="4">
        <f t="shared" si="7"/>
        <v>1.280568540096283E-9</v>
      </c>
    </row>
    <row r="488" spans="1:10" x14ac:dyDescent="0.75">
      <c r="A488" s="5" t="s">
        <v>462</v>
      </c>
      <c r="B488" s="5" t="s">
        <v>462</v>
      </c>
      <c r="C488" s="3" t="s">
        <v>30</v>
      </c>
      <c r="E488" s="3" t="s">
        <v>11</v>
      </c>
      <c r="F488" s="3">
        <v>4334.55</v>
      </c>
      <c r="G488" s="3">
        <v>684607.41</v>
      </c>
      <c r="I488" s="4">
        <f>SUM($F$5:$F488)-SUM($E$5:$E488)</f>
        <v>684607.41000000108</v>
      </c>
      <c r="J488" s="4">
        <f t="shared" si="7"/>
        <v>1.0477378964424133E-9</v>
      </c>
    </row>
    <row r="489" spans="1:10" x14ac:dyDescent="0.75">
      <c r="A489" s="5" t="s">
        <v>467</v>
      </c>
      <c r="B489" s="5" t="s">
        <v>467</v>
      </c>
      <c r="C489" s="3" t="s">
        <v>468</v>
      </c>
      <c r="E489" s="3">
        <v>20849.47</v>
      </c>
      <c r="F489" s="3" t="s">
        <v>11</v>
      </c>
      <c r="G489" s="3">
        <v>663757.93999999994</v>
      </c>
      <c r="I489" s="4">
        <f>SUM($F$5:$F489)-SUM($E$5:$E489)</f>
        <v>663757.94000000134</v>
      </c>
      <c r="J489" s="4">
        <f t="shared" si="7"/>
        <v>1.3969838619232178E-9</v>
      </c>
    </row>
    <row r="490" spans="1:10" x14ac:dyDescent="0.75">
      <c r="A490" s="5" t="s">
        <v>467</v>
      </c>
      <c r="B490" s="5" t="s">
        <v>467</v>
      </c>
      <c r="C490" s="3" t="s">
        <v>30</v>
      </c>
      <c r="E490" s="3" t="s">
        <v>11</v>
      </c>
      <c r="F490" s="3">
        <v>1501.31</v>
      </c>
      <c r="G490" s="3">
        <v>665259.25</v>
      </c>
      <c r="I490" s="4">
        <f>SUM($F$5:$F490)-SUM($E$5:$E490)</f>
        <v>665259.25000000093</v>
      </c>
      <c r="J490" s="4">
        <f t="shared" si="7"/>
        <v>9.3132257461547852E-10</v>
      </c>
    </row>
    <row r="491" spans="1:10" x14ac:dyDescent="0.75">
      <c r="A491" s="5" t="s">
        <v>469</v>
      </c>
      <c r="B491" s="5" t="s">
        <v>469</v>
      </c>
      <c r="C491" s="3" t="s">
        <v>470</v>
      </c>
      <c r="E491" s="3">
        <v>9271.94</v>
      </c>
      <c r="F491" s="3" t="s">
        <v>11</v>
      </c>
      <c r="G491" s="3">
        <v>655987.31000000006</v>
      </c>
      <c r="I491" s="4">
        <f>SUM($F$5:$F491)-SUM($E$5:$E491)</f>
        <v>655987.31000000052</v>
      </c>
      <c r="J491" s="4">
        <f t="shared" si="7"/>
        <v>0</v>
      </c>
    </row>
    <row r="492" spans="1:10" x14ac:dyDescent="0.75">
      <c r="A492" s="5" t="s">
        <v>471</v>
      </c>
      <c r="B492" s="5" t="s">
        <v>471</v>
      </c>
      <c r="C492" s="3" t="s">
        <v>472</v>
      </c>
      <c r="E492" s="3">
        <v>2220</v>
      </c>
      <c r="F492" s="3" t="s">
        <v>11</v>
      </c>
      <c r="G492" s="3">
        <v>653767.31000000006</v>
      </c>
      <c r="I492" s="4">
        <f>SUM($F$5:$F492)-SUM($E$5:$E492)</f>
        <v>653767.31000000052</v>
      </c>
      <c r="J492" s="4">
        <f t="shared" si="7"/>
        <v>0</v>
      </c>
    </row>
    <row r="493" spans="1:10" x14ac:dyDescent="0.75">
      <c r="A493" s="5" t="s">
        <v>471</v>
      </c>
      <c r="B493" s="5" t="s">
        <v>471</v>
      </c>
      <c r="C493" s="3" t="s">
        <v>473</v>
      </c>
      <c r="E493" s="3">
        <v>1</v>
      </c>
      <c r="F493" s="3" t="s">
        <v>11</v>
      </c>
      <c r="G493" s="3">
        <v>653766.31000000006</v>
      </c>
      <c r="I493" s="4">
        <f>SUM($F$5:$F493)-SUM($E$5:$E493)</f>
        <v>653766.31000000052</v>
      </c>
      <c r="J493" s="4">
        <f t="shared" si="7"/>
        <v>0</v>
      </c>
    </row>
    <row r="494" spans="1:10" x14ac:dyDescent="0.75">
      <c r="A494" s="5" t="s">
        <v>474</v>
      </c>
      <c r="B494" s="5" t="s">
        <v>474</v>
      </c>
      <c r="C494" s="3" t="s">
        <v>475</v>
      </c>
      <c r="E494" s="3">
        <v>1753.76</v>
      </c>
      <c r="F494" s="3" t="s">
        <v>11</v>
      </c>
      <c r="G494" s="3">
        <v>652012.55000000005</v>
      </c>
      <c r="I494" s="4">
        <f>SUM($F$5:$F494)-SUM($E$5:$E494)</f>
        <v>652012.55000000075</v>
      </c>
      <c r="J494" s="4">
        <f t="shared" si="7"/>
        <v>0</v>
      </c>
    </row>
    <row r="495" spans="1:10" x14ac:dyDescent="0.75">
      <c r="A495" s="5" t="s">
        <v>474</v>
      </c>
      <c r="B495" s="5" t="s">
        <v>474</v>
      </c>
      <c r="C495" s="3" t="s">
        <v>476</v>
      </c>
      <c r="E495" s="3">
        <v>2614.15</v>
      </c>
      <c r="F495" s="3" t="s">
        <v>11</v>
      </c>
      <c r="G495" s="3">
        <v>649398.4</v>
      </c>
      <c r="I495" s="4">
        <f>SUM($F$5:$F495)-SUM($E$5:$E495)</f>
        <v>649398.40000000037</v>
      </c>
      <c r="J495" s="4">
        <f t="shared" si="7"/>
        <v>0</v>
      </c>
    </row>
    <row r="496" spans="1:10" x14ac:dyDescent="0.75">
      <c r="A496" s="5" t="s">
        <v>474</v>
      </c>
      <c r="B496" s="5" t="s">
        <v>474</v>
      </c>
      <c r="C496" s="3" t="s">
        <v>477</v>
      </c>
      <c r="E496" s="3">
        <v>25035.91</v>
      </c>
      <c r="F496" s="3" t="s">
        <v>11</v>
      </c>
      <c r="G496" s="3">
        <v>624362.49</v>
      </c>
      <c r="I496" s="4">
        <f>SUM($F$5:$F496)-SUM($E$5:$E496)</f>
        <v>624362.49000000022</v>
      </c>
      <c r="J496" s="4">
        <f t="shared" si="7"/>
        <v>0</v>
      </c>
    </row>
    <row r="497" spans="1:10" x14ac:dyDescent="0.75">
      <c r="A497" s="5" t="s">
        <v>474</v>
      </c>
      <c r="B497" s="5" t="s">
        <v>474</v>
      </c>
      <c r="C497" s="3" t="s">
        <v>478</v>
      </c>
      <c r="E497" s="3">
        <v>250000</v>
      </c>
      <c r="F497" s="3" t="s">
        <v>11</v>
      </c>
      <c r="G497" s="3">
        <v>374362.49</v>
      </c>
      <c r="I497" s="4">
        <f>SUM($F$5:$F497)-SUM($E$5:$E497)</f>
        <v>374362.49000000022</v>
      </c>
      <c r="J497" s="4">
        <f t="shared" si="7"/>
        <v>0</v>
      </c>
    </row>
    <row r="498" spans="1:10" x14ac:dyDescent="0.75">
      <c r="A498" s="5" t="s">
        <v>474</v>
      </c>
      <c r="B498" s="5" t="s">
        <v>474</v>
      </c>
      <c r="C498" s="3" t="s">
        <v>30</v>
      </c>
      <c r="E498" s="3" t="s">
        <v>11</v>
      </c>
      <c r="F498" s="3">
        <v>67902.3</v>
      </c>
      <c r="G498" s="3">
        <v>442264.79</v>
      </c>
      <c r="I498" s="4">
        <f>SUM($F$5:$F498)-SUM($E$5:$E498)</f>
        <v>442264.79000000004</v>
      </c>
      <c r="J498" s="4">
        <f t="shared" si="7"/>
        <v>0</v>
      </c>
    </row>
    <row r="499" spans="1:10" x14ac:dyDescent="0.75">
      <c r="A499" s="5" t="s">
        <v>479</v>
      </c>
      <c r="B499" s="3" t="s">
        <v>479</v>
      </c>
      <c r="C499" s="3" t="s">
        <v>480</v>
      </c>
      <c r="E499" s="3">
        <v>9728.7800000000007</v>
      </c>
      <c r="F499" s="3" t="s">
        <v>11</v>
      </c>
      <c r="G499" s="3">
        <v>432536.01</v>
      </c>
      <c r="I499" s="4">
        <f>SUM($F$5:$F499)-SUM($E$5:$E499)</f>
        <v>432536.00999999978</v>
      </c>
      <c r="J499" s="4">
        <f t="shared" si="7"/>
        <v>0</v>
      </c>
    </row>
    <row r="500" spans="1:10" x14ac:dyDescent="0.75">
      <c r="A500" s="5" t="s">
        <v>479</v>
      </c>
      <c r="B500" s="5" t="s">
        <v>479</v>
      </c>
      <c r="C500" s="3" t="s">
        <v>481</v>
      </c>
      <c r="E500" s="3">
        <v>16650</v>
      </c>
      <c r="F500" s="3" t="s">
        <v>11</v>
      </c>
      <c r="G500" s="3">
        <v>415886.01</v>
      </c>
      <c r="I500" s="4">
        <f>SUM($F$5:$F500)-SUM($E$5:$E500)</f>
        <v>415886.00999999978</v>
      </c>
      <c r="J500" s="4">
        <f t="shared" si="7"/>
        <v>0</v>
      </c>
    </row>
    <row r="501" spans="1:10" x14ac:dyDescent="0.75">
      <c r="A501" s="5" t="s">
        <v>479</v>
      </c>
      <c r="B501" s="5" t="s">
        <v>479</v>
      </c>
      <c r="C501" s="3" t="s">
        <v>482</v>
      </c>
      <c r="E501" s="3">
        <v>19381.07</v>
      </c>
      <c r="F501" s="3" t="s">
        <v>11</v>
      </c>
      <c r="G501" s="3">
        <v>396504.94</v>
      </c>
      <c r="I501" s="4">
        <f>SUM($F$5:$F501)-SUM($E$5:$E501)</f>
        <v>396504.93999999948</v>
      </c>
      <c r="J501" s="4">
        <f t="shared" si="7"/>
        <v>-5.2386894822120667E-10</v>
      </c>
    </row>
    <row r="502" spans="1:10" x14ac:dyDescent="0.75">
      <c r="A502" s="5" t="s">
        <v>479</v>
      </c>
      <c r="B502" s="5" t="s">
        <v>479</v>
      </c>
      <c r="C502" s="3" t="s">
        <v>483</v>
      </c>
      <c r="E502" s="3">
        <v>30261.45</v>
      </c>
      <c r="F502" s="3" t="s">
        <v>11</v>
      </c>
      <c r="G502" s="3">
        <v>366243.49</v>
      </c>
      <c r="I502" s="4">
        <f>SUM($F$5:$F502)-SUM($E$5:$E502)</f>
        <v>366243.48999999929</v>
      </c>
      <c r="J502" s="4">
        <f t="shared" si="7"/>
        <v>-6.9849193096160889E-10</v>
      </c>
    </row>
    <row r="503" spans="1:10" x14ac:dyDescent="0.75">
      <c r="A503" s="5" t="s">
        <v>479</v>
      </c>
      <c r="B503" s="5" t="s">
        <v>479</v>
      </c>
      <c r="C503" s="3" t="s">
        <v>30</v>
      </c>
      <c r="E503" s="3" t="s">
        <v>11</v>
      </c>
      <c r="F503" s="3">
        <v>145095.47</v>
      </c>
      <c r="G503" s="3">
        <v>511338.96</v>
      </c>
      <c r="I503" s="4">
        <f>SUM($F$5:$F503)-SUM($E$5:$E503)</f>
        <v>511338.95999999903</v>
      </c>
      <c r="J503" s="4">
        <f t="shared" si="7"/>
        <v>-9.8953023552894592E-10</v>
      </c>
    </row>
    <row r="504" spans="1:10" x14ac:dyDescent="0.75">
      <c r="A504" s="5" t="s">
        <v>484</v>
      </c>
      <c r="B504" s="5" t="s">
        <v>484</v>
      </c>
      <c r="C504" s="3" t="s">
        <v>485</v>
      </c>
      <c r="E504" s="3">
        <v>1948.46</v>
      </c>
      <c r="F504" s="3" t="s">
        <v>11</v>
      </c>
      <c r="G504" s="3">
        <v>509390.5</v>
      </c>
      <c r="I504" s="4">
        <f>SUM($F$5:$F504)-SUM($E$5:$E504)</f>
        <v>509390.49999999907</v>
      </c>
      <c r="J504" s="4">
        <f t="shared" si="7"/>
        <v>-9.3132257461547852E-10</v>
      </c>
    </row>
    <row r="505" spans="1:10" x14ac:dyDescent="0.75">
      <c r="A505" s="3" t="s">
        <v>484</v>
      </c>
      <c r="B505" s="3" t="s">
        <v>484</v>
      </c>
      <c r="C505" s="3" t="s">
        <v>486</v>
      </c>
      <c r="E505" s="3">
        <v>3564.1</v>
      </c>
      <c r="F505" s="3" t="s">
        <v>11</v>
      </c>
      <c r="G505" s="3">
        <v>505826.4</v>
      </c>
      <c r="I505" s="4">
        <f>SUM($F$5:$F505)-SUM($E$5:$E505)</f>
        <v>505826.39999999944</v>
      </c>
      <c r="J505" s="4">
        <f t="shared" si="7"/>
        <v>-5.8207660913467407E-10</v>
      </c>
    </row>
    <row r="506" spans="1:10" x14ac:dyDescent="0.75">
      <c r="A506" s="3" t="s">
        <v>484</v>
      </c>
      <c r="B506" s="3" t="s">
        <v>484</v>
      </c>
      <c r="C506" s="3" t="s">
        <v>487</v>
      </c>
      <c r="E506" s="3">
        <v>7469.92</v>
      </c>
      <c r="F506" s="3" t="s">
        <v>11</v>
      </c>
      <c r="G506" s="3">
        <v>498356.47999999998</v>
      </c>
      <c r="I506" s="4">
        <f>SUM($F$5:$F506)-SUM($E$5:$E506)</f>
        <v>498356.47999999952</v>
      </c>
      <c r="J506" s="4">
        <f t="shared" si="7"/>
        <v>-4.6566128730773926E-10</v>
      </c>
    </row>
    <row r="507" spans="1:10" x14ac:dyDescent="0.75">
      <c r="A507" s="3" t="s">
        <v>484</v>
      </c>
      <c r="B507" s="3" t="s">
        <v>484</v>
      </c>
      <c r="C507" s="3" t="s">
        <v>488</v>
      </c>
      <c r="E507" s="3">
        <v>8730</v>
      </c>
      <c r="F507" s="3" t="s">
        <v>11</v>
      </c>
      <c r="G507" s="3">
        <v>489626.48</v>
      </c>
      <c r="I507" s="4">
        <f>SUM($F$5:$F507)-SUM($E$5:$E507)</f>
        <v>489626.47999999952</v>
      </c>
      <c r="J507" s="4">
        <f t="shared" si="7"/>
        <v>-4.6566128730773926E-10</v>
      </c>
    </row>
    <row r="508" spans="1:10" x14ac:dyDescent="0.75">
      <c r="A508" s="3" t="s">
        <v>484</v>
      </c>
      <c r="B508" s="3" t="s">
        <v>484</v>
      </c>
      <c r="C508" s="3" t="s">
        <v>489</v>
      </c>
      <c r="E508" s="3">
        <v>20199.759999999998</v>
      </c>
      <c r="F508" s="3" t="s">
        <v>11</v>
      </c>
      <c r="G508" s="3">
        <v>469426.72</v>
      </c>
      <c r="I508" s="4">
        <f>SUM($F$5:$F508)-SUM($E$5:$E508)</f>
        <v>469426.71999999974</v>
      </c>
      <c r="J508" s="4">
        <f t="shared" si="7"/>
        <v>0</v>
      </c>
    </row>
    <row r="509" spans="1:10" x14ac:dyDescent="0.75">
      <c r="A509" s="3" t="s">
        <v>484</v>
      </c>
      <c r="B509" s="3" t="s">
        <v>484</v>
      </c>
      <c r="C509" s="3" t="s">
        <v>490</v>
      </c>
      <c r="E509" s="3">
        <v>21030.080000000002</v>
      </c>
      <c r="F509" s="3" t="s">
        <v>11</v>
      </c>
      <c r="G509" s="3">
        <v>448396.64</v>
      </c>
      <c r="I509" s="4">
        <f>SUM($F$5:$F509)-SUM($E$5:$E509)</f>
        <v>448396.63999999966</v>
      </c>
      <c r="J509" s="4">
        <f t="shared" si="7"/>
        <v>0</v>
      </c>
    </row>
    <row r="510" spans="1:10" x14ac:dyDescent="0.75">
      <c r="A510" s="3" t="s">
        <v>484</v>
      </c>
      <c r="B510" s="3" t="s">
        <v>484</v>
      </c>
      <c r="C510" s="3" t="s">
        <v>491</v>
      </c>
      <c r="E510" s="3">
        <v>41672.17</v>
      </c>
      <c r="F510" s="3" t="s">
        <v>11</v>
      </c>
      <c r="G510" s="3">
        <v>406724.47</v>
      </c>
      <c r="I510" s="4">
        <f>SUM($F$5:$F510)-SUM($E$5:$E510)</f>
        <v>406724.46999999974</v>
      </c>
      <c r="J510" s="4">
        <f t="shared" si="7"/>
        <v>0</v>
      </c>
    </row>
    <row r="511" spans="1:10" x14ac:dyDescent="0.75">
      <c r="A511" s="3" t="s">
        <v>484</v>
      </c>
      <c r="B511" s="3" t="s">
        <v>484</v>
      </c>
      <c r="C511" s="3" t="s">
        <v>30</v>
      </c>
      <c r="E511" s="3" t="s">
        <v>11</v>
      </c>
      <c r="F511" s="3">
        <v>40327.74</v>
      </c>
      <c r="G511" s="3">
        <v>447052.21</v>
      </c>
      <c r="I511" s="4">
        <f>SUM($F$5:$F511)-SUM($E$5:$E511)</f>
        <v>447052.20999999996</v>
      </c>
      <c r="J511" s="4">
        <f t="shared" si="7"/>
        <v>0</v>
      </c>
    </row>
    <row r="512" spans="1:10" x14ac:dyDescent="0.75">
      <c r="A512" s="3" t="s">
        <v>492</v>
      </c>
      <c r="B512" s="3" t="s">
        <v>492</v>
      </c>
      <c r="E512" s="3" t="s">
        <v>11</v>
      </c>
      <c r="G512" s="4">
        <v>447052.21</v>
      </c>
      <c r="I512" s="4">
        <f>SUM($F$5:$F512)-SUM($E$5:$E512)</f>
        <v>447052.20999999996</v>
      </c>
      <c r="J512" s="4">
        <f t="shared" si="7"/>
        <v>0</v>
      </c>
    </row>
    <row r="513" spans="1:10" x14ac:dyDescent="0.75">
      <c r="A513" s="3" t="s">
        <v>493</v>
      </c>
      <c r="B513" s="3" t="s">
        <v>493</v>
      </c>
      <c r="C513" s="3" t="s">
        <v>494</v>
      </c>
      <c r="E513" s="4">
        <v>2607.5</v>
      </c>
      <c r="F513" s="3" t="s">
        <v>11</v>
      </c>
      <c r="G513" s="4">
        <v>444444.71</v>
      </c>
      <c r="I513" s="4">
        <f>SUM($F$5:$F513)-SUM($E$5:$E513)</f>
        <v>444444.70999999996</v>
      </c>
      <c r="J513" s="4">
        <f t="shared" si="7"/>
        <v>0</v>
      </c>
    </row>
    <row r="514" spans="1:10" x14ac:dyDescent="0.75">
      <c r="A514" s="3" t="s">
        <v>493</v>
      </c>
      <c r="B514" s="3" t="s">
        <v>493</v>
      </c>
      <c r="C514" s="3" t="s">
        <v>495</v>
      </c>
      <c r="E514" s="4">
        <v>4638.49</v>
      </c>
      <c r="F514" s="3" t="s">
        <v>11</v>
      </c>
      <c r="G514" s="4">
        <v>439806.22</v>
      </c>
      <c r="I514" s="4">
        <f>SUM($F$5:$F514)-SUM($E$5:$E514)</f>
        <v>439806.21999999974</v>
      </c>
      <c r="J514" s="4">
        <f t="shared" si="7"/>
        <v>0</v>
      </c>
    </row>
    <row r="515" spans="1:10" x14ac:dyDescent="0.75">
      <c r="A515" s="3" t="s">
        <v>493</v>
      </c>
      <c r="B515" s="3" t="s">
        <v>493</v>
      </c>
      <c r="C515" s="3" t="s">
        <v>496</v>
      </c>
      <c r="E515" s="4">
        <v>50000</v>
      </c>
      <c r="F515" s="3" t="s">
        <v>11</v>
      </c>
      <c r="G515" s="4">
        <v>389806.22</v>
      </c>
      <c r="I515" s="4">
        <f>SUM($F$5:$F515)-SUM($E$5:$E515)</f>
        <v>389806.21999999974</v>
      </c>
      <c r="J515" s="4">
        <f t="shared" si="7"/>
        <v>0</v>
      </c>
    </row>
    <row r="516" spans="1:10" x14ac:dyDescent="0.75">
      <c r="A516" s="3" t="s">
        <v>493</v>
      </c>
      <c r="B516" s="3" t="s">
        <v>493</v>
      </c>
      <c r="C516" s="3" t="s">
        <v>497</v>
      </c>
      <c r="E516" s="4">
        <v>3120</v>
      </c>
      <c r="F516" s="3" t="s">
        <v>11</v>
      </c>
      <c r="G516" s="4">
        <v>386686.22</v>
      </c>
      <c r="I516" s="4">
        <f>SUM($F$5:$F516)-SUM($E$5:$E516)</f>
        <v>386686.21999999974</v>
      </c>
      <c r="J516" s="4">
        <f t="shared" si="7"/>
        <v>0</v>
      </c>
    </row>
    <row r="517" spans="1:10" x14ac:dyDescent="0.75">
      <c r="A517" s="3" t="s">
        <v>493</v>
      </c>
      <c r="B517" s="3" t="s">
        <v>493</v>
      </c>
      <c r="C517" s="3" t="s">
        <v>498</v>
      </c>
      <c r="E517" s="4">
        <v>11947.3</v>
      </c>
      <c r="F517" s="3" t="s">
        <v>11</v>
      </c>
      <c r="G517" s="4">
        <v>374738.92</v>
      </c>
      <c r="I517" s="4">
        <f>SUM($F$5:$F517)-SUM($E$5:$E517)</f>
        <v>374738.91999999993</v>
      </c>
      <c r="J517" s="4">
        <f t="shared" si="7"/>
        <v>0</v>
      </c>
    </row>
    <row r="518" spans="1:10" x14ac:dyDescent="0.75">
      <c r="A518" s="3" t="s">
        <v>493</v>
      </c>
      <c r="B518" s="3" t="s">
        <v>493</v>
      </c>
      <c r="C518" s="3" t="s">
        <v>499</v>
      </c>
      <c r="E518" s="4">
        <v>13886.1</v>
      </c>
      <c r="F518" s="3" t="s">
        <v>11</v>
      </c>
      <c r="G518" s="4">
        <v>360852.82</v>
      </c>
      <c r="I518" s="4">
        <f>SUM($F$5:$F518)-SUM($E$5:$E518)</f>
        <v>360852.8200000003</v>
      </c>
      <c r="J518" s="4">
        <f t="shared" ref="J518:J581" si="8">I518-G518</f>
        <v>0</v>
      </c>
    </row>
    <row r="519" spans="1:10" x14ac:dyDescent="0.75">
      <c r="A519" s="3" t="s">
        <v>493</v>
      </c>
      <c r="C519" s="3" t="s">
        <v>30</v>
      </c>
      <c r="E519" s="3" t="s">
        <v>11</v>
      </c>
      <c r="F519" s="3">
        <v>47176.52</v>
      </c>
      <c r="G519" s="3">
        <v>408029.34</v>
      </c>
      <c r="I519" s="4">
        <f>SUM($F$5:$F519)-SUM($E$5:$E519)</f>
        <v>408029.33999999985</v>
      </c>
      <c r="J519" s="4">
        <f t="shared" si="8"/>
        <v>0</v>
      </c>
    </row>
    <row r="520" spans="1:10" x14ac:dyDescent="0.75">
      <c r="A520" s="5">
        <v>43476</v>
      </c>
      <c r="B520" s="5">
        <v>43476</v>
      </c>
      <c r="C520" s="3" t="s">
        <v>500</v>
      </c>
      <c r="E520" s="3">
        <v>1874.49</v>
      </c>
      <c r="F520" s="3" t="s">
        <v>11</v>
      </c>
      <c r="G520" s="3">
        <v>406154.85</v>
      </c>
      <c r="I520" s="4">
        <f>SUM($F$5:$F520)-SUM($E$5:$E520)</f>
        <v>406154.84999999963</v>
      </c>
      <c r="J520" s="4">
        <f t="shared" si="8"/>
        <v>0</v>
      </c>
    </row>
    <row r="521" spans="1:10" x14ac:dyDescent="0.75">
      <c r="A521" s="5">
        <v>43476</v>
      </c>
      <c r="B521" s="5">
        <v>43476</v>
      </c>
      <c r="C521" s="3" t="s">
        <v>501</v>
      </c>
      <c r="E521" s="3">
        <v>2425.5</v>
      </c>
      <c r="F521" s="3" t="s">
        <v>11</v>
      </c>
      <c r="G521" s="3">
        <v>403729.35</v>
      </c>
      <c r="I521" s="4">
        <f>SUM($F$5:$F521)-SUM($E$5:$E521)</f>
        <v>403729.34999999963</v>
      </c>
      <c r="J521" s="4">
        <f t="shared" si="8"/>
        <v>0</v>
      </c>
    </row>
    <row r="522" spans="1:10" x14ac:dyDescent="0.75">
      <c r="A522" s="5">
        <v>43476</v>
      </c>
      <c r="B522" s="5">
        <v>43476</v>
      </c>
      <c r="C522" s="3" t="s">
        <v>30</v>
      </c>
      <c r="E522" s="3" t="s">
        <v>11</v>
      </c>
      <c r="F522" s="3">
        <v>832.5</v>
      </c>
      <c r="G522" s="3">
        <v>404561.85</v>
      </c>
      <c r="I522" s="4">
        <f>SUM($F$5:$F522)-SUM($E$5:$E522)</f>
        <v>404561.84999999963</v>
      </c>
      <c r="J522" s="4">
        <f t="shared" si="8"/>
        <v>0</v>
      </c>
    </row>
    <row r="523" spans="1:10" x14ac:dyDescent="0.75">
      <c r="A523" s="5">
        <v>43566</v>
      </c>
      <c r="B523" s="5">
        <v>43566</v>
      </c>
      <c r="C523" s="3" t="s">
        <v>502</v>
      </c>
      <c r="E523" s="3">
        <v>1105.8</v>
      </c>
      <c r="F523" s="3" t="s">
        <v>11</v>
      </c>
      <c r="G523" s="3">
        <v>403456.05</v>
      </c>
      <c r="I523" s="4">
        <f>SUM($F$5:$F523)-SUM($E$5:$E523)</f>
        <v>403456.04999999981</v>
      </c>
      <c r="J523" s="4">
        <f t="shared" si="8"/>
        <v>0</v>
      </c>
    </row>
    <row r="524" spans="1:10" x14ac:dyDescent="0.75">
      <c r="A524" s="5">
        <v>43566</v>
      </c>
      <c r="B524" s="5">
        <v>43566</v>
      </c>
      <c r="C524" s="3" t="s">
        <v>503</v>
      </c>
      <c r="E524" s="3">
        <v>2183.62</v>
      </c>
      <c r="F524" s="3" t="s">
        <v>11</v>
      </c>
      <c r="G524" s="3">
        <v>401272.43</v>
      </c>
      <c r="I524" s="4">
        <f>SUM($F$5:$F524)-SUM($E$5:$E524)</f>
        <v>401272.4299999997</v>
      </c>
      <c r="J524" s="4">
        <f t="shared" si="8"/>
        <v>0</v>
      </c>
    </row>
    <row r="525" spans="1:10" x14ac:dyDescent="0.75">
      <c r="A525" s="5">
        <v>43566</v>
      </c>
      <c r="B525" s="5">
        <v>43566</v>
      </c>
      <c r="C525" s="3" t="s">
        <v>504</v>
      </c>
      <c r="E525" s="3">
        <v>9335.9699999999993</v>
      </c>
      <c r="F525" s="3" t="s">
        <v>11</v>
      </c>
      <c r="G525" s="3">
        <v>391936.46</v>
      </c>
      <c r="I525" s="4">
        <f>SUM($F$5:$F525)-SUM($E$5:$E525)</f>
        <v>391936.45999999996</v>
      </c>
      <c r="J525" s="4">
        <f t="shared" si="8"/>
        <v>0</v>
      </c>
    </row>
    <row r="526" spans="1:10" x14ac:dyDescent="0.75">
      <c r="A526" s="5">
        <v>43566</v>
      </c>
      <c r="B526" s="5">
        <v>43566</v>
      </c>
      <c r="C526" s="3" t="s">
        <v>505</v>
      </c>
      <c r="E526" s="3">
        <v>9450.6200000000008</v>
      </c>
      <c r="F526" s="3" t="s">
        <v>11</v>
      </c>
      <c r="G526" s="3">
        <v>382485.84</v>
      </c>
      <c r="I526" s="4">
        <f>SUM($F$5:$F526)-SUM($E$5:$E526)</f>
        <v>382485.83999999985</v>
      </c>
      <c r="J526" s="4">
        <f t="shared" si="8"/>
        <v>0</v>
      </c>
    </row>
    <row r="527" spans="1:10" x14ac:dyDescent="0.75">
      <c r="A527" s="5">
        <v>43566</v>
      </c>
      <c r="B527" s="5">
        <v>43566</v>
      </c>
      <c r="C527" s="3" t="s">
        <v>30</v>
      </c>
      <c r="E527" s="3" t="s">
        <v>11</v>
      </c>
      <c r="F527" s="3">
        <v>707460</v>
      </c>
      <c r="G527" s="3">
        <v>1089945.8400000001</v>
      </c>
      <c r="I527" s="4">
        <f>SUM($F$5:$F527)-SUM($E$5:$E527)</f>
        <v>1089945.8399999999</v>
      </c>
      <c r="J527" s="4">
        <f t="shared" si="8"/>
        <v>0</v>
      </c>
    </row>
    <row r="528" spans="1:10" x14ac:dyDescent="0.75">
      <c r="A528" s="5">
        <v>43596</v>
      </c>
      <c r="B528" s="5">
        <v>43596</v>
      </c>
      <c r="C528" s="3" t="s">
        <v>506</v>
      </c>
      <c r="E528" s="3">
        <v>647.5</v>
      </c>
      <c r="F528" s="3" t="s">
        <v>11</v>
      </c>
      <c r="G528" s="3">
        <v>1089298.3400000001</v>
      </c>
      <c r="I528" s="4">
        <f>SUM($F$5:$F528)-SUM($E$5:$E528)</f>
        <v>1089298.3399999999</v>
      </c>
      <c r="J528" s="4">
        <f t="shared" si="8"/>
        <v>0</v>
      </c>
    </row>
    <row r="529" spans="1:10" x14ac:dyDescent="0.75">
      <c r="A529" s="5">
        <v>43596</v>
      </c>
      <c r="B529" s="5">
        <v>43596</v>
      </c>
      <c r="C529" s="3" t="s">
        <v>507</v>
      </c>
      <c r="E529" s="3">
        <v>4950.46</v>
      </c>
      <c r="F529" s="3" t="s">
        <v>11</v>
      </c>
      <c r="G529" s="3">
        <v>1084347.8799999999</v>
      </c>
      <c r="I529" s="4">
        <f>SUM($F$5:$F529)-SUM($E$5:$E529)</f>
        <v>1084347.8799999999</v>
      </c>
      <c r="J529" s="4">
        <f t="shared" si="8"/>
        <v>0</v>
      </c>
    </row>
    <row r="530" spans="1:10" x14ac:dyDescent="0.75">
      <c r="A530" s="5">
        <v>43627</v>
      </c>
      <c r="B530" s="5">
        <v>43627</v>
      </c>
      <c r="C530" s="3" t="s">
        <v>30</v>
      </c>
      <c r="E530" s="3" t="s">
        <v>11</v>
      </c>
      <c r="F530" s="3">
        <v>61522.7</v>
      </c>
      <c r="G530" s="3">
        <v>1145870.58</v>
      </c>
      <c r="I530" s="4">
        <f>SUM($F$5:$F530)-SUM($E$5:$E530)</f>
        <v>1145870.58</v>
      </c>
      <c r="J530" s="4">
        <f t="shared" si="8"/>
        <v>0</v>
      </c>
    </row>
    <row r="531" spans="1:10" x14ac:dyDescent="0.75">
      <c r="A531" s="5">
        <v>43657</v>
      </c>
      <c r="B531" s="5">
        <v>43657</v>
      </c>
      <c r="C531" s="3" t="s">
        <v>508</v>
      </c>
      <c r="E531" s="3">
        <v>80000</v>
      </c>
      <c r="F531" s="3" t="s">
        <v>11</v>
      </c>
      <c r="G531" s="3">
        <v>1065870.58</v>
      </c>
      <c r="I531" s="4">
        <f>SUM($F$5:$F531)-SUM($E$5:$E531)</f>
        <v>1065870.58</v>
      </c>
      <c r="J531" s="4">
        <f t="shared" si="8"/>
        <v>0</v>
      </c>
    </row>
    <row r="532" spans="1:10" x14ac:dyDescent="0.75">
      <c r="A532" s="5">
        <v>43657</v>
      </c>
      <c r="B532" s="5">
        <v>43657</v>
      </c>
      <c r="C532" s="3" t="s">
        <v>509</v>
      </c>
      <c r="E532" s="3">
        <v>567.21</v>
      </c>
      <c r="F532" s="3" t="s">
        <v>11</v>
      </c>
      <c r="G532" s="3">
        <v>1065303.3700000001</v>
      </c>
      <c r="I532" s="4">
        <f>SUM($F$5:$F532)-SUM($E$5:$E532)</f>
        <v>1065303.3700000001</v>
      </c>
      <c r="J532" s="4">
        <f t="shared" si="8"/>
        <v>0</v>
      </c>
    </row>
    <row r="533" spans="1:10" x14ac:dyDescent="0.75">
      <c r="A533" s="5">
        <v>43657</v>
      </c>
      <c r="B533" s="5">
        <v>43657</v>
      </c>
      <c r="C533" s="3" t="s">
        <v>510</v>
      </c>
      <c r="E533" s="3">
        <v>2968.56</v>
      </c>
      <c r="F533" s="3" t="s">
        <v>11</v>
      </c>
      <c r="G533" s="3">
        <v>1062334.81</v>
      </c>
      <c r="I533" s="4">
        <f>SUM($F$5:$F533)-SUM($E$5:$E533)</f>
        <v>1062334.8100000005</v>
      </c>
      <c r="J533" s="4">
        <f t="shared" si="8"/>
        <v>0</v>
      </c>
    </row>
    <row r="534" spans="1:10" x14ac:dyDescent="0.75">
      <c r="A534" s="5">
        <v>43657</v>
      </c>
      <c r="B534" s="5">
        <v>43657</v>
      </c>
      <c r="C534" s="3" t="s">
        <v>511</v>
      </c>
      <c r="E534" s="3">
        <v>3357.66</v>
      </c>
      <c r="F534" s="3" t="s">
        <v>11</v>
      </c>
      <c r="G534" s="3">
        <v>1058977.1499999999</v>
      </c>
      <c r="I534" s="4">
        <f>SUM($F$5:$F534)-SUM($E$5:$E534)</f>
        <v>1058977.1500000004</v>
      </c>
      <c r="J534" s="4">
        <f t="shared" si="8"/>
        <v>0</v>
      </c>
    </row>
    <row r="535" spans="1:10" x14ac:dyDescent="0.75">
      <c r="A535" s="5">
        <v>43657</v>
      </c>
      <c r="B535" s="5">
        <v>43657</v>
      </c>
      <c r="C535" s="3" t="s">
        <v>512</v>
      </c>
      <c r="E535" s="3">
        <v>4710.32</v>
      </c>
      <c r="F535" s="3" t="s">
        <v>11</v>
      </c>
      <c r="G535" s="3">
        <v>1054266.83</v>
      </c>
      <c r="I535" s="4">
        <f>SUM($F$5:$F535)-SUM($E$5:$E535)</f>
        <v>1054266.83</v>
      </c>
      <c r="J535" s="4">
        <f t="shared" si="8"/>
        <v>0</v>
      </c>
    </row>
    <row r="536" spans="1:10" x14ac:dyDescent="0.75">
      <c r="A536" s="5">
        <v>43657</v>
      </c>
      <c r="B536" s="5">
        <v>43657</v>
      </c>
      <c r="C536" s="3" t="s">
        <v>513</v>
      </c>
      <c r="E536" s="3">
        <v>10313.33</v>
      </c>
      <c r="F536" s="3" t="s">
        <v>11</v>
      </c>
      <c r="G536" s="3">
        <v>1043953.5</v>
      </c>
      <c r="I536" s="4">
        <f>SUM($F$5:$F536)-SUM($E$5:$E536)</f>
        <v>1043953.5</v>
      </c>
      <c r="J536" s="4">
        <f t="shared" si="8"/>
        <v>0</v>
      </c>
    </row>
    <row r="537" spans="1:10" x14ac:dyDescent="0.75">
      <c r="A537" s="5">
        <v>43657</v>
      </c>
      <c r="B537" s="5">
        <v>43657</v>
      </c>
      <c r="C537" s="3" t="s">
        <v>514</v>
      </c>
      <c r="E537" s="3" t="s">
        <v>11</v>
      </c>
      <c r="F537" s="3">
        <v>12767.87</v>
      </c>
      <c r="G537" s="3">
        <v>1056721.3700000001</v>
      </c>
      <c r="I537" s="4">
        <f>SUM($F$5:$F537)-SUM($E$5:$E537)</f>
        <v>1056721.3700000001</v>
      </c>
      <c r="J537" s="4">
        <f t="shared" si="8"/>
        <v>0</v>
      </c>
    </row>
    <row r="538" spans="1:10" x14ac:dyDescent="0.75">
      <c r="A538" s="5">
        <v>43688</v>
      </c>
      <c r="B538" s="5">
        <v>43688</v>
      </c>
      <c r="C538" s="3" t="s">
        <v>30</v>
      </c>
      <c r="E538" s="3" t="s">
        <v>11</v>
      </c>
      <c r="F538" s="3">
        <v>71483.360000000001</v>
      </c>
      <c r="G538" s="3">
        <v>1128204.73</v>
      </c>
      <c r="I538" s="4">
        <f>SUM($F$5:$F538)-SUM($E$5:$E538)</f>
        <v>1128204.7300000004</v>
      </c>
      <c r="J538" s="4">
        <f t="shared" si="8"/>
        <v>0</v>
      </c>
    </row>
    <row r="539" spans="1:10" x14ac:dyDescent="0.75">
      <c r="A539" s="5">
        <v>43688</v>
      </c>
      <c r="B539" s="5">
        <v>43688</v>
      </c>
      <c r="C539" s="3" t="s">
        <v>515</v>
      </c>
      <c r="E539" s="3">
        <v>1796</v>
      </c>
      <c r="F539" s="3" t="s">
        <v>11</v>
      </c>
      <c r="G539" s="3">
        <v>1126408.73</v>
      </c>
      <c r="I539" s="4">
        <f>SUM($F$5:$F539)-SUM($E$5:$E539)</f>
        <v>1126408.7300000004</v>
      </c>
      <c r="J539" s="4">
        <f t="shared" si="8"/>
        <v>0</v>
      </c>
    </row>
    <row r="540" spans="1:10" x14ac:dyDescent="0.75">
      <c r="A540" s="5">
        <v>43688</v>
      </c>
      <c r="B540" s="5">
        <v>43688</v>
      </c>
      <c r="C540" s="3" t="s">
        <v>516</v>
      </c>
      <c r="E540" s="3">
        <v>449.5</v>
      </c>
      <c r="F540" s="3" t="s">
        <v>11</v>
      </c>
      <c r="G540" s="3">
        <v>1125959.23</v>
      </c>
      <c r="I540" s="4">
        <f>SUM($F$5:$F540)-SUM($E$5:$E540)</f>
        <v>1125959.2300000004</v>
      </c>
      <c r="J540" s="4">
        <f t="shared" si="8"/>
        <v>0</v>
      </c>
    </row>
    <row r="541" spans="1:10" x14ac:dyDescent="0.75">
      <c r="A541" s="5">
        <v>43688</v>
      </c>
      <c r="B541" s="5">
        <v>43688</v>
      </c>
      <c r="C541" s="3" t="s">
        <v>517</v>
      </c>
      <c r="E541" s="3">
        <v>647.5</v>
      </c>
      <c r="F541" s="3" t="s">
        <v>11</v>
      </c>
      <c r="G541" s="3">
        <v>1125311.73</v>
      </c>
      <c r="I541" s="4">
        <f>SUM($F$5:$F541)-SUM($E$5:$E541)</f>
        <v>1125311.7300000004</v>
      </c>
      <c r="J541" s="4">
        <f t="shared" si="8"/>
        <v>0</v>
      </c>
    </row>
    <row r="542" spans="1:10" x14ac:dyDescent="0.75">
      <c r="A542" s="5">
        <v>43688</v>
      </c>
      <c r="B542" s="5">
        <v>43688</v>
      </c>
      <c r="C542" s="3" t="s">
        <v>518</v>
      </c>
      <c r="E542" s="3">
        <v>1475.72</v>
      </c>
      <c r="F542" s="3" t="s">
        <v>11</v>
      </c>
      <c r="G542" s="3">
        <v>1123836.01</v>
      </c>
      <c r="I542" s="4">
        <f>SUM($F$5:$F542)-SUM($E$5:$E542)</f>
        <v>1123836.0100000007</v>
      </c>
      <c r="J542" s="4">
        <f t="shared" si="8"/>
        <v>0</v>
      </c>
    </row>
    <row r="543" spans="1:10" x14ac:dyDescent="0.75">
      <c r="A543" s="5">
        <v>43688</v>
      </c>
      <c r="B543" s="5">
        <v>43688</v>
      </c>
      <c r="C543" s="3" t="s">
        <v>519</v>
      </c>
      <c r="E543" s="3">
        <v>1480</v>
      </c>
      <c r="F543" s="3" t="s">
        <v>11</v>
      </c>
      <c r="G543" s="3">
        <v>1122356.01</v>
      </c>
      <c r="I543" s="4">
        <f>SUM($F$5:$F543)-SUM($E$5:$E543)</f>
        <v>1122356.0100000007</v>
      </c>
      <c r="J543" s="4">
        <f t="shared" si="8"/>
        <v>0</v>
      </c>
    </row>
    <row r="544" spans="1:10" x14ac:dyDescent="0.75">
      <c r="A544" s="5">
        <v>43688</v>
      </c>
      <c r="B544" s="5">
        <v>43688</v>
      </c>
      <c r="C544" s="3" t="s">
        <v>520</v>
      </c>
      <c r="E544" s="3">
        <v>1850</v>
      </c>
      <c r="F544" s="3" t="s">
        <v>11</v>
      </c>
      <c r="G544" s="3">
        <v>1120506.01</v>
      </c>
      <c r="I544" s="4">
        <f>SUM($F$5:$F544)-SUM($E$5:$E544)</f>
        <v>1120506.0100000007</v>
      </c>
      <c r="J544" s="4">
        <f t="shared" si="8"/>
        <v>0</v>
      </c>
    </row>
    <row r="545" spans="1:10" x14ac:dyDescent="0.75">
      <c r="A545" s="5">
        <v>43688</v>
      </c>
      <c r="B545" s="5">
        <v>43688</v>
      </c>
      <c r="C545" s="3" t="s">
        <v>521</v>
      </c>
      <c r="E545" s="3">
        <v>1861.5</v>
      </c>
      <c r="F545" s="3" t="s">
        <v>11</v>
      </c>
      <c r="G545" s="3">
        <v>1118644.51</v>
      </c>
      <c r="I545" s="4">
        <f>SUM($F$5:$F545)-SUM($E$5:$E545)</f>
        <v>1118644.5100000007</v>
      </c>
      <c r="J545" s="4">
        <f t="shared" si="8"/>
        <v>0</v>
      </c>
    </row>
    <row r="546" spans="1:10" x14ac:dyDescent="0.75">
      <c r="A546" s="5">
        <v>43688</v>
      </c>
      <c r="B546" s="5">
        <v>43688</v>
      </c>
      <c r="C546" s="3" t="s">
        <v>522</v>
      </c>
      <c r="E546" s="3">
        <v>2218.87</v>
      </c>
      <c r="F546" s="3" t="s">
        <v>11</v>
      </c>
      <c r="G546" s="3">
        <v>1116425.6399999999</v>
      </c>
      <c r="I546" s="4">
        <f>SUM($F$5:$F546)-SUM($E$5:$E546)</f>
        <v>1116425.6400000006</v>
      </c>
      <c r="J546" s="4">
        <f t="shared" si="8"/>
        <v>0</v>
      </c>
    </row>
    <row r="547" spans="1:10" x14ac:dyDescent="0.75">
      <c r="A547" s="5">
        <v>43688</v>
      </c>
      <c r="B547" s="5">
        <v>43688</v>
      </c>
      <c r="C547" s="3" t="s">
        <v>523</v>
      </c>
      <c r="E547" s="3">
        <v>2800</v>
      </c>
      <c r="F547" s="3" t="s">
        <v>11</v>
      </c>
      <c r="G547" s="3">
        <v>1113625.6399999999</v>
      </c>
      <c r="I547" s="4">
        <f>SUM($F$5:$F547)-SUM($E$5:$E547)</f>
        <v>1113625.6400000006</v>
      </c>
      <c r="J547" s="4">
        <f t="shared" si="8"/>
        <v>0</v>
      </c>
    </row>
    <row r="548" spans="1:10" x14ac:dyDescent="0.75">
      <c r="A548" s="5">
        <v>43688</v>
      </c>
      <c r="B548" s="5">
        <v>43688</v>
      </c>
      <c r="C548" s="3" t="s">
        <v>524</v>
      </c>
      <c r="E548" s="3">
        <v>10249.74</v>
      </c>
      <c r="F548" s="3" t="s">
        <v>11</v>
      </c>
      <c r="G548" s="3">
        <v>1103375.8999999999</v>
      </c>
      <c r="I548" s="4">
        <f>SUM($F$5:$F548)-SUM($E$5:$E548)</f>
        <v>1103375.9000000004</v>
      </c>
      <c r="J548" s="4">
        <f t="shared" si="8"/>
        <v>0</v>
      </c>
    </row>
    <row r="549" spans="1:10" x14ac:dyDescent="0.75">
      <c r="A549" s="5">
        <v>43688</v>
      </c>
      <c r="B549" s="5">
        <v>43688</v>
      </c>
      <c r="C549" s="3" t="s">
        <v>525</v>
      </c>
      <c r="E549" s="3">
        <v>18160.54</v>
      </c>
      <c r="F549" s="3" t="s">
        <v>11</v>
      </c>
      <c r="G549" s="4">
        <v>1085215.3600000001</v>
      </c>
      <c r="I549" s="4">
        <f>SUM($F$5:$F549)-SUM($E$5:$E549)</f>
        <v>1085215.3600000003</v>
      </c>
      <c r="J549" s="4">
        <f t="shared" si="8"/>
        <v>0</v>
      </c>
    </row>
    <row r="550" spans="1:10" x14ac:dyDescent="0.75">
      <c r="A550" s="5">
        <v>43688</v>
      </c>
      <c r="B550" s="5">
        <v>43688</v>
      </c>
      <c r="C550" s="3" t="s">
        <v>526</v>
      </c>
      <c r="E550" s="4">
        <v>26981.74</v>
      </c>
      <c r="F550" s="3" t="s">
        <v>11</v>
      </c>
      <c r="G550" s="4">
        <v>1058233.6200000001</v>
      </c>
      <c r="I550" s="4">
        <f>SUM($F$5:$F550)-SUM($E$5:$E550)</f>
        <v>1058233.6200000001</v>
      </c>
      <c r="J550" s="4">
        <f t="shared" si="8"/>
        <v>0</v>
      </c>
    </row>
    <row r="551" spans="1:10" x14ac:dyDescent="0.75">
      <c r="A551" s="5">
        <v>43688</v>
      </c>
      <c r="B551" s="5">
        <v>43688</v>
      </c>
      <c r="C551" s="3" t="s">
        <v>527</v>
      </c>
      <c r="E551" s="4">
        <v>31638.75</v>
      </c>
      <c r="F551" s="3" t="s">
        <v>11</v>
      </c>
      <c r="G551" s="4">
        <v>1026594.87</v>
      </c>
      <c r="I551" s="4">
        <f>SUM($F$5:$F551)-SUM($E$5:$E551)</f>
        <v>1026594.8700000001</v>
      </c>
      <c r="J551" s="4">
        <f t="shared" si="8"/>
        <v>0</v>
      </c>
    </row>
    <row r="552" spans="1:10" x14ac:dyDescent="0.75">
      <c r="A552" s="5">
        <v>43688</v>
      </c>
      <c r="B552" s="5">
        <v>43688</v>
      </c>
      <c r="C552" s="3" t="s">
        <v>528</v>
      </c>
      <c r="E552" s="4">
        <v>53532.1</v>
      </c>
      <c r="F552" s="3" t="s">
        <v>11</v>
      </c>
      <c r="G552" s="4">
        <v>973062.77</v>
      </c>
      <c r="I552" s="4">
        <f>SUM($F$5:$F552)-SUM($E$5:$E552)</f>
        <v>973062.77000000048</v>
      </c>
      <c r="J552" s="4">
        <f t="shared" si="8"/>
        <v>0</v>
      </c>
    </row>
    <row r="553" spans="1:10" x14ac:dyDescent="0.75">
      <c r="A553" s="5">
        <v>43688</v>
      </c>
      <c r="B553" s="5">
        <v>43688</v>
      </c>
      <c r="C553" s="3" t="s">
        <v>529</v>
      </c>
      <c r="E553" s="4">
        <v>151307.18</v>
      </c>
      <c r="F553" s="3" t="s">
        <v>11</v>
      </c>
      <c r="G553" s="4">
        <v>821755.59</v>
      </c>
      <c r="I553" s="4">
        <f>SUM($F$5:$F553)-SUM($E$5:$E553)</f>
        <v>821755.59000000078</v>
      </c>
      <c r="J553" s="4">
        <f t="shared" si="8"/>
        <v>0</v>
      </c>
    </row>
    <row r="554" spans="1:10" x14ac:dyDescent="0.75">
      <c r="A554" s="5">
        <v>43688</v>
      </c>
      <c r="B554" s="5">
        <v>43688</v>
      </c>
      <c r="C554" s="3" t="s">
        <v>530</v>
      </c>
      <c r="E554" s="4">
        <v>335092.86</v>
      </c>
      <c r="F554" s="3" t="s">
        <v>11</v>
      </c>
      <c r="G554" s="4">
        <v>486662.73</v>
      </c>
      <c r="I554" s="4">
        <f>SUM($F$5:$F554)-SUM($E$5:$E554)</f>
        <v>486662.73000000045</v>
      </c>
      <c r="J554" s="4">
        <f t="shared" si="8"/>
        <v>4.6566128730773926E-10</v>
      </c>
    </row>
    <row r="555" spans="1:10" x14ac:dyDescent="0.75">
      <c r="A555" s="5">
        <v>43688</v>
      </c>
      <c r="B555" s="5">
        <v>43688</v>
      </c>
      <c r="C555" s="3" t="s">
        <v>531</v>
      </c>
      <c r="E555" s="4">
        <v>1621.88</v>
      </c>
      <c r="F555" s="3" t="s">
        <v>11</v>
      </c>
      <c r="G555" s="4">
        <v>485040.85</v>
      </c>
      <c r="I555" s="4">
        <f>SUM($F$5:$F555)-SUM($E$5:$E555)</f>
        <v>485040.85000000056</v>
      </c>
      <c r="J555" s="4">
        <f t="shared" si="8"/>
        <v>5.8207660913467407E-10</v>
      </c>
    </row>
    <row r="556" spans="1:10" x14ac:dyDescent="0.75">
      <c r="A556" s="5">
        <v>43780</v>
      </c>
      <c r="B556" s="5">
        <v>43780</v>
      </c>
      <c r="C556" s="3" t="s">
        <v>532</v>
      </c>
      <c r="E556" s="3">
        <v>2729</v>
      </c>
      <c r="F556" s="3" t="s">
        <v>11</v>
      </c>
      <c r="G556" s="3">
        <v>482311.85</v>
      </c>
      <c r="I556" s="4">
        <f>SUM($F$5:$F556)-SUM($E$5:$E556)</f>
        <v>482311.85000000056</v>
      </c>
      <c r="J556" s="4">
        <f t="shared" si="8"/>
        <v>5.8207660913467407E-10</v>
      </c>
    </row>
    <row r="557" spans="1:10" x14ac:dyDescent="0.75">
      <c r="A557" s="5">
        <v>43780</v>
      </c>
      <c r="B557" s="5">
        <v>43780</v>
      </c>
      <c r="C557" s="3" t="s">
        <v>533</v>
      </c>
      <c r="E557" s="3">
        <v>291</v>
      </c>
      <c r="F557" s="3" t="s">
        <v>11</v>
      </c>
      <c r="G557" s="3">
        <v>482020.85</v>
      </c>
      <c r="I557" s="4">
        <f>SUM($F$5:$F557)-SUM($E$5:$E557)</f>
        <v>482020.85000000056</v>
      </c>
      <c r="J557" s="4">
        <f t="shared" si="8"/>
        <v>5.8207660913467407E-10</v>
      </c>
    </row>
    <row r="558" spans="1:10" x14ac:dyDescent="0.75">
      <c r="A558" s="5">
        <v>43780</v>
      </c>
      <c r="B558" s="5">
        <v>43780</v>
      </c>
      <c r="C558" s="3" t="s">
        <v>534</v>
      </c>
      <c r="E558" s="3">
        <v>1612.14</v>
      </c>
      <c r="F558" s="3" t="s">
        <v>11</v>
      </c>
      <c r="G558" s="3">
        <v>480408.71</v>
      </c>
      <c r="I558" s="4">
        <f>SUM($F$5:$F558)-SUM($E$5:$E558)</f>
        <v>480408.71000000089</v>
      </c>
      <c r="J558" s="4">
        <f t="shared" si="8"/>
        <v>8.7311491370201111E-10</v>
      </c>
    </row>
    <row r="559" spans="1:10" x14ac:dyDescent="0.75">
      <c r="A559" s="5">
        <v>43780</v>
      </c>
      <c r="B559" s="5">
        <v>43780</v>
      </c>
      <c r="C559" s="3" t="s">
        <v>535</v>
      </c>
      <c r="E559" s="3">
        <v>3330</v>
      </c>
      <c r="F559" s="3" t="s">
        <v>11</v>
      </c>
      <c r="G559" s="3">
        <v>477078.71</v>
      </c>
      <c r="I559" s="4">
        <f>SUM($F$5:$F559)-SUM($E$5:$E559)</f>
        <v>477078.71000000089</v>
      </c>
      <c r="J559" s="4">
        <f t="shared" si="8"/>
        <v>8.7311491370201111E-10</v>
      </c>
    </row>
    <row r="560" spans="1:10" x14ac:dyDescent="0.75">
      <c r="A560" s="5">
        <v>43780</v>
      </c>
      <c r="B560" s="5">
        <v>43780</v>
      </c>
      <c r="C560" s="3" t="s">
        <v>536</v>
      </c>
      <c r="E560" s="3">
        <v>3845.52</v>
      </c>
      <c r="F560" s="3" t="s">
        <v>11</v>
      </c>
      <c r="G560" s="3">
        <v>473233.19</v>
      </c>
      <c r="I560" s="4">
        <f>SUM($F$5:$F560)-SUM($E$5:$E560)</f>
        <v>473233.19000000134</v>
      </c>
      <c r="J560" s="4">
        <f t="shared" si="8"/>
        <v>1.3387762010097504E-9</v>
      </c>
    </row>
    <row r="561" spans="1:10" x14ac:dyDescent="0.75">
      <c r="A561" s="5">
        <v>43780</v>
      </c>
      <c r="B561" s="5">
        <v>43780</v>
      </c>
      <c r="C561" s="3" t="s">
        <v>537</v>
      </c>
      <c r="E561" s="3">
        <v>4947</v>
      </c>
      <c r="F561" s="3" t="s">
        <v>11</v>
      </c>
      <c r="G561" s="3">
        <v>468286.19</v>
      </c>
      <c r="I561" s="4">
        <f>SUM($F$5:$F561)-SUM($E$5:$E561)</f>
        <v>468286.19000000134</v>
      </c>
      <c r="J561" s="4">
        <f t="shared" si="8"/>
        <v>1.3387762010097504E-9</v>
      </c>
    </row>
    <row r="562" spans="1:10" x14ac:dyDescent="0.75">
      <c r="A562" s="5">
        <v>43780</v>
      </c>
      <c r="B562" s="5">
        <v>43780</v>
      </c>
      <c r="C562" s="3" t="s">
        <v>538</v>
      </c>
      <c r="E562" s="3">
        <v>4981.13</v>
      </c>
      <c r="F562" s="3" t="s">
        <v>11</v>
      </c>
      <c r="G562" s="3">
        <v>463305.06</v>
      </c>
      <c r="I562" s="4">
        <f>SUM($F$5:$F562)-SUM($E$5:$E562)</f>
        <v>463305.06000000145</v>
      </c>
      <c r="J562" s="4">
        <f t="shared" si="8"/>
        <v>1.4551915228366852E-9</v>
      </c>
    </row>
    <row r="563" spans="1:10" x14ac:dyDescent="0.75">
      <c r="A563" s="5">
        <v>43780</v>
      </c>
      <c r="B563" s="5">
        <v>43780</v>
      </c>
      <c r="C563" s="3" t="s">
        <v>539</v>
      </c>
      <c r="E563" s="3">
        <v>6400</v>
      </c>
      <c r="F563" s="3" t="s">
        <v>11</v>
      </c>
      <c r="G563" s="3">
        <v>456905.06</v>
      </c>
      <c r="I563" s="4">
        <f>SUM($F$5:$F563)-SUM($E$5:$E563)</f>
        <v>456905.06000000145</v>
      </c>
      <c r="J563" s="4">
        <f t="shared" si="8"/>
        <v>1.4551915228366852E-9</v>
      </c>
    </row>
    <row r="564" spans="1:10" x14ac:dyDescent="0.75">
      <c r="A564" s="5">
        <v>43780</v>
      </c>
      <c r="B564" s="5">
        <v>43780</v>
      </c>
      <c r="C564" s="3" t="s">
        <v>540</v>
      </c>
      <c r="E564" s="3">
        <v>7300</v>
      </c>
      <c r="F564" s="3" t="s">
        <v>11</v>
      </c>
      <c r="G564" s="3">
        <v>449605.06</v>
      </c>
      <c r="I564" s="4">
        <f>SUM($F$5:$F564)-SUM($E$5:$E564)</f>
        <v>449605.06000000145</v>
      </c>
      <c r="J564" s="4">
        <f t="shared" si="8"/>
        <v>1.4551915228366852E-9</v>
      </c>
    </row>
    <row r="565" spans="1:10" x14ac:dyDescent="0.75">
      <c r="A565" s="5">
        <v>43780</v>
      </c>
      <c r="B565" s="5">
        <v>43780</v>
      </c>
      <c r="C565" s="3" t="s">
        <v>541</v>
      </c>
      <c r="E565" s="3">
        <v>10132.16</v>
      </c>
      <c r="F565" s="3" t="s">
        <v>11</v>
      </c>
      <c r="G565" s="3">
        <v>439472.9</v>
      </c>
      <c r="I565" s="4">
        <f>SUM($F$5:$F565)-SUM($E$5:$E565)</f>
        <v>439472.9000000013</v>
      </c>
      <c r="J565" s="4">
        <f t="shared" si="8"/>
        <v>1.280568540096283E-9</v>
      </c>
    </row>
    <row r="566" spans="1:10" x14ac:dyDescent="0.75">
      <c r="A566" s="5">
        <v>43780</v>
      </c>
      <c r="B566" s="5">
        <v>43780</v>
      </c>
      <c r="C566" s="3" t="s">
        <v>542</v>
      </c>
      <c r="E566" s="3">
        <v>40952.43</v>
      </c>
      <c r="F566" s="3" t="s">
        <v>11</v>
      </c>
      <c r="G566" s="3">
        <v>398520.47</v>
      </c>
      <c r="I566" s="4">
        <f>SUM($F$5:$F566)-SUM($E$5:$E566)</f>
        <v>398520.4700000016</v>
      </c>
      <c r="J566" s="4">
        <f t="shared" si="8"/>
        <v>1.6298145055770874E-9</v>
      </c>
    </row>
    <row r="567" spans="1:10" x14ac:dyDescent="0.75">
      <c r="A567" s="5">
        <v>43780</v>
      </c>
      <c r="B567" s="5">
        <v>43780</v>
      </c>
      <c r="C567" s="3" t="s">
        <v>543</v>
      </c>
      <c r="E567" s="3" t="s">
        <v>11</v>
      </c>
      <c r="F567" s="3">
        <v>1782200.55</v>
      </c>
      <c r="G567" s="3">
        <v>2180721.02</v>
      </c>
      <c r="I567" s="4">
        <f>SUM($F$5:$F567)-SUM($E$5:$E567)</f>
        <v>2180721.0200000014</v>
      </c>
      <c r="J567" s="4">
        <f t="shared" si="8"/>
        <v>0</v>
      </c>
    </row>
    <row r="568" spans="1:10" x14ac:dyDescent="0.75">
      <c r="A568" s="5">
        <v>43810</v>
      </c>
      <c r="B568" s="5">
        <v>43810</v>
      </c>
      <c r="C568" s="3" t="s">
        <v>30</v>
      </c>
      <c r="E568" s="3" t="s">
        <v>11</v>
      </c>
      <c r="F568" s="3">
        <v>67124.100000000006</v>
      </c>
      <c r="G568" s="3">
        <v>2247845.12</v>
      </c>
      <c r="I568" s="4">
        <f>SUM($F$5:$F568)-SUM($E$5:$E568)</f>
        <v>2247845.120000001</v>
      </c>
      <c r="J568" s="4">
        <f t="shared" si="8"/>
        <v>0</v>
      </c>
    </row>
    <row r="569" spans="1:10" x14ac:dyDescent="0.75">
      <c r="A569" s="5">
        <v>43810</v>
      </c>
      <c r="B569" s="5">
        <v>43810</v>
      </c>
      <c r="C569" s="3" t="s">
        <v>544</v>
      </c>
      <c r="E569" s="3">
        <v>242.5</v>
      </c>
      <c r="F569" s="3" t="s">
        <v>11</v>
      </c>
      <c r="G569" s="3">
        <v>2247602.62</v>
      </c>
      <c r="I569" s="4">
        <f>SUM($F$5:$F569)-SUM($E$5:$E569)</f>
        <v>2247602.620000001</v>
      </c>
      <c r="J569" s="4">
        <f t="shared" si="8"/>
        <v>0</v>
      </c>
    </row>
    <row r="570" spans="1:10" x14ac:dyDescent="0.75">
      <c r="A570" s="5">
        <v>43810</v>
      </c>
      <c r="B570" s="5">
        <v>43810</v>
      </c>
      <c r="C570" s="3" t="s">
        <v>545</v>
      </c>
      <c r="E570" s="3">
        <v>952.75</v>
      </c>
      <c r="F570" s="3" t="s">
        <v>11</v>
      </c>
      <c r="G570" s="3">
        <v>2246649.87</v>
      </c>
      <c r="I570" s="4">
        <f>SUM($F$5:$F570)-SUM($E$5:$E570)</f>
        <v>2246649.870000001</v>
      </c>
      <c r="J570" s="4">
        <f t="shared" si="8"/>
        <v>0</v>
      </c>
    </row>
    <row r="571" spans="1:10" x14ac:dyDescent="0.75">
      <c r="A571" s="5">
        <v>43810</v>
      </c>
      <c r="B571" s="5">
        <v>43810</v>
      </c>
      <c r="C571" s="3" t="s">
        <v>546</v>
      </c>
      <c r="E571" s="3">
        <v>1910.65</v>
      </c>
      <c r="F571" s="3" t="s">
        <v>11</v>
      </c>
      <c r="G571" s="3">
        <v>2244739.2200000002</v>
      </c>
      <c r="I571" s="4">
        <f>SUM($F$5:$F571)-SUM($E$5:$E571)</f>
        <v>2244739.2200000007</v>
      </c>
      <c r="J571" s="4">
        <f t="shared" si="8"/>
        <v>0</v>
      </c>
    </row>
    <row r="572" spans="1:10" x14ac:dyDescent="0.75">
      <c r="A572" s="5">
        <v>43810</v>
      </c>
      <c r="B572" s="5">
        <v>43810</v>
      </c>
      <c r="C572" s="3" t="s">
        <v>547</v>
      </c>
      <c r="E572" s="3">
        <v>2619</v>
      </c>
      <c r="F572" s="3" t="s">
        <v>11</v>
      </c>
      <c r="G572" s="3">
        <v>2242120.2200000002</v>
      </c>
      <c r="I572" s="4">
        <f>SUM($F$5:$F572)-SUM($E$5:$E572)</f>
        <v>2242120.2200000007</v>
      </c>
      <c r="J572" s="4">
        <f t="shared" si="8"/>
        <v>0</v>
      </c>
    </row>
    <row r="573" spans="1:10" x14ac:dyDescent="0.75">
      <c r="A573" s="5">
        <v>43810</v>
      </c>
      <c r="B573" s="5">
        <v>43810</v>
      </c>
      <c r="C573" s="3" t="s">
        <v>548</v>
      </c>
      <c r="E573" s="3">
        <v>2910</v>
      </c>
      <c r="F573" s="3" t="s">
        <v>11</v>
      </c>
      <c r="G573" s="3">
        <v>2239210.2200000002</v>
      </c>
      <c r="I573" s="4">
        <f>SUM($F$5:$F573)-SUM($E$5:$E573)</f>
        <v>2239210.2200000007</v>
      </c>
      <c r="J573" s="4">
        <f t="shared" si="8"/>
        <v>0</v>
      </c>
    </row>
    <row r="574" spans="1:10" x14ac:dyDescent="0.75">
      <c r="A574" s="5">
        <v>43810</v>
      </c>
      <c r="B574" s="5">
        <v>43810</v>
      </c>
      <c r="C574" s="3" t="s">
        <v>549</v>
      </c>
      <c r="E574" s="3">
        <v>3607.5</v>
      </c>
      <c r="F574" s="3" t="s">
        <v>11</v>
      </c>
      <c r="G574" s="3">
        <v>2235602.7200000002</v>
      </c>
      <c r="I574" s="4">
        <f>SUM($F$5:$F574)-SUM($E$5:$E574)</f>
        <v>2235602.7200000007</v>
      </c>
      <c r="J574" s="4">
        <f t="shared" si="8"/>
        <v>0</v>
      </c>
    </row>
    <row r="575" spans="1:10" x14ac:dyDescent="0.75">
      <c r="A575" s="5">
        <v>43810</v>
      </c>
      <c r="B575" s="5">
        <v>43810</v>
      </c>
      <c r="C575" s="3" t="s">
        <v>550</v>
      </c>
      <c r="E575" s="3">
        <v>15592.51</v>
      </c>
      <c r="F575" s="3" t="s">
        <v>11</v>
      </c>
      <c r="G575" s="3">
        <v>2220010.21</v>
      </c>
      <c r="I575" s="4">
        <f>SUM($F$5:$F575)-SUM($E$5:$E575)</f>
        <v>2220010.2100000009</v>
      </c>
      <c r="J575" s="4">
        <f t="shared" si="8"/>
        <v>0</v>
      </c>
    </row>
    <row r="576" spans="1:10" x14ac:dyDescent="0.75">
      <c r="A576" s="5">
        <v>43810</v>
      </c>
      <c r="B576" s="5">
        <v>43810</v>
      </c>
      <c r="C576" s="3" t="s">
        <v>551</v>
      </c>
      <c r="E576" s="3">
        <v>1782200.55</v>
      </c>
      <c r="F576" s="3" t="s">
        <v>11</v>
      </c>
      <c r="G576" s="3">
        <v>437809.66</v>
      </c>
      <c r="I576" s="4">
        <f>SUM($F$5:$F576)-SUM($E$5:$E576)</f>
        <v>437809.66000000015</v>
      </c>
      <c r="J576" s="4">
        <f t="shared" si="8"/>
        <v>0</v>
      </c>
    </row>
    <row r="577" spans="1:10" x14ac:dyDescent="0.75">
      <c r="A577" s="5">
        <v>43810</v>
      </c>
      <c r="B577" s="5">
        <v>43810</v>
      </c>
      <c r="C577" s="3" t="s">
        <v>552</v>
      </c>
      <c r="E577" s="3">
        <v>17161.75</v>
      </c>
      <c r="F577" s="3" t="s">
        <v>11</v>
      </c>
      <c r="G577" s="3">
        <v>420647.91</v>
      </c>
      <c r="I577" s="4">
        <f>SUM($F$5:$F577)-SUM($E$5:$E577)</f>
        <v>420647.91000000015</v>
      </c>
      <c r="J577" s="4">
        <f t="shared" si="8"/>
        <v>0</v>
      </c>
    </row>
    <row r="578" spans="1:10" x14ac:dyDescent="0.75">
      <c r="A578" s="5">
        <v>43810</v>
      </c>
      <c r="B578" s="5">
        <v>43810</v>
      </c>
      <c r="C578" s="3" t="s">
        <v>30</v>
      </c>
      <c r="E578" s="3" t="s">
        <v>11</v>
      </c>
      <c r="F578" s="3">
        <v>41786.26</v>
      </c>
      <c r="G578" s="3">
        <v>462434.17</v>
      </c>
      <c r="I578" s="4">
        <f>SUM($F$5:$F578)-SUM($E$5:$E578)</f>
        <v>462434.16999999993</v>
      </c>
      <c r="J578" s="4">
        <f t="shared" si="8"/>
        <v>0</v>
      </c>
    </row>
    <row r="579" spans="1:10" x14ac:dyDescent="0.75">
      <c r="A579" s="5" t="s">
        <v>553</v>
      </c>
      <c r="B579" s="5" t="s">
        <v>553</v>
      </c>
      <c r="C579" s="3" t="s">
        <v>554</v>
      </c>
      <c r="E579" s="3">
        <v>314.5</v>
      </c>
      <c r="F579" s="3" t="s">
        <v>11</v>
      </c>
      <c r="G579" s="3">
        <v>462119.67</v>
      </c>
      <c r="I579" s="4">
        <f>SUM($F$5:$F579)-SUM($E$5:$E579)</f>
        <v>462119.66999999993</v>
      </c>
      <c r="J579" s="4">
        <f t="shared" si="8"/>
        <v>0</v>
      </c>
    </row>
    <row r="580" spans="1:10" x14ac:dyDescent="0.75">
      <c r="A580" s="5" t="s">
        <v>553</v>
      </c>
      <c r="B580" s="5" t="s">
        <v>553</v>
      </c>
      <c r="C580" s="3" t="s">
        <v>555</v>
      </c>
      <c r="E580" s="3">
        <v>60338.17</v>
      </c>
      <c r="F580" s="3" t="s">
        <v>11</v>
      </c>
      <c r="G580" s="3">
        <v>401781.5</v>
      </c>
      <c r="I580" s="4">
        <f>SUM($F$5:$F580)-SUM($E$5:$E580)</f>
        <v>401781.5</v>
      </c>
      <c r="J580" s="4">
        <f t="shared" si="8"/>
        <v>0</v>
      </c>
    </row>
    <row r="581" spans="1:10" x14ac:dyDescent="0.75">
      <c r="A581" s="5" t="s">
        <v>553</v>
      </c>
      <c r="B581" s="5" t="s">
        <v>553</v>
      </c>
      <c r="C581" s="3" t="s">
        <v>556</v>
      </c>
      <c r="E581" s="3">
        <v>1799.12</v>
      </c>
      <c r="F581" s="3" t="s">
        <v>11</v>
      </c>
      <c r="G581" s="3">
        <v>399982.38</v>
      </c>
      <c r="I581" s="4">
        <f>SUM($F$5:$F581)-SUM($E$5:$E581)</f>
        <v>399982.38000000082</v>
      </c>
      <c r="J581" s="4">
        <f t="shared" si="8"/>
        <v>8.149072527885437E-10</v>
      </c>
    </row>
    <row r="582" spans="1:10" x14ac:dyDescent="0.75">
      <c r="A582" s="5" t="s">
        <v>557</v>
      </c>
      <c r="B582" s="5" t="s">
        <v>557</v>
      </c>
      <c r="C582" s="3" t="s">
        <v>558</v>
      </c>
      <c r="E582" s="3">
        <v>2209.41</v>
      </c>
      <c r="F582" s="3" t="s">
        <v>11</v>
      </c>
      <c r="G582" s="3">
        <v>397772.97</v>
      </c>
      <c r="I582" s="4">
        <f>SUM($F$5:$F582)-SUM($E$5:$E582)</f>
        <v>397772.97000000067</v>
      </c>
      <c r="J582" s="4">
        <f t="shared" ref="J582:J645" si="9">I582-G582</f>
        <v>6.9849193096160889E-10</v>
      </c>
    </row>
    <row r="583" spans="1:10" x14ac:dyDescent="0.75">
      <c r="A583" s="5" t="s">
        <v>557</v>
      </c>
      <c r="B583" s="5" t="s">
        <v>557</v>
      </c>
      <c r="C583" s="3" t="s">
        <v>559</v>
      </c>
      <c r="E583" s="3">
        <v>4218</v>
      </c>
      <c r="F583" s="3" t="s">
        <v>11</v>
      </c>
      <c r="G583" s="3">
        <v>393554.97</v>
      </c>
      <c r="I583" s="4">
        <f>SUM($F$5:$F583)-SUM($E$5:$E583)</f>
        <v>393554.97000000067</v>
      </c>
      <c r="J583" s="4">
        <f t="shared" si="9"/>
        <v>6.9849193096160889E-10</v>
      </c>
    </row>
    <row r="584" spans="1:10" x14ac:dyDescent="0.75">
      <c r="A584" s="5" t="s">
        <v>557</v>
      </c>
      <c r="B584" s="3" t="s">
        <v>557</v>
      </c>
      <c r="C584" s="3" t="s">
        <v>560</v>
      </c>
      <c r="E584" s="3">
        <v>4268</v>
      </c>
      <c r="F584" s="3" t="s">
        <v>11</v>
      </c>
      <c r="G584" s="3">
        <v>389286.97</v>
      </c>
      <c r="I584" s="4">
        <f>SUM($F$5:$F584)-SUM($E$5:$E584)</f>
        <v>389286.97000000067</v>
      </c>
      <c r="J584" s="4">
        <f t="shared" si="9"/>
        <v>6.9849193096160889E-10</v>
      </c>
    </row>
    <row r="585" spans="1:10" x14ac:dyDescent="0.75">
      <c r="A585" s="5" t="s">
        <v>557</v>
      </c>
      <c r="B585" s="5" t="s">
        <v>557</v>
      </c>
      <c r="C585" s="3" t="s">
        <v>30</v>
      </c>
      <c r="E585" s="3" t="s">
        <v>11</v>
      </c>
      <c r="F585" s="3">
        <v>57741.06</v>
      </c>
      <c r="G585" s="3">
        <v>447028.03</v>
      </c>
      <c r="I585" s="4">
        <f>SUM($F$5:$F585)-SUM($E$5:$E585)</f>
        <v>447028.03000000119</v>
      </c>
      <c r="J585" s="4">
        <f t="shared" si="9"/>
        <v>1.1641532182693481E-9</v>
      </c>
    </row>
    <row r="586" spans="1:10" x14ac:dyDescent="0.75">
      <c r="A586" s="5" t="s">
        <v>561</v>
      </c>
      <c r="B586" s="5" t="s">
        <v>561</v>
      </c>
      <c r="C586" s="3" t="s">
        <v>562</v>
      </c>
      <c r="E586" s="3">
        <v>1633.85</v>
      </c>
      <c r="F586" s="3" t="s">
        <v>11</v>
      </c>
      <c r="G586" s="3">
        <v>445394.18</v>
      </c>
      <c r="I586" s="4">
        <f>SUM($F$5:$F586)-SUM($E$5:$E586)</f>
        <v>445394.18000000156</v>
      </c>
      <c r="J586" s="4">
        <f t="shared" si="9"/>
        <v>1.57160684466362E-9</v>
      </c>
    </row>
    <row r="587" spans="1:10" x14ac:dyDescent="0.75">
      <c r="A587" s="5" t="s">
        <v>561</v>
      </c>
      <c r="B587" s="5" t="s">
        <v>561</v>
      </c>
      <c r="C587" s="3" t="s">
        <v>563</v>
      </c>
      <c r="E587" s="3">
        <v>8923.7199999999993</v>
      </c>
      <c r="F587" s="3" t="s">
        <v>11</v>
      </c>
      <c r="G587" s="3">
        <v>436470.46</v>
      </c>
      <c r="I587" s="4">
        <f>SUM($F$5:$F587)-SUM($E$5:$E587)</f>
        <v>436470.46000000089</v>
      </c>
      <c r="J587" s="4">
        <f t="shared" si="9"/>
        <v>8.7311491370201111E-10</v>
      </c>
    </row>
    <row r="588" spans="1:10" x14ac:dyDescent="0.75">
      <c r="A588" s="5" t="s">
        <v>561</v>
      </c>
      <c r="B588" s="5" t="s">
        <v>561</v>
      </c>
      <c r="C588" s="3" t="s">
        <v>564</v>
      </c>
      <c r="E588" s="3">
        <v>4935.01</v>
      </c>
      <c r="F588" s="3" t="s">
        <v>11</v>
      </c>
      <c r="G588" s="3">
        <v>431535.45</v>
      </c>
      <c r="I588" s="4">
        <f>SUM($F$5:$F588)-SUM($E$5:$E588)</f>
        <v>431535.45000000112</v>
      </c>
      <c r="J588" s="4">
        <f t="shared" si="9"/>
        <v>1.1059455573558807E-9</v>
      </c>
    </row>
    <row r="589" spans="1:10" x14ac:dyDescent="0.75">
      <c r="A589" s="5" t="s">
        <v>561</v>
      </c>
      <c r="B589" s="5" t="s">
        <v>561</v>
      </c>
      <c r="C589" s="3" t="s">
        <v>565</v>
      </c>
      <c r="E589" s="3">
        <v>9408.99</v>
      </c>
      <c r="F589" s="3" t="s">
        <v>11</v>
      </c>
      <c r="G589" s="3">
        <v>422126.46</v>
      </c>
      <c r="I589" s="4">
        <f>SUM($F$5:$F589)-SUM($E$5:$E589)</f>
        <v>422126.46000000089</v>
      </c>
      <c r="J589" s="4">
        <f t="shared" si="9"/>
        <v>8.7311491370201111E-10</v>
      </c>
    </row>
    <row r="590" spans="1:10" x14ac:dyDescent="0.75">
      <c r="A590" s="5" t="s">
        <v>561</v>
      </c>
      <c r="B590" s="5" t="s">
        <v>561</v>
      </c>
      <c r="C590" s="3" t="s">
        <v>566</v>
      </c>
      <c r="E590" s="3">
        <v>15870.34</v>
      </c>
      <c r="F590" s="3" t="s">
        <v>11</v>
      </c>
      <c r="G590" s="3">
        <v>406256.12</v>
      </c>
      <c r="I590" s="4">
        <f>SUM($F$5:$F590)-SUM($E$5:$E590)</f>
        <v>406256.12000000104</v>
      </c>
      <c r="J590" s="4">
        <f t="shared" si="9"/>
        <v>1.0477378964424133E-9</v>
      </c>
    </row>
    <row r="591" spans="1:10" x14ac:dyDescent="0.75">
      <c r="A591" s="5" t="s">
        <v>561</v>
      </c>
      <c r="B591" s="5" t="s">
        <v>561</v>
      </c>
      <c r="C591" s="3" t="s">
        <v>30</v>
      </c>
      <c r="E591" s="3" t="s">
        <v>11</v>
      </c>
      <c r="F591" s="3">
        <v>247692.33</v>
      </c>
      <c r="G591" s="3">
        <v>653948.44999999995</v>
      </c>
      <c r="I591" s="4">
        <f>SUM($F$5:$F591)-SUM($E$5:$E591)</f>
        <v>653948.45000000112</v>
      </c>
      <c r="J591" s="4">
        <f t="shared" si="9"/>
        <v>1.1641532182693481E-9</v>
      </c>
    </row>
    <row r="592" spans="1:10" x14ac:dyDescent="0.75">
      <c r="A592" s="5" t="s">
        <v>567</v>
      </c>
      <c r="B592" s="5" t="s">
        <v>567</v>
      </c>
      <c r="C592" s="3" t="s">
        <v>568</v>
      </c>
      <c r="E592" s="3">
        <v>1</v>
      </c>
      <c r="F592" s="3" t="s">
        <v>11</v>
      </c>
      <c r="G592" s="3">
        <v>653947.44999999995</v>
      </c>
      <c r="I592" s="4">
        <f>SUM($F$5:$F592)-SUM($E$5:$E592)</f>
        <v>653947.45000000112</v>
      </c>
      <c r="J592" s="4">
        <f t="shared" si="9"/>
        <v>1.1641532182693481E-9</v>
      </c>
    </row>
    <row r="593" spans="1:10" x14ac:dyDescent="0.75">
      <c r="A593" s="5" t="s">
        <v>567</v>
      </c>
      <c r="B593" s="5" t="s">
        <v>567</v>
      </c>
      <c r="C593" s="3" t="s">
        <v>569</v>
      </c>
      <c r="E593" s="3">
        <v>314.5</v>
      </c>
      <c r="F593" s="3" t="s">
        <v>11</v>
      </c>
      <c r="G593" s="3">
        <v>653632.94999999995</v>
      </c>
      <c r="I593" s="4">
        <f>SUM($F$5:$F593)-SUM($E$5:$E593)</f>
        <v>653632.95000000112</v>
      </c>
      <c r="J593" s="4">
        <f t="shared" si="9"/>
        <v>1.1641532182693481E-9</v>
      </c>
    </row>
    <row r="594" spans="1:10" x14ac:dyDescent="0.75">
      <c r="A594" s="5" t="s">
        <v>567</v>
      </c>
      <c r="B594" s="5" t="s">
        <v>567</v>
      </c>
      <c r="C594" s="3" t="s">
        <v>570</v>
      </c>
      <c r="E594" s="3">
        <v>950.6</v>
      </c>
      <c r="F594" s="3" t="s">
        <v>11</v>
      </c>
      <c r="G594" s="3">
        <v>652682.35</v>
      </c>
      <c r="I594" s="4">
        <f>SUM($F$5:$F594)-SUM($E$5:$E594)</f>
        <v>652682.35000000149</v>
      </c>
      <c r="J594" s="4">
        <f t="shared" si="9"/>
        <v>1.5133991837501526E-9</v>
      </c>
    </row>
    <row r="595" spans="1:10" x14ac:dyDescent="0.75">
      <c r="A595" s="5" t="s">
        <v>567</v>
      </c>
      <c r="B595" s="5" t="s">
        <v>567</v>
      </c>
      <c r="C595" s="3" t="s">
        <v>571</v>
      </c>
      <c r="E595" s="3">
        <v>1800</v>
      </c>
      <c r="F595" s="3" t="s">
        <v>11</v>
      </c>
      <c r="G595" s="3">
        <v>650882.35</v>
      </c>
      <c r="I595" s="4">
        <f>SUM($F$5:$F595)-SUM($E$5:$E595)</f>
        <v>650882.35000000149</v>
      </c>
      <c r="J595" s="4">
        <f t="shared" si="9"/>
        <v>1.5133991837501526E-9</v>
      </c>
    </row>
    <row r="596" spans="1:10" x14ac:dyDescent="0.75">
      <c r="A596" s="5" t="s">
        <v>567</v>
      </c>
      <c r="B596" s="5" t="s">
        <v>567</v>
      </c>
      <c r="C596" s="3" t="s">
        <v>572</v>
      </c>
      <c r="E596" s="3">
        <v>2078.13</v>
      </c>
      <c r="F596" s="3" t="s">
        <v>11</v>
      </c>
      <c r="G596" s="3">
        <v>648804.22</v>
      </c>
      <c r="I596" s="4">
        <f>SUM($F$5:$F596)-SUM($E$5:$E596)</f>
        <v>648804.22000000067</v>
      </c>
      <c r="J596" s="4">
        <f t="shared" si="9"/>
        <v>0</v>
      </c>
    </row>
    <row r="597" spans="1:10" x14ac:dyDescent="0.75">
      <c r="A597" s="5" t="s">
        <v>567</v>
      </c>
      <c r="B597" s="3" t="s">
        <v>567</v>
      </c>
      <c r="C597" s="3" t="s">
        <v>573</v>
      </c>
      <c r="E597" s="3">
        <v>4311.57</v>
      </c>
      <c r="F597" s="3" t="s">
        <v>11</v>
      </c>
      <c r="G597" s="3">
        <v>644492.65</v>
      </c>
      <c r="I597" s="4">
        <f>SUM($F$5:$F597)-SUM($E$5:$E597)</f>
        <v>644492.65000000037</v>
      </c>
      <c r="J597" s="4">
        <f t="shared" si="9"/>
        <v>0</v>
      </c>
    </row>
    <row r="598" spans="1:10" x14ac:dyDescent="0.75">
      <c r="A598" s="5" t="s">
        <v>567</v>
      </c>
      <c r="B598" s="5" t="s">
        <v>567</v>
      </c>
      <c r="C598" s="3" t="s">
        <v>574</v>
      </c>
      <c r="E598" s="3">
        <v>10233.5</v>
      </c>
      <c r="F598" s="3" t="s">
        <v>11</v>
      </c>
      <c r="G598" s="3">
        <v>634259.15</v>
      </c>
      <c r="I598" s="4">
        <f>SUM($F$5:$F598)-SUM($E$5:$E598)</f>
        <v>634259.15000000037</v>
      </c>
      <c r="J598" s="4">
        <f t="shared" si="9"/>
        <v>0</v>
      </c>
    </row>
    <row r="599" spans="1:10" x14ac:dyDescent="0.75">
      <c r="A599" s="5" t="s">
        <v>567</v>
      </c>
      <c r="B599" s="5" t="s">
        <v>567</v>
      </c>
      <c r="C599" s="3" t="s">
        <v>575</v>
      </c>
      <c r="E599" s="3">
        <v>15128.61</v>
      </c>
      <c r="F599" s="3" t="s">
        <v>11</v>
      </c>
      <c r="G599" s="3">
        <v>619130.54</v>
      </c>
      <c r="I599" s="4">
        <f>SUM($F$5:$F599)-SUM($E$5:$E599)</f>
        <v>619130.54000000097</v>
      </c>
      <c r="J599" s="4">
        <f t="shared" si="9"/>
        <v>9.3132257461547852E-10</v>
      </c>
    </row>
    <row r="600" spans="1:10" x14ac:dyDescent="0.75">
      <c r="A600" s="5" t="s">
        <v>567</v>
      </c>
      <c r="B600" s="5" t="s">
        <v>567</v>
      </c>
      <c r="C600" s="3" t="s">
        <v>576</v>
      </c>
      <c r="E600" s="3">
        <v>18076.240000000002</v>
      </c>
      <c r="F600" s="3" t="s">
        <v>11</v>
      </c>
      <c r="G600" s="3">
        <v>601054.30000000005</v>
      </c>
      <c r="I600" s="4">
        <f>SUM($F$5:$F600)-SUM($E$5:$E600)</f>
        <v>601054.30000000075</v>
      </c>
      <c r="J600" s="4">
        <f t="shared" si="9"/>
        <v>0</v>
      </c>
    </row>
    <row r="601" spans="1:10" x14ac:dyDescent="0.75">
      <c r="A601" s="5" t="s">
        <v>567</v>
      </c>
      <c r="B601" s="5" t="s">
        <v>567</v>
      </c>
      <c r="C601" s="3" t="s">
        <v>577</v>
      </c>
      <c r="E601" s="3">
        <v>21394.94</v>
      </c>
      <c r="F601" s="3" t="s">
        <v>11</v>
      </c>
      <c r="G601" s="3">
        <v>579659.36</v>
      </c>
      <c r="I601" s="4">
        <f>SUM($F$5:$F601)-SUM($E$5:$E601)</f>
        <v>579659.36000000127</v>
      </c>
      <c r="J601" s="4">
        <f t="shared" si="9"/>
        <v>1.280568540096283E-9</v>
      </c>
    </row>
    <row r="602" spans="1:10" x14ac:dyDescent="0.75">
      <c r="A602" s="5" t="s">
        <v>567</v>
      </c>
      <c r="B602" s="5" t="s">
        <v>567</v>
      </c>
      <c r="C602" s="3" t="s">
        <v>578</v>
      </c>
      <c r="E602" s="3">
        <v>37737.15</v>
      </c>
      <c r="F602" s="3" t="s">
        <v>11</v>
      </c>
      <c r="G602" s="3">
        <v>541922.21</v>
      </c>
      <c r="I602" s="4">
        <f>SUM($F$5:$F602)-SUM($E$5:$E602)</f>
        <v>541922.21000000089</v>
      </c>
      <c r="J602" s="4">
        <f t="shared" si="9"/>
        <v>9.3132257461547852E-10</v>
      </c>
    </row>
    <row r="603" spans="1:10" x14ac:dyDescent="0.75">
      <c r="A603" s="5" t="s">
        <v>567</v>
      </c>
      <c r="B603" s="5" t="s">
        <v>567</v>
      </c>
      <c r="C603" s="3" t="s">
        <v>579</v>
      </c>
      <c r="E603" s="3" t="s">
        <v>11</v>
      </c>
      <c r="F603" s="3">
        <v>100.09</v>
      </c>
      <c r="G603" s="3">
        <v>542022.30000000005</v>
      </c>
      <c r="I603" s="4">
        <f>SUM($F$5:$F603)-SUM($E$5:$E603)</f>
        <v>542022.30000000075</v>
      </c>
      <c r="J603" s="4">
        <f t="shared" si="9"/>
        <v>0</v>
      </c>
    </row>
    <row r="604" spans="1:10" x14ac:dyDescent="0.75">
      <c r="A604" s="5" t="s">
        <v>580</v>
      </c>
      <c r="B604" s="5" t="s">
        <v>580</v>
      </c>
      <c r="C604" s="3" t="s">
        <v>514</v>
      </c>
      <c r="E604" s="3" t="s">
        <v>11</v>
      </c>
      <c r="F604" s="3">
        <v>36139.99</v>
      </c>
      <c r="G604" s="3">
        <v>578162.29</v>
      </c>
      <c r="I604" s="4">
        <f>SUM($F$5:$F604)-SUM($E$5:$E604)</f>
        <v>578162.29000000097</v>
      </c>
      <c r="J604" s="4">
        <f t="shared" si="9"/>
        <v>9.3132257461547852E-10</v>
      </c>
    </row>
    <row r="605" spans="1:10" x14ac:dyDescent="0.75">
      <c r="A605" s="5" t="s">
        <v>580</v>
      </c>
      <c r="B605" s="5" t="s">
        <v>580</v>
      </c>
      <c r="C605" s="3" t="s">
        <v>30</v>
      </c>
      <c r="E605" s="3" t="s">
        <v>11</v>
      </c>
      <c r="F605" s="3">
        <v>70832.5</v>
      </c>
      <c r="G605" s="3">
        <v>648994.79</v>
      </c>
      <c r="I605" s="4">
        <f>SUM($F$5:$F605)-SUM($E$5:$E605)</f>
        <v>648994.79000000097</v>
      </c>
      <c r="J605" s="4">
        <f t="shared" si="9"/>
        <v>9.3132257461547852E-10</v>
      </c>
    </row>
    <row r="606" spans="1:10" x14ac:dyDescent="0.75">
      <c r="A606" s="5" t="s">
        <v>580</v>
      </c>
      <c r="B606" s="5" t="s">
        <v>580</v>
      </c>
      <c r="C606" s="3" t="s">
        <v>581</v>
      </c>
      <c r="E606" s="3">
        <v>100.09</v>
      </c>
      <c r="F606" s="3" t="s">
        <v>11</v>
      </c>
      <c r="G606" s="3">
        <v>648894.69999999995</v>
      </c>
      <c r="I606" s="4">
        <f>SUM($F$5:$F606)-SUM($E$5:$E606)</f>
        <v>648894.70000000112</v>
      </c>
      <c r="J606" s="4">
        <f t="shared" si="9"/>
        <v>1.1641532182693481E-9</v>
      </c>
    </row>
    <row r="607" spans="1:10" x14ac:dyDescent="0.75">
      <c r="A607" s="5" t="s">
        <v>580</v>
      </c>
      <c r="B607" s="5" t="s">
        <v>580</v>
      </c>
      <c r="C607" s="3" t="s">
        <v>582</v>
      </c>
      <c r="E607" s="3">
        <v>699.03</v>
      </c>
      <c r="F607" s="3" t="s">
        <v>11</v>
      </c>
      <c r="G607" s="3">
        <v>648195.67000000004</v>
      </c>
      <c r="I607" s="4">
        <f>SUM($F$5:$F607)-SUM($E$5:$E607)</f>
        <v>648195.67000000179</v>
      </c>
      <c r="J607" s="4">
        <f t="shared" si="9"/>
        <v>1.7462298274040222E-9</v>
      </c>
    </row>
    <row r="608" spans="1:10" x14ac:dyDescent="0.75">
      <c r="A608" s="5" t="s">
        <v>580</v>
      </c>
      <c r="B608" s="5" t="s">
        <v>580</v>
      </c>
      <c r="C608" s="3" t="s">
        <v>583</v>
      </c>
      <c r="E608" s="3">
        <v>1322.21</v>
      </c>
      <c r="F608" s="3" t="s">
        <v>11</v>
      </c>
      <c r="G608" s="3">
        <v>646873.46</v>
      </c>
      <c r="I608" s="4">
        <f>SUM($F$5:$F608)-SUM($E$5:$E608)</f>
        <v>646873.46000000089</v>
      </c>
      <c r="J608" s="4">
        <f t="shared" si="9"/>
        <v>9.3132257461547852E-10</v>
      </c>
    </row>
    <row r="609" spans="1:10" x14ac:dyDescent="0.75">
      <c r="A609" s="5" t="s">
        <v>580</v>
      </c>
      <c r="B609" s="5" t="s">
        <v>580</v>
      </c>
      <c r="C609" s="3" t="s">
        <v>584</v>
      </c>
      <c r="E609" s="3">
        <v>1570</v>
      </c>
      <c r="F609" s="3" t="s">
        <v>11</v>
      </c>
      <c r="G609" s="3">
        <v>645303.46</v>
      </c>
      <c r="I609" s="4">
        <f>SUM($F$5:$F609)-SUM($E$5:$E609)</f>
        <v>645303.46000000089</v>
      </c>
      <c r="J609" s="4">
        <f t="shared" si="9"/>
        <v>9.3132257461547852E-10</v>
      </c>
    </row>
    <row r="610" spans="1:10" x14ac:dyDescent="0.75">
      <c r="A610" s="5" t="s">
        <v>580</v>
      </c>
      <c r="B610" s="3" t="s">
        <v>580</v>
      </c>
      <c r="C610" s="3" t="s">
        <v>585</v>
      </c>
      <c r="E610" s="3">
        <v>5746.28</v>
      </c>
      <c r="F610" s="3" t="s">
        <v>11</v>
      </c>
      <c r="G610" s="3">
        <v>639557.18000000005</v>
      </c>
      <c r="I610" s="4">
        <f>SUM($F$5:$F610)-SUM($E$5:$E610)</f>
        <v>639557.18000000156</v>
      </c>
      <c r="J610" s="4">
        <f t="shared" si="9"/>
        <v>1.5133991837501526E-9</v>
      </c>
    </row>
    <row r="611" spans="1:10" x14ac:dyDescent="0.75">
      <c r="A611" s="5" t="s">
        <v>580</v>
      </c>
      <c r="B611" s="5" t="s">
        <v>580</v>
      </c>
      <c r="C611" s="3" t="s">
        <v>586</v>
      </c>
      <c r="E611" s="3">
        <v>17698.62</v>
      </c>
      <c r="F611" s="3" t="s">
        <v>11</v>
      </c>
      <c r="G611" s="3">
        <v>621858.56000000006</v>
      </c>
      <c r="I611" s="4">
        <f>SUM($F$5:$F611)-SUM($E$5:$E611)</f>
        <v>621858.56000000238</v>
      </c>
      <c r="J611" s="4">
        <f t="shared" si="9"/>
        <v>2.3283064365386963E-9</v>
      </c>
    </row>
    <row r="612" spans="1:10" x14ac:dyDescent="0.75">
      <c r="A612" s="5" t="s">
        <v>580</v>
      </c>
      <c r="B612" s="5" t="s">
        <v>580</v>
      </c>
      <c r="C612" s="3" t="s">
        <v>587</v>
      </c>
      <c r="E612" s="3">
        <v>18025.88</v>
      </c>
      <c r="F612" s="3" t="s">
        <v>11</v>
      </c>
      <c r="G612" s="3">
        <v>603832.68000000005</v>
      </c>
      <c r="I612" s="4">
        <f>SUM($F$5:$F612)-SUM($E$5:$E612)</f>
        <v>603832.68000000156</v>
      </c>
      <c r="J612" s="4">
        <f t="shared" si="9"/>
        <v>1.5133991837501526E-9</v>
      </c>
    </row>
    <row r="613" spans="1:10" x14ac:dyDescent="0.75">
      <c r="A613" s="5" t="s">
        <v>580</v>
      </c>
      <c r="B613" s="5" t="s">
        <v>580</v>
      </c>
      <c r="C613" s="3" t="s">
        <v>588</v>
      </c>
      <c r="E613" s="3">
        <v>31135.24</v>
      </c>
      <c r="F613" s="3" t="s">
        <v>11</v>
      </c>
      <c r="G613" s="3">
        <v>572697.43999999994</v>
      </c>
      <c r="I613" s="4">
        <f>SUM($F$5:$F613)-SUM($E$5:$E613)</f>
        <v>572697.44000000134</v>
      </c>
      <c r="J613" s="4">
        <f t="shared" si="9"/>
        <v>1.3969838619232178E-9</v>
      </c>
    </row>
    <row r="614" spans="1:10" x14ac:dyDescent="0.75">
      <c r="A614" s="5" t="s">
        <v>580</v>
      </c>
      <c r="B614" s="5" t="s">
        <v>580</v>
      </c>
      <c r="C614" s="3" t="s">
        <v>589</v>
      </c>
      <c r="E614" s="3">
        <v>12</v>
      </c>
      <c r="F614" s="3" t="s">
        <v>11</v>
      </c>
      <c r="G614" s="3">
        <v>572685.43999999994</v>
      </c>
      <c r="I614" s="4">
        <f>SUM($F$5:$F614)-SUM($E$5:$E614)</f>
        <v>572685.44000000134</v>
      </c>
      <c r="J614" s="4">
        <f t="shared" si="9"/>
        <v>1.3969838619232178E-9</v>
      </c>
    </row>
    <row r="615" spans="1:10" x14ac:dyDescent="0.75">
      <c r="A615" s="5" t="s">
        <v>580</v>
      </c>
      <c r="B615" s="5" t="s">
        <v>580</v>
      </c>
      <c r="C615" s="3" t="s">
        <v>30</v>
      </c>
      <c r="E615" s="3" t="s">
        <v>11</v>
      </c>
      <c r="F615" s="3">
        <v>17821</v>
      </c>
      <c r="G615" s="3">
        <v>590506.43999999994</v>
      </c>
      <c r="I615" s="4">
        <f>SUM($F$5:$F615)-SUM($E$5:$E615)</f>
        <v>590506.44000000134</v>
      </c>
      <c r="J615" s="4">
        <f t="shared" si="9"/>
        <v>1.3969838619232178E-9</v>
      </c>
    </row>
    <row r="616" spans="1:10" x14ac:dyDescent="0.75">
      <c r="A616" s="5" t="s">
        <v>590</v>
      </c>
      <c r="B616" s="5" t="s">
        <v>590</v>
      </c>
      <c r="C616" s="3" t="s">
        <v>591</v>
      </c>
      <c r="E616" s="3">
        <v>4389.04</v>
      </c>
      <c r="F616" s="3" t="s">
        <v>11</v>
      </c>
      <c r="G616" s="3">
        <v>586117.4</v>
      </c>
      <c r="I616" s="4">
        <f>SUM($F$5:$F616)-SUM($E$5:$E616)</f>
        <v>586117.40000000224</v>
      </c>
      <c r="J616" s="4">
        <f t="shared" si="9"/>
        <v>2.2118911147117615E-9</v>
      </c>
    </row>
    <row r="617" spans="1:10" x14ac:dyDescent="0.75">
      <c r="A617" s="5" t="s">
        <v>590</v>
      </c>
      <c r="B617" s="5" t="s">
        <v>590</v>
      </c>
      <c r="C617" s="3" t="s">
        <v>592</v>
      </c>
      <c r="E617" s="3">
        <v>6317.74</v>
      </c>
      <c r="F617" s="3" t="s">
        <v>11</v>
      </c>
      <c r="G617" s="3">
        <v>579799.66</v>
      </c>
      <c r="I617" s="4">
        <f>SUM($F$5:$F617)-SUM($E$5:$E617)</f>
        <v>579799.66000000201</v>
      </c>
      <c r="J617" s="4">
        <f t="shared" si="9"/>
        <v>1.9790604710578918E-9</v>
      </c>
    </row>
    <row r="618" spans="1:10" x14ac:dyDescent="0.75">
      <c r="A618" s="5" t="s">
        <v>590</v>
      </c>
      <c r="B618" s="5" t="s">
        <v>590</v>
      </c>
      <c r="C618" s="3" t="s">
        <v>593</v>
      </c>
      <c r="E618" s="3">
        <v>6456</v>
      </c>
      <c r="F618" s="3" t="s">
        <v>11</v>
      </c>
      <c r="G618" s="3">
        <v>573343.66</v>
      </c>
      <c r="I618" s="4">
        <f>SUM($F$5:$F618)-SUM($E$5:$E618)</f>
        <v>573343.66000000201</v>
      </c>
      <c r="J618" s="4">
        <f t="shared" si="9"/>
        <v>1.9790604710578918E-9</v>
      </c>
    </row>
    <row r="619" spans="1:10" x14ac:dyDescent="0.75">
      <c r="A619" s="5" t="s">
        <v>590</v>
      </c>
      <c r="B619" s="5" t="s">
        <v>590</v>
      </c>
      <c r="C619" s="3" t="s">
        <v>594</v>
      </c>
      <c r="E619" s="3">
        <v>10350.540000000001</v>
      </c>
      <c r="F619" s="3" t="s">
        <v>11</v>
      </c>
      <c r="G619" s="3">
        <v>562993.12</v>
      </c>
      <c r="I619" s="4">
        <f>SUM($F$5:$F619)-SUM($E$5:$E619)</f>
        <v>562993.12000000291</v>
      </c>
      <c r="J619" s="4">
        <f t="shared" si="9"/>
        <v>2.9103830456733704E-9</v>
      </c>
    </row>
    <row r="620" spans="1:10" x14ac:dyDescent="0.75">
      <c r="A620" s="5" t="s">
        <v>590</v>
      </c>
      <c r="B620" s="5" t="s">
        <v>590</v>
      </c>
      <c r="C620" s="3" t="s">
        <v>30</v>
      </c>
      <c r="E620" s="3" t="s">
        <v>11</v>
      </c>
      <c r="F620" s="3">
        <v>12424.4</v>
      </c>
      <c r="G620" s="3">
        <v>575417.52</v>
      </c>
      <c r="I620" s="4">
        <f>SUM($F$5:$F620)-SUM($E$5:$E620)</f>
        <v>575417.52000000328</v>
      </c>
      <c r="J620" s="4">
        <f t="shared" si="9"/>
        <v>3.2596290111541748E-9</v>
      </c>
    </row>
    <row r="621" spans="1:10" x14ac:dyDescent="0.75">
      <c r="A621" s="5" t="s">
        <v>595</v>
      </c>
      <c r="B621" s="5" t="s">
        <v>595</v>
      </c>
      <c r="C621" s="3" t="s">
        <v>596</v>
      </c>
      <c r="E621" s="3">
        <v>2138.85</v>
      </c>
      <c r="F621" s="3" t="s">
        <v>11</v>
      </c>
      <c r="G621" s="3">
        <v>573278.67000000004</v>
      </c>
      <c r="I621" s="4">
        <f>SUM($F$5:$F621)-SUM($E$5:$E621)</f>
        <v>573278.67000000365</v>
      </c>
      <c r="J621" s="4">
        <f t="shared" si="9"/>
        <v>3.6088749766349792E-9</v>
      </c>
    </row>
    <row r="622" spans="1:10" x14ac:dyDescent="0.75">
      <c r="A622" s="3" t="s">
        <v>595</v>
      </c>
      <c r="B622" s="3" t="s">
        <v>595</v>
      </c>
      <c r="C622" s="3" t="s">
        <v>597</v>
      </c>
      <c r="E622" s="3">
        <v>2182.5</v>
      </c>
      <c r="F622" s="3" t="s">
        <v>11</v>
      </c>
      <c r="G622" s="3">
        <v>571096.17000000004</v>
      </c>
      <c r="I622" s="4">
        <f>SUM($F$5:$F622)-SUM($E$5:$E622)</f>
        <v>571096.17000000365</v>
      </c>
      <c r="J622" s="4">
        <f t="shared" si="9"/>
        <v>3.6088749766349792E-9</v>
      </c>
    </row>
    <row r="623" spans="1:10" x14ac:dyDescent="0.75">
      <c r="A623" s="3" t="s">
        <v>595</v>
      </c>
      <c r="B623" s="3" t="s">
        <v>595</v>
      </c>
      <c r="C623" s="3" t="s">
        <v>598</v>
      </c>
      <c r="E623" s="3">
        <v>9913.2900000000009</v>
      </c>
      <c r="F623" s="3" t="s">
        <v>11</v>
      </c>
      <c r="G623" s="3">
        <v>561182.88</v>
      </c>
      <c r="I623" s="4">
        <f>SUM($F$5:$F623)-SUM($E$5:$E623)</f>
        <v>561182.88000000454</v>
      </c>
      <c r="J623" s="4">
        <f t="shared" si="9"/>
        <v>4.5401975512504578E-9</v>
      </c>
    </row>
    <row r="624" spans="1:10" x14ac:dyDescent="0.75">
      <c r="A624" s="3" t="s">
        <v>595</v>
      </c>
      <c r="B624" s="3" t="s">
        <v>595</v>
      </c>
      <c r="C624" s="3" t="s">
        <v>599</v>
      </c>
      <c r="E624" s="3">
        <v>24094.16</v>
      </c>
      <c r="F624" s="3" t="s">
        <v>11</v>
      </c>
      <c r="G624" s="3">
        <v>537088.72</v>
      </c>
      <c r="I624" s="4">
        <f>SUM($F$5:$F624)-SUM($E$5:$E624)</f>
        <v>537088.7200000044</v>
      </c>
      <c r="J624" s="4">
        <f t="shared" si="9"/>
        <v>4.4237822294235229E-9</v>
      </c>
    </row>
    <row r="625" spans="1:10" x14ac:dyDescent="0.75">
      <c r="A625" s="3" t="s">
        <v>595</v>
      </c>
      <c r="B625" s="3" t="s">
        <v>595</v>
      </c>
      <c r="C625" s="3" t="s">
        <v>600</v>
      </c>
      <c r="E625" s="3">
        <v>1931.82</v>
      </c>
      <c r="F625" s="3" t="s">
        <v>11</v>
      </c>
      <c r="G625" s="3">
        <v>535156.9</v>
      </c>
      <c r="I625" s="4">
        <f>SUM($F$5:$F625)-SUM($E$5:$E625)</f>
        <v>535156.9000000041</v>
      </c>
      <c r="J625" s="4">
        <f t="shared" si="9"/>
        <v>4.0745362639427185E-9</v>
      </c>
    </row>
    <row r="626" spans="1:10" x14ac:dyDescent="0.75">
      <c r="A626" s="3" t="s">
        <v>595</v>
      </c>
      <c r="B626" s="3" t="s">
        <v>595</v>
      </c>
      <c r="C626" s="3" t="s">
        <v>601</v>
      </c>
      <c r="E626" s="3">
        <v>2354.36</v>
      </c>
      <c r="F626" s="3" t="s">
        <v>11</v>
      </c>
      <c r="G626" s="3">
        <v>532802.54</v>
      </c>
      <c r="I626" s="4">
        <f>SUM($F$5:$F626)-SUM($E$5:$E626)</f>
        <v>532802.54000000469</v>
      </c>
      <c r="J626" s="4">
        <f t="shared" si="9"/>
        <v>4.6566128730773926E-9</v>
      </c>
    </row>
    <row r="627" spans="1:10" x14ac:dyDescent="0.75">
      <c r="A627" s="3" t="s">
        <v>595</v>
      </c>
      <c r="B627" s="3" t="s">
        <v>595</v>
      </c>
      <c r="C627" s="3" t="s">
        <v>602</v>
      </c>
      <c r="E627" s="3">
        <v>2572.8200000000002</v>
      </c>
      <c r="F627" s="3" t="s">
        <v>11</v>
      </c>
      <c r="G627" s="3">
        <v>530229.72</v>
      </c>
      <c r="I627" s="4">
        <f>SUM($F$5:$F627)-SUM($E$5:$E627)</f>
        <v>530229.7200000044</v>
      </c>
      <c r="J627" s="4">
        <f t="shared" si="9"/>
        <v>4.4237822294235229E-9</v>
      </c>
    </row>
    <row r="628" spans="1:10" x14ac:dyDescent="0.75">
      <c r="A628" s="3" t="s">
        <v>603</v>
      </c>
      <c r="B628" s="3" t="s">
        <v>603</v>
      </c>
      <c r="C628" s="3" t="s">
        <v>30</v>
      </c>
      <c r="E628" s="3" t="s">
        <v>11</v>
      </c>
      <c r="F628" s="3">
        <v>43506.09</v>
      </c>
      <c r="G628" s="3">
        <v>573735.81000000006</v>
      </c>
      <c r="I628" s="4">
        <f>SUM($F$5:$F628)-SUM($E$5:$E628)</f>
        <v>573735.81000000425</v>
      </c>
      <c r="J628" s="4">
        <f t="shared" si="9"/>
        <v>4.1909515857696533E-9</v>
      </c>
    </row>
    <row r="629" spans="1:10" x14ac:dyDescent="0.75">
      <c r="A629" s="3" t="s">
        <v>603</v>
      </c>
      <c r="B629" s="3" t="s">
        <v>603</v>
      </c>
      <c r="C629" s="3" t="s">
        <v>30</v>
      </c>
      <c r="E629" s="3" t="s">
        <v>11</v>
      </c>
      <c r="F629" s="3">
        <v>134125.06</v>
      </c>
      <c r="G629" s="3">
        <v>707860.87</v>
      </c>
      <c r="I629" s="4">
        <f>SUM($F$5:$F629)-SUM($E$5:$E629)</f>
        <v>707860.87000000477</v>
      </c>
      <c r="J629" s="4">
        <f t="shared" si="9"/>
        <v>4.7730281949043274E-9</v>
      </c>
    </row>
    <row r="630" spans="1:10" x14ac:dyDescent="0.75">
      <c r="A630" s="3" t="s">
        <v>604</v>
      </c>
      <c r="B630" s="3" t="s">
        <v>604</v>
      </c>
      <c r="C630" s="3" t="s">
        <v>605</v>
      </c>
      <c r="E630" s="3">
        <v>1710</v>
      </c>
      <c r="F630" s="3" t="s">
        <v>11</v>
      </c>
      <c r="G630" s="3">
        <v>706150.87</v>
      </c>
      <c r="I630" s="4">
        <f>SUM($F$5:$F630)-SUM($E$5:$E630)</f>
        <v>706150.87000000477</v>
      </c>
      <c r="J630" s="4">
        <f t="shared" si="9"/>
        <v>4.7730281949043274E-9</v>
      </c>
    </row>
    <row r="631" spans="1:10" x14ac:dyDescent="0.75">
      <c r="A631" s="3" t="s">
        <v>604</v>
      </c>
      <c r="B631" s="3" t="s">
        <v>604</v>
      </c>
      <c r="C631" s="3" t="s">
        <v>30</v>
      </c>
      <c r="E631" s="3" t="s">
        <v>11</v>
      </c>
      <c r="F631" s="3">
        <v>68399.66</v>
      </c>
      <c r="G631" s="3">
        <v>774550.53</v>
      </c>
      <c r="I631" s="4">
        <f>SUM($F$5:$F631)-SUM($E$5:$E631)</f>
        <v>774550.53000000492</v>
      </c>
      <c r="J631" s="4">
        <f t="shared" si="9"/>
        <v>4.8894435167312622E-9</v>
      </c>
    </row>
    <row r="632" spans="1:10" x14ac:dyDescent="0.75">
      <c r="A632" s="3" t="s">
        <v>606</v>
      </c>
      <c r="B632" s="3" t="s">
        <v>606</v>
      </c>
      <c r="C632" s="3" t="s">
        <v>607</v>
      </c>
      <c r="E632" s="3">
        <v>2329.61</v>
      </c>
      <c r="F632" s="3" t="s">
        <v>11</v>
      </c>
      <c r="G632" s="3">
        <v>772220.92</v>
      </c>
      <c r="I632" s="4">
        <f>SUM($F$5:$F632)-SUM($E$5:$E632)</f>
        <v>772220.92000000551</v>
      </c>
      <c r="J632" s="4">
        <f t="shared" si="9"/>
        <v>5.4715201258659363E-9</v>
      </c>
    </row>
    <row r="633" spans="1:10" x14ac:dyDescent="0.75">
      <c r="A633" s="3" t="s">
        <v>606</v>
      </c>
      <c r="B633" s="3" t="s">
        <v>606</v>
      </c>
      <c r="C633" s="3" t="s">
        <v>608</v>
      </c>
      <c r="E633" s="3">
        <v>3406.67</v>
      </c>
      <c r="F633" s="3" t="s">
        <v>11</v>
      </c>
      <c r="G633" s="3">
        <v>768814.25</v>
      </c>
      <c r="I633" s="4">
        <f>SUM($F$5:$F633)-SUM($E$5:$E633)</f>
        <v>768814.25000000559</v>
      </c>
      <c r="J633" s="4">
        <f t="shared" si="9"/>
        <v>5.5879354476928711E-9</v>
      </c>
    </row>
    <row r="634" spans="1:10" x14ac:dyDescent="0.75">
      <c r="A634" s="3" t="s">
        <v>606</v>
      </c>
      <c r="B634" s="3" t="s">
        <v>606</v>
      </c>
      <c r="C634" s="3" t="s">
        <v>609</v>
      </c>
      <c r="E634" s="3">
        <v>20595.8</v>
      </c>
      <c r="F634" s="3" t="s">
        <v>11</v>
      </c>
      <c r="G634" s="3">
        <v>748218.45</v>
      </c>
      <c r="I634" s="4">
        <f>SUM($F$5:$F634)-SUM($E$5:$E634)</f>
        <v>748218.45000000484</v>
      </c>
      <c r="J634" s="4">
        <f t="shared" si="9"/>
        <v>4.8894435167312622E-9</v>
      </c>
    </row>
    <row r="635" spans="1:10" x14ac:dyDescent="0.75">
      <c r="A635" s="3" t="s">
        <v>606</v>
      </c>
      <c r="B635" s="3" t="s">
        <v>606</v>
      </c>
      <c r="C635" s="3" t="s">
        <v>600</v>
      </c>
      <c r="E635" s="3">
        <v>1339.04</v>
      </c>
      <c r="F635" s="3" t="s">
        <v>11</v>
      </c>
      <c r="G635" s="3">
        <v>746879.41</v>
      </c>
      <c r="I635" s="4">
        <f>SUM($F$5:$F635)-SUM($E$5:$E635)</f>
        <v>746879.41000000574</v>
      </c>
      <c r="J635" s="4">
        <f t="shared" si="9"/>
        <v>5.7043507695198059E-9</v>
      </c>
    </row>
    <row r="636" spans="1:10" x14ac:dyDescent="0.75">
      <c r="A636" s="3" t="s">
        <v>606</v>
      </c>
      <c r="B636" s="3" t="s">
        <v>606</v>
      </c>
      <c r="C636" s="3" t="s">
        <v>610</v>
      </c>
      <c r="E636" s="3">
        <v>864.27</v>
      </c>
      <c r="F636" s="3" t="s">
        <v>11</v>
      </c>
      <c r="G636" s="3">
        <v>746015.14</v>
      </c>
      <c r="I636" s="4">
        <f>SUM($F$5:$F636)-SUM($E$5:$E636)</f>
        <v>746015.14000000618</v>
      </c>
      <c r="J636" s="4">
        <f t="shared" si="9"/>
        <v>6.1700120568275452E-9</v>
      </c>
    </row>
    <row r="637" spans="1:10" x14ac:dyDescent="0.75">
      <c r="A637" s="3" t="s">
        <v>606</v>
      </c>
      <c r="B637" s="3" t="s">
        <v>606</v>
      </c>
      <c r="C637" s="3" t="s">
        <v>611</v>
      </c>
      <c r="E637" s="3">
        <v>7930.64</v>
      </c>
      <c r="F637" s="3" t="s">
        <v>11</v>
      </c>
      <c r="G637" s="3">
        <v>738084.5</v>
      </c>
      <c r="I637" s="4">
        <f>SUM($F$5:$F637)-SUM($E$5:$E637)</f>
        <v>738084.50000000559</v>
      </c>
      <c r="J637" s="4">
        <f t="shared" si="9"/>
        <v>5.5879354476928711E-9</v>
      </c>
    </row>
    <row r="638" spans="1:10" x14ac:dyDescent="0.75">
      <c r="A638" s="3" t="s">
        <v>606</v>
      </c>
      <c r="B638" s="3" t="s">
        <v>606</v>
      </c>
      <c r="C638" s="3" t="s">
        <v>30</v>
      </c>
      <c r="E638" s="3" t="s">
        <v>11</v>
      </c>
      <c r="F638" s="3">
        <v>411651.24</v>
      </c>
      <c r="G638" s="3">
        <v>1149735.74</v>
      </c>
      <c r="I638" s="4">
        <f>SUM($F$5:$F638)-SUM($E$5:$E638)</f>
        <v>1149735.7400000058</v>
      </c>
      <c r="J638" s="4">
        <f t="shared" si="9"/>
        <v>5.8207660913467407E-9</v>
      </c>
    </row>
    <row r="639" spans="1:10" x14ac:dyDescent="0.75">
      <c r="A639" s="3" t="s">
        <v>612</v>
      </c>
      <c r="B639" s="3" t="s">
        <v>612</v>
      </c>
      <c r="C639" s="3" t="s">
        <v>613</v>
      </c>
      <c r="E639" s="3">
        <v>800</v>
      </c>
      <c r="F639" s="3" t="s">
        <v>11</v>
      </c>
      <c r="G639" s="3">
        <v>1148935.74</v>
      </c>
      <c r="I639" s="4">
        <f>SUM($F$5:$F639)-SUM($E$5:$E639)</f>
        <v>1148935.7400000058</v>
      </c>
      <c r="J639" s="4">
        <f t="shared" si="9"/>
        <v>5.8207660913467407E-9</v>
      </c>
    </row>
    <row r="640" spans="1:10" x14ac:dyDescent="0.75">
      <c r="A640" s="3" t="s">
        <v>612</v>
      </c>
      <c r="B640" s="3" t="s">
        <v>612</v>
      </c>
      <c r="C640" s="3" t="s">
        <v>614</v>
      </c>
      <c r="E640" s="3">
        <v>886.49</v>
      </c>
      <c r="F640" s="3" t="s">
        <v>11</v>
      </c>
      <c r="G640" s="3">
        <v>1148049.25</v>
      </c>
      <c r="I640" s="4">
        <f>SUM($F$5:$F640)-SUM($E$5:$E640)</f>
        <v>1148049.2500000056</v>
      </c>
      <c r="J640" s="4">
        <f t="shared" si="9"/>
        <v>5.5879354476928711E-9</v>
      </c>
    </row>
    <row r="641" spans="1:10" x14ac:dyDescent="0.75">
      <c r="A641" s="3" t="s">
        <v>612</v>
      </c>
      <c r="B641" s="3" t="s">
        <v>612</v>
      </c>
      <c r="C641" s="3" t="s">
        <v>615</v>
      </c>
      <c r="E641" s="3">
        <v>900</v>
      </c>
      <c r="F641" s="3" t="s">
        <v>11</v>
      </c>
      <c r="G641" s="3">
        <v>1147149.25</v>
      </c>
      <c r="I641" s="4">
        <f>SUM($F$5:$F641)-SUM($E$5:$E641)</f>
        <v>1147149.2500000056</v>
      </c>
      <c r="J641" s="4">
        <f t="shared" si="9"/>
        <v>5.5879354476928711E-9</v>
      </c>
    </row>
    <row r="642" spans="1:10" x14ac:dyDescent="0.75">
      <c r="A642" s="3" t="s">
        <v>612</v>
      </c>
      <c r="B642" s="3" t="s">
        <v>612</v>
      </c>
      <c r="C642" s="3" t="s">
        <v>616</v>
      </c>
      <c r="E642" s="3">
        <v>2182.48</v>
      </c>
      <c r="F642" s="3" t="s">
        <v>11</v>
      </c>
      <c r="G642" s="3">
        <v>1144966.77</v>
      </c>
      <c r="I642" s="4">
        <f>SUM($F$5:$F642)-SUM($E$5:$E642)</f>
        <v>1144966.7700000051</v>
      </c>
      <c r="J642" s="4">
        <f t="shared" si="9"/>
        <v>5.1222741603851318E-9</v>
      </c>
    </row>
    <row r="643" spans="1:10" x14ac:dyDescent="0.75">
      <c r="A643" s="3" t="s">
        <v>612</v>
      </c>
      <c r="B643" s="3" t="s">
        <v>612</v>
      </c>
      <c r="C643" s="3" t="s">
        <v>617</v>
      </c>
      <c r="E643" s="3">
        <v>5200</v>
      </c>
      <c r="F643" s="3" t="s">
        <v>11</v>
      </c>
      <c r="G643" s="3">
        <v>1139766.77</v>
      </c>
      <c r="I643" s="4">
        <f>SUM($F$5:$F643)-SUM($E$5:$E643)</f>
        <v>1139766.7700000051</v>
      </c>
      <c r="J643" s="4">
        <f t="shared" si="9"/>
        <v>5.1222741603851318E-9</v>
      </c>
    </row>
    <row r="644" spans="1:10" x14ac:dyDescent="0.75">
      <c r="A644" s="3" t="s">
        <v>612</v>
      </c>
      <c r="B644" s="3" t="s">
        <v>612</v>
      </c>
      <c r="C644" s="3" t="s">
        <v>618</v>
      </c>
      <c r="E644" s="3">
        <v>5891.99</v>
      </c>
      <c r="F644" s="3" t="s">
        <v>11</v>
      </c>
      <c r="G644" s="3">
        <v>1133874.78</v>
      </c>
      <c r="I644" s="4">
        <f>SUM($F$5:$F644)-SUM($E$5:$E644)</f>
        <v>1133874.7800000049</v>
      </c>
      <c r="J644" s="4">
        <f t="shared" si="9"/>
        <v>4.8894435167312622E-9</v>
      </c>
    </row>
    <row r="645" spans="1:10" x14ac:dyDescent="0.75">
      <c r="A645" s="3" t="s">
        <v>612</v>
      </c>
      <c r="B645" s="3" t="s">
        <v>612</v>
      </c>
      <c r="C645" s="3" t="s">
        <v>619</v>
      </c>
      <c r="E645" s="3">
        <v>2211.6</v>
      </c>
      <c r="F645" s="3" t="s">
        <v>11</v>
      </c>
      <c r="G645" s="3">
        <v>1131663.18</v>
      </c>
      <c r="I645" s="4">
        <f>SUM($F$5:$F645)-SUM($E$5:$E645)</f>
        <v>1131663.1800000053</v>
      </c>
      <c r="J645" s="4">
        <f t="shared" si="9"/>
        <v>5.3551048040390015E-9</v>
      </c>
    </row>
    <row r="646" spans="1:10" x14ac:dyDescent="0.75">
      <c r="A646" s="3" t="s">
        <v>612</v>
      </c>
      <c r="B646" s="3" t="s">
        <v>612</v>
      </c>
      <c r="C646" s="3" t="s">
        <v>620</v>
      </c>
      <c r="E646" s="3">
        <v>8856.1</v>
      </c>
      <c r="F646" s="3" t="s">
        <v>11</v>
      </c>
      <c r="G646" s="3">
        <v>1122807.08</v>
      </c>
      <c r="I646" s="4">
        <f>SUM($F$5:$F646)-SUM($E$5:$E646)</f>
        <v>1122807.0800000057</v>
      </c>
      <c r="J646" s="4">
        <f t="shared" ref="J646:J709" si="10">I646-G646</f>
        <v>5.5879354476928711E-9</v>
      </c>
    </row>
    <row r="647" spans="1:10" x14ac:dyDescent="0.75">
      <c r="A647" s="3" t="s">
        <v>612</v>
      </c>
      <c r="B647" s="3" t="s">
        <v>612</v>
      </c>
      <c r="C647" s="3" t="s">
        <v>621</v>
      </c>
      <c r="E647" s="3">
        <v>8907.15</v>
      </c>
      <c r="F647" s="3" t="s">
        <v>11</v>
      </c>
      <c r="G647" s="3">
        <v>1113899.93</v>
      </c>
      <c r="I647" s="4">
        <f>SUM($F$5:$F647)-SUM($E$5:$E647)</f>
        <v>1113899.9300000053</v>
      </c>
      <c r="J647" s="4">
        <f t="shared" si="10"/>
        <v>5.3551048040390015E-9</v>
      </c>
    </row>
    <row r="648" spans="1:10" x14ac:dyDescent="0.75">
      <c r="A648" s="3" t="s">
        <v>612</v>
      </c>
      <c r="B648" s="3" t="s">
        <v>612</v>
      </c>
      <c r="C648" s="3" t="s">
        <v>30</v>
      </c>
      <c r="E648" s="3" t="s">
        <v>11</v>
      </c>
      <c r="F648" s="3">
        <v>80279.03</v>
      </c>
      <c r="G648" s="3">
        <v>1194178.96</v>
      </c>
      <c r="I648" s="4">
        <f>SUM($F$5:$F648)-SUM($E$5:$E648)</f>
        <v>1194178.9600000046</v>
      </c>
      <c r="J648" s="4">
        <f t="shared" si="10"/>
        <v>4.6566128730773926E-9</v>
      </c>
    </row>
    <row r="649" spans="1:10" x14ac:dyDescent="0.75">
      <c r="A649" s="3" t="s">
        <v>622</v>
      </c>
      <c r="B649" s="3" t="s">
        <v>622</v>
      </c>
      <c r="C649" s="3" t="s">
        <v>623</v>
      </c>
      <c r="E649" s="3">
        <v>1796.78</v>
      </c>
      <c r="F649" s="3" t="s">
        <v>11</v>
      </c>
      <c r="G649" s="3">
        <v>1192382.18</v>
      </c>
      <c r="I649" s="4">
        <f>SUM($F$5:$F649)-SUM($E$5:$E649)</f>
        <v>1192382.1800000053</v>
      </c>
      <c r="J649" s="4">
        <f t="shared" si="10"/>
        <v>5.3551048040390015E-9</v>
      </c>
    </row>
    <row r="650" spans="1:10" x14ac:dyDescent="0.75">
      <c r="A650" s="3" t="s">
        <v>622</v>
      </c>
      <c r="B650" s="3" t="s">
        <v>622</v>
      </c>
      <c r="C650" s="3" t="s">
        <v>624</v>
      </c>
      <c r="E650" s="3">
        <v>1999.41</v>
      </c>
      <c r="F650" s="3" t="s">
        <v>11</v>
      </c>
      <c r="G650" s="3">
        <v>1190382.77</v>
      </c>
      <c r="I650" s="4">
        <f>SUM($F$5:$F650)-SUM($E$5:$E650)</f>
        <v>1190382.7700000051</v>
      </c>
      <c r="J650" s="4">
        <f t="shared" si="10"/>
        <v>5.1222741603851318E-9</v>
      </c>
    </row>
    <row r="651" spans="1:10" x14ac:dyDescent="0.75">
      <c r="A651" s="3" t="s">
        <v>622</v>
      </c>
      <c r="B651" s="3" t="s">
        <v>622</v>
      </c>
      <c r="C651" s="3" t="s">
        <v>625</v>
      </c>
      <c r="E651" s="3">
        <v>2280</v>
      </c>
      <c r="F651" s="3" t="s">
        <v>11</v>
      </c>
      <c r="G651" s="3">
        <v>1188102.77</v>
      </c>
      <c r="I651" s="4">
        <f>SUM($F$5:$F651)-SUM($E$5:$E651)</f>
        <v>1188102.7700000051</v>
      </c>
      <c r="J651" s="4">
        <f t="shared" si="10"/>
        <v>5.1222741603851318E-9</v>
      </c>
    </row>
    <row r="652" spans="1:10" x14ac:dyDescent="0.75">
      <c r="A652" s="3" t="s">
        <v>622</v>
      </c>
      <c r="B652" s="3" t="s">
        <v>622</v>
      </c>
      <c r="C652" s="3" t="s">
        <v>30</v>
      </c>
      <c r="E652" s="3" t="s">
        <v>11</v>
      </c>
      <c r="F652" s="3">
        <v>34915.43</v>
      </c>
      <c r="G652" s="3">
        <v>1223018.2</v>
      </c>
      <c r="I652" s="4">
        <f>SUM($F$5:$F652)-SUM($E$5:$E652)</f>
        <v>1223018.2000000048</v>
      </c>
      <c r="J652" s="4">
        <f t="shared" si="10"/>
        <v>4.8894435167312622E-9</v>
      </c>
    </row>
    <row r="653" spans="1:10" x14ac:dyDescent="0.75">
      <c r="A653" s="3" t="s">
        <v>626</v>
      </c>
      <c r="B653" s="3" t="s">
        <v>626</v>
      </c>
      <c r="C653" s="3" t="s">
        <v>627</v>
      </c>
      <c r="E653" s="3">
        <v>636.5</v>
      </c>
      <c r="F653" s="3" t="s">
        <v>11</v>
      </c>
      <c r="G653" s="3">
        <v>1222381.7</v>
      </c>
      <c r="I653" s="4">
        <f>SUM($F$5:$F653)-SUM($E$5:$E653)</f>
        <v>1222381.7000000048</v>
      </c>
      <c r="J653" s="4">
        <f t="shared" si="10"/>
        <v>4.8894435167312622E-9</v>
      </c>
    </row>
    <row r="654" spans="1:10" x14ac:dyDescent="0.75">
      <c r="A654" s="3" t="s">
        <v>626</v>
      </c>
      <c r="B654" s="3" t="s">
        <v>626</v>
      </c>
      <c r="C654" s="3" t="s">
        <v>628</v>
      </c>
      <c r="E654" s="3">
        <v>2025</v>
      </c>
      <c r="F654" s="3" t="s">
        <v>11</v>
      </c>
      <c r="G654" s="3">
        <v>1220356.7</v>
      </c>
      <c r="I654" s="4">
        <f>SUM($F$5:$F654)-SUM($E$5:$E654)</f>
        <v>1220356.7000000048</v>
      </c>
      <c r="J654" s="4">
        <f t="shared" si="10"/>
        <v>4.8894435167312622E-9</v>
      </c>
    </row>
    <row r="655" spans="1:10" x14ac:dyDescent="0.75">
      <c r="A655" s="3" t="s">
        <v>626</v>
      </c>
      <c r="B655" s="3" t="s">
        <v>626</v>
      </c>
      <c r="C655" s="3" t="s">
        <v>629</v>
      </c>
      <c r="E655" s="3">
        <v>2856.4</v>
      </c>
      <c r="F655" s="3" t="s">
        <v>11</v>
      </c>
      <c r="G655" s="3">
        <v>1217500.3</v>
      </c>
      <c r="I655" s="4">
        <f>SUM($F$5:$F655)-SUM($E$5:$E655)</f>
        <v>1217500.3000000045</v>
      </c>
      <c r="J655" s="4">
        <f t="shared" si="10"/>
        <v>4.4237822294235229E-9</v>
      </c>
    </row>
    <row r="656" spans="1:10" x14ac:dyDescent="0.75">
      <c r="A656" s="3" t="s">
        <v>626</v>
      </c>
      <c r="B656" s="3" t="s">
        <v>626</v>
      </c>
      <c r="C656" s="3" t="s">
        <v>630</v>
      </c>
      <c r="E656" s="3">
        <v>6231.65</v>
      </c>
      <c r="F656" s="3" t="s">
        <v>11</v>
      </c>
      <c r="G656" s="3">
        <v>1211268.6499999999</v>
      </c>
      <c r="I656" s="4">
        <f>SUM($F$5:$F656)-SUM($E$5:$E656)</f>
        <v>1211268.6500000041</v>
      </c>
      <c r="J656" s="4">
        <f t="shared" si="10"/>
        <v>4.1909515857696533E-9</v>
      </c>
    </row>
    <row r="657" spans="1:10" x14ac:dyDescent="0.75">
      <c r="A657" s="3" t="s">
        <v>626</v>
      </c>
      <c r="B657" s="3" t="s">
        <v>626</v>
      </c>
      <c r="C657" s="3" t="s">
        <v>631</v>
      </c>
      <c r="E657" s="3">
        <v>7307.82</v>
      </c>
      <c r="F657" s="3" t="s">
        <v>11</v>
      </c>
      <c r="G657" s="3">
        <v>1203960.83</v>
      </c>
      <c r="I657" s="4">
        <f>SUM($F$5:$F657)-SUM($E$5:$E657)</f>
        <v>1203960.8300000038</v>
      </c>
      <c r="J657" s="4">
        <f t="shared" si="10"/>
        <v>3.7252902984619141E-9</v>
      </c>
    </row>
    <row r="658" spans="1:10" x14ac:dyDescent="0.75">
      <c r="A658" s="3" t="s">
        <v>626</v>
      </c>
      <c r="B658" s="3" t="s">
        <v>626</v>
      </c>
      <c r="C658" s="3" t="s">
        <v>632</v>
      </c>
      <c r="E658" s="3">
        <v>13650</v>
      </c>
      <c r="F658" s="3" t="s">
        <v>11</v>
      </c>
      <c r="G658" s="3">
        <v>1190310.83</v>
      </c>
      <c r="I658" s="4">
        <f>SUM($F$5:$F658)-SUM($E$5:$E658)</f>
        <v>1190310.8300000038</v>
      </c>
      <c r="J658" s="4">
        <f t="shared" si="10"/>
        <v>3.7252902984619141E-9</v>
      </c>
    </row>
    <row r="659" spans="1:10" x14ac:dyDescent="0.75">
      <c r="A659" s="3" t="s">
        <v>626</v>
      </c>
      <c r="B659" s="3" t="s">
        <v>626</v>
      </c>
      <c r="C659" s="3" t="s">
        <v>633</v>
      </c>
      <c r="E659" s="3">
        <v>13837.47</v>
      </c>
      <c r="F659" s="3" t="s">
        <v>11</v>
      </c>
      <c r="G659" s="3">
        <v>1176473.3600000001</v>
      </c>
      <c r="I659" s="4">
        <f>SUM($F$5:$F659)-SUM($E$5:$E659)</f>
        <v>1176473.3600000031</v>
      </c>
      <c r="J659" s="4">
        <f t="shared" si="10"/>
        <v>3.0267983675003052E-9</v>
      </c>
    </row>
    <row r="660" spans="1:10" x14ac:dyDescent="0.75">
      <c r="A660" s="3" t="s">
        <v>626</v>
      </c>
      <c r="B660" s="3" t="s">
        <v>626</v>
      </c>
      <c r="C660" s="3" t="s">
        <v>634</v>
      </c>
      <c r="E660" s="3">
        <v>18152.2</v>
      </c>
      <c r="F660" s="3" t="s">
        <v>11</v>
      </c>
      <c r="G660" s="3">
        <v>1158321.1599999999</v>
      </c>
      <c r="I660" s="4">
        <f>SUM($F$5:$F660)-SUM($E$5:$E660)</f>
        <v>1158321.1600000039</v>
      </c>
      <c r="J660" s="4">
        <f t="shared" si="10"/>
        <v>3.9581209421157837E-9</v>
      </c>
    </row>
    <row r="661" spans="1:10" x14ac:dyDescent="0.75">
      <c r="A661" s="3" t="s">
        <v>626</v>
      </c>
      <c r="B661" s="3" t="s">
        <v>626</v>
      </c>
      <c r="C661" s="3" t="s">
        <v>635</v>
      </c>
      <c r="E661" s="3">
        <v>18906.23</v>
      </c>
      <c r="F661" s="3" t="s">
        <v>11</v>
      </c>
      <c r="G661" s="3">
        <v>1139414.93</v>
      </c>
      <c r="I661" s="4">
        <f>SUM($F$5:$F661)-SUM($E$5:$E661)</f>
        <v>1139414.9300000034</v>
      </c>
      <c r="J661" s="4">
        <f t="shared" si="10"/>
        <v>3.4924596548080444E-9</v>
      </c>
    </row>
    <row r="662" spans="1:10" x14ac:dyDescent="0.75">
      <c r="A662" s="3" t="s">
        <v>626</v>
      </c>
      <c r="B662" s="3" t="s">
        <v>626</v>
      </c>
      <c r="C662" s="3" t="s">
        <v>636</v>
      </c>
      <c r="E662" s="3">
        <v>18925.5</v>
      </c>
      <c r="F662" s="3" t="s">
        <v>11</v>
      </c>
      <c r="G662" s="3">
        <v>1120489.43</v>
      </c>
      <c r="I662" s="4">
        <f>SUM($F$5:$F662)-SUM($E$5:$E662)</f>
        <v>1120489.4300000034</v>
      </c>
      <c r="J662" s="4">
        <f t="shared" si="10"/>
        <v>3.4924596548080444E-9</v>
      </c>
    </row>
    <row r="663" spans="1:10" x14ac:dyDescent="0.75">
      <c r="A663" s="3" t="s">
        <v>626</v>
      </c>
      <c r="B663" s="3" t="s">
        <v>626</v>
      </c>
      <c r="F663" s="3" t="s">
        <v>11</v>
      </c>
      <c r="G663" s="4">
        <v>1120489.43</v>
      </c>
      <c r="I663" s="4">
        <f>SUM($F$5:$F663)-SUM($E$5:$E663)</f>
        <v>1120489.4300000034</v>
      </c>
      <c r="J663" s="4">
        <f t="shared" si="10"/>
        <v>3.4924596548080444E-9</v>
      </c>
    </row>
    <row r="664" spans="1:10" x14ac:dyDescent="0.75">
      <c r="A664" s="3" t="s">
        <v>637</v>
      </c>
      <c r="B664" s="3" t="s">
        <v>637</v>
      </c>
      <c r="C664" s="3" t="s">
        <v>600</v>
      </c>
      <c r="E664" s="3">
        <v>131.71</v>
      </c>
      <c r="F664" s="3" t="s">
        <v>11</v>
      </c>
      <c r="G664" s="4">
        <v>1120357.72</v>
      </c>
      <c r="I664" s="4">
        <f>SUM($F$5:$F664)-SUM($E$5:$E664)</f>
        <v>1120357.7200000025</v>
      </c>
      <c r="J664" s="4">
        <f t="shared" si="10"/>
        <v>2.5611370801925659E-9</v>
      </c>
    </row>
    <row r="665" spans="1:10" x14ac:dyDescent="0.75">
      <c r="A665" s="3" t="s">
        <v>637</v>
      </c>
      <c r="B665" s="3" t="s">
        <v>637</v>
      </c>
      <c r="C665" s="3" t="s">
        <v>600</v>
      </c>
      <c r="E665" s="4">
        <v>16000</v>
      </c>
      <c r="F665" s="3" t="s">
        <v>11</v>
      </c>
      <c r="G665" s="4">
        <v>1104357.72</v>
      </c>
      <c r="I665" s="4">
        <f>SUM($F$5:$F665)-SUM($E$5:$E665)</f>
        <v>1104357.7200000025</v>
      </c>
      <c r="J665" s="4">
        <f t="shared" si="10"/>
        <v>2.5611370801925659E-9</v>
      </c>
    </row>
    <row r="666" spans="1:10" x14ac:dyDescent="0.75">
      <c r="A666" s="3" t="s">
        <v>637</v>
      </c>
      <c r="C666" s="3" t="s">
        <v>30</v>
      </c>
      <c r="E666" s="3" t="s">
        <v>11</v>
      </c>
      <c r="F666" s="3">
        <v>54746.45</v>
      </c>
      <c r="G666" s="3">
        <v>1159104.17</v>
      </c>
      <c r="I666" s="4">
        <f>SUM($F$5:$F666)-SUM($E$5:$E666)</f>
        <v>1159104.1700000018</v>
      </c>
      <c r="J666" s="4">
        <f t="shared" si="10"/>
        <v>1.862645149230957E-9</v>
      </c>
    </row>
    <row r="667" spans="1:10" x14ac:dyDescent="0.75">
      <c r="A667" s="5">
        <v>43508</v>
      </c>
      <c r="B667" s="5">
        <v>43508</v>
      </c>
      <c r="C667" s="3" t="s">
        <v>638</v>
      </c>
      <c r="E667" s="3">
        <v>178220.55</v>
      </c>
      <c r="F667" s="3" t="s">
        <v>11</v>
      </c>
      <c r="G667" s="3">
        <v>980883.62</v>
      </c>
      <c r="I667" s="4">
        <f>SUM($F$5:$F667)-SUM($E$5:$E667)</f>
        <v>980883.62000000104</v>
      </c>
      <c r="J667" s="4">
        <f t="shared" si="10"/>
        <v>1.0477378964424133E-9</v>
      </c>
    </row>
    <row r="668" spans="1:10" x14ac:dyDescent="0.75">
      <c r="A668" s="5">
        <v>43508</v>
      </c>
      <c r="B668" s="5">
        <v>43508</v>
      </c>
      <c r="C668" s="3" t="s">
        <v>639</v>
      </c>
      <c r="E668" s="3">
        <v>3616.2</v>
      </c>
      <c r="F668" s="3" t="s">
        <v>11</v>
      </c>
      <c r="G668" s="3">
        <v>977267.42</v>
      </c>
      <c r="I668" s="4">
        <f>SUM($F$5:$F668)-SUM($E$5:$E668)</f>
        <v>977267.42000000179</v>
      </c>
      <c r="J668" s="4">
        <f t="shared" si="10"/>
        <v>1.7462298274040222E-9</v>
      </c>
    </row>
    <row r="669" spans="1:10" x14ac:dyDescent="0.75">
      <c r="A669" s="5">
        <v>43508</v>
      </c>
      <c r="B669" s="5">
        <v>43508</v>
      </c>
      <c r="C669" s="3" t="s">
        <v>640</v>
      </c>
      <c r="E669" s="3">
        <v>13669.34</v>
      </c>
      <c r="F669" s="3" t="s">
        <v>11</v>
      </c>
      <c r="G669" s="3">
        <v>963598.08</v>
      </c>
      <c r="I669" s="4">
        <f>SUM($F$5:$F669)-SUM($E$5:$E669)</f>
        <v>963598.08000000194</v>
      </c>
      <c r="J669" s="4">
        <f t="shared" si="10"/>
        <v>1.9790604710578918E-9</v>
      </c>
    </row>
    <row r="670" spans="1:10" x14ac:dyDescent="0.75">
      <c r="A670" s="5">
        <v>43508</v>
      </c>
      <c r="B670" s="5">
        <v>43508</v>
      </c>
      <c r="C670" s="3" t="s">
        <v>641</v>
      </c>
      <c r="E670" s="3">
        <v>17705.060000000001</v>
      </c>
      <c r="F670" s="3" t="s">
        <v>11</v>
      </c>
      <c r="G670" s="3">
        <v>945893.02</v>
      </c>
      <c r="I670" s="4">
        <f>SUM($F$5:$F670)-SUM($E$5:$E670)</f>
        <v>945893.02000000142</v>
      </c>
      <c r="J670" s="4">
        <f t="shared" si="10"/>
        <v>1.3969838619232178E-9</v>
      </c>
    </row>
    <row r="671" spans="1:10" x14ac:dyDescent="0.75">
      <c r="A671" s="5">
        <v>43508</v>
      </c>
      <c r="B671" s="5">
        <v>43508</v>
      </c>
      <c r="C671" s="3" t="s">
        <v>642</v>
      </c>
      <c r="E671" s="3">
        <v>31470.639999999999</v>
      </c>
      <c r="F671" s="3" t="s">
        <v>11</v>
      </c>
      <c r="G671" s="3">
        <v>914422.38</v>
      </c>
      <c r="I671" s="4">
        <f>SUM($F$5:$F671)-SUM($E$5:$E671)</f>
        <v>914422.38000000082</v>
      </c>
      <c r="J671" s="4">
        <f t="shared" si="10"/>
        <v>0</v>
      </c>
    </row>
    <row r="672" spans="1:10" x14ac:dyDescent="0.75">
      <c r="A672" s="5">
        <v>43508</v>
      </c>
      <c r="B672" s="5">
        <v>43508</v>
      </c>
      <c r="C672" s="3" t="s">
        <v>643</v>
      </c>
      <c r="E672" s="3">
        <v>34532.5</v>
      </c>
      <c r="F672" s="3" t="s">
        <v>11</v>
      </c>
      <c r="G672" s="3">
        <v>879889.88</v>
      </c>
      <c r="I672" s="4">
        <f>SUM($F$5:$F672)-SUM($E$5:$E672)</f>
        <v>879889.88000000082</v>
      </c>
      <c r="J672" s="4">
        <f t="shared" si="10"/>
        <v>0</v>
      </c>
    </row>
    <row r="673" spans="1:10" x14ac:dyDescent="0.75">
      <c r="A673" s="5">
        <v>43508</v>
      </c>
      <c r="B673" s="5">
        <v>43508</v>
      </c>
      <c r="C673" s="3" t="s">
        <v>30</v>
      </c>
      <c r="E673" s="3" t="s">
        <v>11</v>
      </c>
      <c r="F673" s="3">
        <v>72236.98</v>
      </c>
      <c r="G673" s="3">
        <v>952126.86</v>
      </c>
      <c r="I673" s="4">
        <f>SUM($F$5:$F673)-SUM($E$5:$E673)</f>
        <v>952126.86000000127</v>
      </c>
      <c r="J673" s="4">
        <f t="shared" si="10"/>
        <v>1.280568540096283E-9</v>
      </c>
    </row>
    <row r="674" spans="1:10" x14ac:dyDescent="0.75">
      <c r="A674" s="5">
        <v>43536</v>
      </c>
      <c r="B674" s="5">
        <v>43536</v>
      </c>
      <c r="C674" s="3" t="s">
        <v>644</v>
      </c>
      <c r="E674" s="3">
        <v>1120</v>
      </c>
      <c r="F674" s="3" t="s">
        <v>11</v>
      </c>
      <c r="G674" s="3">
        <v>951006.86</v>
      </c>
      <c r="I674" s="4">
        <f>SUM($F$5:$F674)-SUM($E$5:$E674)</f>
        <v>951006.86000000127</v>
      </c>
      <c r="J674" s="4">
        <f t="shared" si="10"/>
        <v>1.280568540096283E-9</v>
      </c>
    </row>
    <row r="675" spans="1:10" x14ac:dyDescent="0.75">
      <c r="A675" s="5">
        <v>43536</v>
      </c>
      <c r="B675" s="5">
        <v>43536</v>
      </c>
      <c r="C675" s="3" t="s">
        <v>645</v>
      </c>
      <c r="E675" s="3">
        <v>1300</v>
      </c>
      <c r="F675" s="3" t="s">
        <v>11</v>
      </c>
      <c r="G675" s="3">
        <v>949706.86</v>
      </c>
      <c r="I675" s="4">
        <f>SUM($F$5:$F675)-SUM($E$5:$E675)</f>
        <v>949706.86000000127</v>
      </c>
      <c r="J675" s="4">
        <f t="shared" si="10"/>
        <v>1.280568540096283E-9</v>
      </c>
    </row>
    <row r="676" spans="1:10" x14ac:dyDescent="0.75">
      <c r="A676" s="5">
        <v>43536</v>
      </c>
      <c r="B676" s="5">
        <v>43536</v>
      </c>
      <c r="C676" s="3" t="s">
        <v>646</v>
      </c>
      <c r="E676" s="3">
        <v>1920</v>
      </c>
      <c r="F676" s="3" t="s">
        <v>11</v>
      </c>
      <c r="G676" s="3">
        <v>947786.86</v>
      </c>
      <c r="I676" s="4">
        <f>SUM($F$5:$F676)-SUM($E$5:$E676)</f>
        <v>947786.86000000127</v>
      </c>
      <c r="J676" s="4">
        <f t="shared" si="10"/>
        <v>1.280568540096283E-9</v>
      </c>
    </row>
    <row r="677" spans="1:10" x14ac:dyDescent="0.75">
      <c r="A677" s="5">
        <v>43536</v>
      </c>
      <c r="B677" s="5">
        <v>43536</v>
      </c>
      <c r="C677" s="3" t="s">
        <v>647</v>
      </c>
      <c r="E677" s="3">
        <v>943.5</v>
      </c>
      <c r="F677" s="3" t="s">
        <v>11</v>
      </c>
      <c r="G677" s="3">
        <v>946843.36</v>
      </c>
      <c r="I677" s="4">
        <f>SUM($F$5:$F677)-SUM($E$5:$E677)</f>
        <v>946843.36000000127</v>
      </c>
      <c r="J677" s="4">
        <f t="shared" si="10"/>
        <v>1.280568540096283E-9</v>
      </c>
    </row>
    <row r="678" spans="1:10" x14ac:dyDescent="0.75">
      <c r="A678" s="5">
        <v>43536</v>
      </c>
      <c r="B678" s="5">
        <v>43536</v>
      </c>
      <c r="C678" s="3" t="s">
        <v>648</v>
      </c>
      <c r="E678" s="3">
        <v>1288.31</v>
      </c>
      <c r="F678" s="3" t="s">
        <v>11</v>
      </c>
      <c r="G678" s="3">
        <v>945555.05</v>
      </c>
      <c r="I678" s="4">
        <f>SUM($F$5:$F678)-SUM($E$5:$E678)</f>
        <v>945555.05000000075</v>
      </c>
      <c r="J678" s="4">
        <f t="shared" si="10"/>
        <v>0</v>
      </c>
    </row>
    <row r="679" spans="1:10" x14ac:dyDescent="0.75">
      <c r="A679" s="5">
        <v>43536</v>
      </c>
      <c r="B679" s="5">
        <v>43536</v>
      </c>
      <c r="C679" s="3" t="s">
        <v>649</v>
      </c>
      <c r="E679" s="3">
        <v>1713.09</v>
      </c>
      <c r="F679" s="3" t="s">
        <v>11</v>
      </c>
      <c r="G679" s="3">
        <v>943841.96</v>
      </c>
      <c r="I679" s="4">
        <f>SUM($F$5:$F679)-SUM($E$5:$E679)</f>
        <v>943841.96000000089</v>
      </c>
      <c r="J679" s="4">
        <f t="shared" si="10"/>
        <v>9.3132257461547852E-10</v>
      </c>
    </row>
    <row r="680" spans="1:10" x14ac:dyDescent="0.75">
      <c r="A680" s="5">
        <v>43536</v>
      </c>
      <c r="B680" s="5">
        <v>43536</v>
      </c>
      <c r="C680" s="3" t="s">
        <v>650</v>
      </c>
      <c r="E680" s="3">
        <v>9579.2000000000007</v>
      </c>
      <c r="F680" s="3" t="s">
        <v>11</v>
      </c>
      <c r="G680" s="3">
        <v>934262.76</v>
      </c>
      <c r="I680" s="4">
        <f>SUM($F$5:$F680)-SUM($E$5:$E680)</f>
        <v>934262.76000000164</v>
      </c>
      <c r="J680" s="4">
        <f t="shared" si="10"/>
        <v>1.6298145055770874E-9</v>
      </c>
    </row>
    <row r="681" spans="1:10" x14ac:dyDescent="0.75">
      <c r="A681" s="5">
        <v>43536</v>
      </c>
      <c r="B681" s="5">
        <v>43536</v>
      </c>
      <c r="C681" s="3" t="s">
        <v>30</v>
      </c>
      <c r="E681" s="3" t="s">
        <v>11</v>
      </c>
      <c r="F681" s="3">
        <v>9911.31</v>
      </c>
      <c r="G681" s="3">
        <v>944174.07</v>
      </c>
      <c r="I681" s="4">
        <f>SUM($F$5:$F681)-SUM($E$5:$E681)</f>
        <v>944174.07000000216</v>
      </c>
      <c r="J681" s="4">
        <f t="shared" si="10"/>
        <v>2.2118911147117615E-9</v>
      </c>
    </row>
    <row r="682" spans="1:10" x14ac:dyDescent="0.75">
      <c r="A682" s="5">
        <v>43567</v>
      </c>
      <c r="B682" s="5">
        <v>43567</v>
      </c>
      <c r="C682" s="3" t="s">
        <v>651</v>
      </c>
      <c r="E682" s="3">
        <v>824.5</v>
      </c>
      <c r="F682" s="3" t="s">
        <v>11</v>
      </c>
      <c r="G682" s="3">
        <v>943349.57</v>
      </c>
      <c r="I682" s="4">
        <f>SUM($F$5:$F682)-SUM($E$5:$E682)</f>
        <v>943349.57000000216</v>
      </c>
      <c r="J682" s="4">
        <f t="shared" si="10"/>
        <v>2.2118911147117615E-9</v>
      </c>
    </row>
    <row r="683" spans="1:10" x14ac:dyDescent="0.75">
      <c r="A683" s="5">
        <v>43567</v>
      </c>
      <c r="B683" s="5">
        <v>43567</v>
      </c>
      <c r="C683" s="3" t="s">
        <v>652</v>
      </c>
      <c r="E683" s="3">
        <v>3395</v>
      </c>
      <c r="F683" s="3" t="s">
        <v>11</v>
      </c>
      <c r="G683" s="3">
        <v>939954.57</v>
      </c>
      <c r="I683" s="4">
        <f>SUM($F$5:$F683)-SUM($E$5:$E683)</f>
        <v>939954.57000000216</v>
      </c>
      <c r="J683" s="4">
        <f t="shared" si="10"/>
        <v>2.2118911147117615E-9</v>
      </c>
    </row>
    <row r="684" spans="1:10" x14ac:dyDescent="0.75">
      <c r="A684" s="5">
        <v>43567</v>
      </c>
      <c r="B684" s="5">
        <v>43567</v>
      </c>
      <c r="C684" s="3" t="s">
        <v>653</v>
      </c>
      <c r="E684" s="3">
        <v>6760.9</v>
      </c>
      <c r="F684" s="3" t="s">
        <v>11</v>
      </c>
      <c r="G684" s="3">
        <v>933193.67</v>
      </c>
      <c r="I684" s="4">
        <f>SUM($F$5:$F684)-SUM($E$5:$E684)</f>
        <v>933193.67000000179</v>
      </c>
      <c r="J684" s="4">
        <f t="shared" si="10"/>
        <v>1.7462298274040222E-9</v>
      </c>
    </row>
    <row r="685" spans="1:10" x14ac:dyDescent="0.75">
      <c r="A685" s="5">
        <v>43567</v>
      </c>
      <c r="B685" s="5">
        <v>43567</v>
      </c>
      <c r="C685" s="3" t="s">
        <v>654</v>
      </c>
      <c r="E685" s="3">
        <v>11072.25</v>
      </c>
      <c r="F685" s="3" t="s">
        <v>11</v>
      </c>
      <c r="G685" s="3">
        <v>922121.42</v>
      </c>
      <c r="I685" s="4">
        <f>SUM($F$5:$F685)-SUM($E$5:$E685)</f>
        <v>922121.42000000179</v>
      </c>
      <c r="J685" s="4">
        <f t="shared" si="10"/>
        <v>1.7462298274040222E-9</v>
      </c>
    </row>
    <row r="686" spans="1:10" x14ac:dyDescent="0.75">
      <c r="A686" s="5">
        <v>43567</v>
      </c>
      <c r="B686" s="5">
        <v>43567</v>
      </c>
      <c r="C686" s="3" t="s">
        <v>655</v>
      </c>
      <c r="E686" s="3">
        <v>28898.71</v>
      </c>
      <c r="F686" s="3" t="s">
        <v>11</v>
      </c>
      <c r="G686" s="3">
        <v>893222.71</v>
      </c>
      <c r="I686" s="4">
        <f>SUM($F$5:$F686)-SUM($E$5:$E686)</f>
        <v>893222.71000000089</v>
      </c>
      <c r="J686" s="4">
        <f t="shared" si="10"/>
        <v>9.3132257461547852E-10</v>
      </c>
    </row>
    <row r="687" spans="1:10" x14ac:dyDescent="0.75">
      <c r="A687" s="5">
        <v>43567</v>
      </c>
      <c r="B687" s="5">
        <v>43567</v>
      </c>
      <c r="C687" s="3" t="s">
        <v>656</v>
      </c>
      <c r="E687" s="3">
        <v>32775.06</v>
      </c>
      <c r="F687" s="3" t="s">
        <v>11</v>
      </c>
      <c r="G687" s="3">
        <v>860447.65</v>
      </c>
      <c r="I687" s="4">
        <f>SUM($F$5:$F687)-SUM($E$5:$E687)</f>
        <v>860447.65000000037</v>
      </c>
      <c r="J687" s="4">
        <f t="shared" si="10"/>
        <v>0</v>
      </c>
    </row>
    <row r="688" spans="1:10" x14ac:dyDescent="0.75">
      <c r="A688" s="5">
        <v>43567</v>
      </c>
      <c r="B688" s="5">
        <v>43567</v>
      </c>
      <c r="C688" s="3" t="s">
        <v>657</v>
      </c>
      <c r="E688" s="3">
        <v>38490.57</v>
      </c>
      <c r="F688" s="3" t="s">
        <v>11</v>
      </c>
      <c r="G688" s="3">
        <v>821957.08</v>
      </c>
      <c r="I688" s="4">
        <f>SUM($F$5:$F688)-SUM($E$5:$E688)</f>
        <v>821957.08000000007</v>
      </c>
      <c r="J688" s="4">
        <f t="shared" si="10"/>
        <v>0</v>
      </c>
    </row>
    <row r="689" spans="1:10" x14ac:dyDescent="0.75">
      <c r="A689" s="5">
        <v>43567</v>
      </c>
      <c r="B689" s="5">
        <v>43567</v>
      </c>
      <c r="C689" s="3" t="s">
        <v>658</v>
      </c>
      <c r="E689" s="3">
        <v>48252.21</v>
      </c>
      <c r="F689" s="3" t="s">
        <v>11</v>
      </c>
      <c r="G689" s="3">
        <v>773704.87</v>
      </c>
      <c r="I689" s="4">
        <f>SUM($F$5:$F689)-SUM($E$5:$E689)</f>
        <v>773704.86999999918</v>
      </c>
      <c r="J689" s="4">
        <f t="shared" si="10"/>
        <v>0</v>
      </c>
    </row>
    <row r="690" spans="1:10" x14ac:dyDescent="0.75">
      <c r="A690" s="5">
        <v>43567</v>
      </c>
      <c r="B690" s="5">
        <v>43567</v>
      </c>
      <c r="C690" s="3" t="s">
        <v>600</v>
      </c>
      <c r="E690" s="3">
        <v>7069.8</v>
      </c>
      <c r="F690" s="3" t="s">
        <v>11</v>
      </c>
      <c r="G690" s="3">
        <v>766635.07</v>
      </c>
      <c r="I690" s="4">
        <f>SUM($F$5:$F690)-SUM($E$5:$E690)</f>
        <v>766635.06999999844</v>
      </c>
      <c r="J690" s="4">
        <f t="shared" si="10"/>
        <v>-1.5133991837501526E-9</v>
      </c>
    </row>
    <row r="691" spans="1:10" x14ac:dyDescent="0.75">
      <c r="A691" s="5">
        <v>43567</v>
      </c>
      <c r="B691" s="5">
        <v>43567</v>
      </c>
      <c r="C691" s="3" t="s">
        <v>659</v>
      </c>
      <c r="E691" s="3">
        <v>864.27</v>
      </c>
      <c r="F691" s="3" t="s">
        <v>11</v>
      </c>
      <c r="G691" s="3">
        <v>765770.8</v>
      </c>
      <c r="I691" s="4">
        <f>SUM($F$5:$F691)-SUM($E$5:$E691)</f>
        <v>765770.79999999888</v>
      </c>
      <c r="J691" s="4">
        <f t="shared" si="10"/>
        <v>-1.1641532182693481E-9</v>
      </c>
    </row>
    <row r="692" spans="1:10" x14ac:dyDescent="0.75">
      <c r="A692" s="5">
        <v>43567</v>
      </c>
      <c r="B692" s="5">
        <v>43567</v>
      </c>
      <c r="C692" s="3" t="s">
        <v>660</v>
      </c>
      <c r="E692" s="3">
        <v>10313.33</v>
      </c>
      <c r="F692" s="3" t="s">
        <v>11</v>
      </c>
      <c r="G692" s="3">
        <v>755457.47</v>
      </c>
      <c r="I692" s="4">
        <f>SUM($F$5:$F692)-SUM($E$5:$E692)</f>
        <v>755457.46999999881</v>
      </c>
      <c r="J692" s="4">
        <f t="shared" si="10"/>
        <v>-1.1641532182693481E-9</v>
      </c>
    </row>
    <row r="693" spans="1:10" x14ac:dyDescent="0.75">
      <c r="A693" s="5">
        <v>43567</v>
      </c>
      <c r="B693" s="5">
        <v>43567</v>
      </c>
      <c r="C693" s="3" t="s">
        <v>30</v>
      </c>
      <c r="E693" s="3" t="s">
        <v>11</v>
      </c>
      <c r="F693" s="3">
        <v>9059.1</v>
      </c>
      <c r="G693" s="3">
        <v>764516.57</v>
      </c>
      <c r="I693" s="4">
        <f>SUM($F$5:$F693)-SUM($E$5:$E693)</f>
        <v>764516.56999999844</v>
      </c>
      <c r="J693" s="4">
        <f t="shared" si="10"/>
        <v>-1.5133991837501526E-9</v>
      </c>
    </row>
    <row r="694" spans="1:10" x14ac:dyDescent="0.75">
      <c r="A694" s="5">
        <v>43597</v>
      </c>
      <c r="B694" s="5">
        <v>43597</v>
      </c>
      <c r="C694" s="3" t="s">
        <v>661</v>
      </c>
      <c r="E694" s="3">
        <v>1661.39</v>
      </c>
      <c r="F694" s="3" t="s">
        <v>11</v>
      </c>
      <c r="G694" s="3">
        <v>762855.18</v>
      </c>
      <c r="I694" s="4">
        <f>SUM($F$5:$F694)-SUM($E$5:$E694)</f>
        <v>762855.17999999784</v>
      </c>
      <c r="J694" s="4">
        <f t="shared" si="10"/>
        <v>-2.2118911147117615E-9</v>
      </c>
    </row>
    <row r="695" spans="1:10" x14ac:dyDescent="0.75">
      <c r="A695" s="5">
        <v>43597</v>
      </c>
      <c r="B695" s="5">
        <v>43597</v>
      </c>
      <c r="C695" s="3" t="s">
        <v>662</v>
      </c>
      <c r="E695" s="3">
        <v>525.47</v>
      </c>
      <c r="F695" s="3" t="s">
        <v>11</v>
      </c>
      <c r="G695" s="3">
        <v>762329.71</v>
      </c>
      <c r="I695" s="4">
        <f>SUM($F$5:$F695)-SUM($E$5:$E695)</f>
        <v>762329.70999999717</v>
      </c>
      <c r="J695" s="4">
        <f t="shared" si="10"/>
        <v>-2.7939677238464355E-9</v>
      </c>
    </row>
    <row r="696" spans="1:10" x14ac:dyDescent="0.75">
      <c r="A696" s="5">
        <v>43597</v>
      </c>
      <c r="B696" s="5">
        <v>43597</v>
      </c>
      <c r="C696" s="3" t="s">
        <v>663</v>
      </c>
      <c r="E696" s="3">
        <v>1829.87</v>
      </c>
      <c r="F696" s="3" t="s">
        <v>11</v>
      </c>
      <c r="G696" s="3">
        <v>760499.84</v>
      </c>
      <c r="I696" s="4">
        <f>SUM($F$5:$F696)-SUM($E$5:$E696)</f>
        <v>760499.83999999799</v>
      </c>
      <c r="J696" s="4">
        <f t="shared" si="10"/>
        <v>-1.9790604710578918E-9</v>
      </c>
    </row>
    <row r="697" spans="1:10" x14ac:dyDescent="0.75">
      <c r="A697" s="5">
        <v>43597</v>
      </c>
      <c r="B697" s="5">
        <v>43597</v>
      </c>
      <c r="C697" s="3" t="s">
        <v>664</v>
      </c>
      <c r="E697" s="3">
        <v>2425.5</v>
      </c>
      <c r="F697" s="3" t="s">
        <v>11</v>
      </c>
      <c r="G697" s="3">
        <v>758074.34</v>
      </c>
      <c r="I697" s="4">
        <f>SUM($F$5:$F697)-SUM($E$5:$E697)</f>
        <v>758074.33999999799</v>
      </c>
      <c r="J697" s="4">
        <f t="shared" si="10"/>
        <v>-1.9790604710578918E-9</v>
      </c>
    </row>
    <row r="698" spans="1:10" x14ac:dyDescent="0.75">
      <c r="A698" s="5">
        <v>43597</v>
      </c>
      <c r="B698" s="5">
        <v>43597</v>
      </c>
      <c r="C698" s="3" t="s">
        <v>665</v>
      </c>
      <c r="E698" s="3">
        <v>2451.25</v>
      </c>
      <c r="F698" s="3" t="s">
        <v>11</v>
      </c>
      <c r="G698" s="3">
        <v>755623.09</v>
      </c>
      <c r="I698" s="4">
        <f>SUM($F$5:$F698)-SUM($E$5:$E698)</f>
        <v>755623.08999999799</v>
      </c>
      <c r="J698" s="4">
        <f t="shared" si="10"/>
        <v>-1.9790604710578918E-9</v>
      </c>
    </row>
    <row r="699" spans="1:10" x14ac:dyDescent="0.75">
      <c r="A699" s="5">
        <v>43597</v>
      </c>
      <c r="B699" s="5">
        <v>43597</v>
      </c>
      <c r="C699" s="3" t="s">
        <v>666</v>
      </c>
      <c r="E699" s="3">
        <v>8617.14</v>
      </c>
      <c r="F699" s="3" t="s">
        <v>11</v>
      </c>
      <c r="G699" s="3">
        <v>747005.95</v>
      </c>
      <c r="I699" s="4">
        <f>SUM($F$5:$F699)-SUM($E$5:$E699)</f>
        <v>747005.94999999739</v>
      </c>
      <c r="J699" s="4">
        <f t="shared" si="10"/>
        <v>-2.5611370801925659E-9</v>
      </c>
    </row>
    <row r="700" spans="1:10" x14ac:dyDescent="0.75">
      <c r="A700" s="5">
        <v>43597</v>
      </c>
      <c r="B700" s="5">
        <v>43597</v>
      </c>
      <c r="C700" s="3" t="s">
        <v>667</v>
      </c>
      <c r="E700" s="3">
        <v>64275.75</v>
      </c>
      <c r="F700" s="3" t="s">
        <v>11</v>
      </c>
      <c r="G700" s="3">
        <v>682730.2</v>
      </c>
      <c r="I700" s="4">
        <f>SUM($F$5:$F700)-SUM($E$5:$E700)</f>
        <v>682730.19999999739</v>
      </c>
      <c r="J700" s="4">
        <f t="shared" si="10"/>
        <v>-2.5611370801925659E-9</v>
      </c>
    </row>
    <row r="701" spans="1:10" x14ac:dyDescent="0.75">
      <c r="A701" s="5">
        <v>43597</v>
      </c>
      <c r="B701" s="5">
        <v>43597</v>
      </c>
      <c r="C701" s="3" t="s">
        <v>668</v>
      </c>
      <c r="E701" s="3">
        <v>155676.20000000001</v>
      </c>
      <c r="F701" s="3" t="s">
        <v>11</v>
      </c>
      <c r="G701" s="3">
        <v>527054</v>
      </c>
      <c r="I701" s="4">
        <f>SUM($F$5:$F701)-SUM($E$5:$E701)</f>
        <v>527053.99999999814</v>
      </c>
      <c r="J701" s="4">
        <f t="shared" si="10"/>
        <v>-1.862645149230957E-9</v>
      </c>
    </row>
    <row r="702" spans="1:10" x14ac:dyDescent="0.75">
      <c r="A702" s="5">
        <v>43597</v>
      </c>
      <c r="B702" s="5">
        <v>43597</v>
      </c>
      <c r="C702" s="3" t="s">
        <v>669</v>
      </c>
      <c r="E702" s="3">
        <v>359805.48</v>
      </c>
      <c r="F702" s="3" t="s">
        <v>11</v>
      </c>
      <c r="G702" s="3">
        <v>167248.51999999999</v>
      </c>
      <c r="I702" s="4">
        <f>SUM($F$5:$F702)-SUM($E$5:$E702)</f>
        <v>167248.51999999769</v>
      </c>
      <c r="J702" s="4">
        <f t="shared" si="10"/>
        <v>-2.2992026060819626E-9</v>
      </c>
    </row>
    <row r="703" spans="1:10" x14ac:dyDescent="0.75">
      <c r="A703" s="5">
        <v>43597</v>
      </c>
      <c r="B703" s="5">
        <v>43597</v>
      </c>
      <c r="C703" s="3" t="s">
        <v>30</v>
      </c>
      <c r="E703" s="3" t="s">
        <v>11</v>
      </c>
      <c r="F703" s="3">
        <v>70014.12</v>
      </c>
      <c r="G703" s="3">
        <v>237262.64</v>
      </c>
      <c r="I703" s="4">
        <f>SUM($F$5:$F703)-SUM($E$5:$E703)</f>
        <v>237262.63999999687</v>
      </c>
      <c r="J703" s="4">
        <f t="shared" si="10"/>
        <v>-3.14321368932724E-9</v>
      </c>
    </row>
    <row r="704" spans="1:10" x14ac:dyDescent="0.75">
      <c r="A704" s="5">
        <v>43720</v>
      </c>
      <c r="B704" s="5">
        <v>43720</v>
      </c>
      <c r="C704" s="3" t="s">
        <v>670</v>
      </c>
      <c r="E704" s="3">
        <v>686.25</v>
      </c>
      <c r="F704" s="3" t="s">
        <v>11</v>
      </c>
      <c r="G704" s="3">
        <v>236576.39</v>
      </c>
      <c r="I704" s="4">
        <f>SUM($F$5:$F704)-SUM($E$5:$E704)</f>
        <v>236576.38999999687</v>
      </c>
      <c r="J704" s="4">
        <f t="shared" si="10"/>
        <v>-3.14321368932724E-9</v>
      </c>
    </row>
    <row r="705" spans="1:10" x14ac:dyDescent="0.75">
      <c r="A705" s="5">
        <v>43720</v>
      </c>
      <c r="B705" s="5">
        <v>43720</v>
      </c>
      <c r="C705" s="3" t="s">
        <v>671</v>
      </c>
      <c r="E705" s="3">
        <v>883.79</v>
      </c>
      <c r="F705" s="3" t="s">
        <v>11</v>
      </c>
      <c r="G705" s="3">
        <v>235692.6</v>
      </c>
      <c r="I705" s="4">
        <f>SUM($F$5:$F705)-SUM($E$5:$E705)</f>
        <v>235692.59999999776</v>
      </c>
      <c r="J705" s="4">
        <f t="shared" si="10"/>
        <v>-2.2409949451684952E-9</v>
      </c>
    </row>
    <row r="706" spans="1:10" x14ac:dyDescent="0.75">
      <c r="A706" s="5">
        <v>43720</v>
      </c>
      <c r="B706" s="5">
        <v>43720</v>
      </c>
      <c r="C706" s="3" t="s">
        <v>672</v>
      </c>
      <c r="E706" s="3">
        <v>2176.38</v>
      </c>
      <c r="F706" s="3" t="s">
        <v>11</v>
      </c>
      <c r="G706" s="3">
        <v>233516.22</v>
      </c>
      <c r="I706" s="4">
        <f>SUM($F$5:$F706)-SUM($E$5:$E706)</f>
        <v>233516.21999999695</v>
      </c>
      <c r="J706" s="4">
        <f t="shared" si="10"/>
        <v>-3.0559021979570389E-9</v>
      </c>
    </row>
    <row r="707" spans="1:10" x14ac:dyDescent="0.75">
      <c r="A707" s="5">
        <v>43720</v>
      </c>
      <c r="B707" s="5">
        <v>43720</v>
      </c>
      <c r="C707" s="3" t="s">
        <v>673</v>
      </c>
      <c r="E707" s="3">
        <v>3412.4</v>
      </c>
      <c r="F707" s="3" t="s">
        <v>11</v>
      </c>
      <c r="G707" s="3">
        <v>230103.82</v>
      </c>
      <c r="I707" s="4">
        <f>SUM($F$5:$F707)-SUM($E$5:$E707)</f>
        <v>230103.81999999657</v>
      </c>
      <c r="J707" s="4">
        <f t="shared" si="10"/>
        <v>-3.434251993894577E-9</v>
      </c>
    </row>
    <row r="708" spans="1:10" x14ac:dyDescent="0.75">
      <c r="A708" s="5">
        <v>43720</v>
      </c>
      <c r="B708" s="5">
        <v>43720</v>
      </c>
      <c r="C708" s="3" t="s">
        <v>674</v>
      </c>
      <c r="E708" s="3">
        <v>33617.82</v>
      </c>
      <c r="F708" s="3" t="s">
        <v>11</v>
      </c>
      <c r="G708" s="3">
        <v>196486</v>
      </c>
      <c r="I708" s="4">
        <f>SUM($F$5:$F708)-SUM($E$5:$E708)</f>
        <v>196485.99999999627</v>
      </c>
      <c r="J708" s="4">
        <f t="shared" si="10"/>
        <v>-3.7252902984619141E-9</v>
      </c>
    </row>
    <row r="709" spans="1:10" x14ac:dyDescent="0.75">
      <c r="A709" s="5">
        <v>43720</v>
      </c>
      <c r="B709" s="5">
        <v>43720</v>
      </c>
      <c r="C709" s="3" t="s">
        <v>30</v>
      </c>
      <c r="E709" s="3" t="s">
        <v>11</v>
      </c>
      <c r="F709" s="3">
        <v>21228.7</v>
      </c>
      <c r="G709" s="3">
        <v>217714.7</v>
      </c>
      <c r="I709" s="4">
        <f>SUM($F$5:$F709)-SUM($E$5:$E709)</f>
        <v>217714.69999999553</v>
      </c>
      <c r="J709" s="4">
        <f t="shared" si="10"/>
        <v>-4.4819898903369904E-9</v>
      </c>
    </row>
    <row r="710" spans="1:10" x14ac:dyDescent="0.75">
      <c r="A710" s="5">
        <v>43750</v>
      </c>
      <c r="B710" s="5">
        <v>43750</v>
      </c>
      <c r="C710" s="3" t="s">
        <v>675</v>
      </c>
      <c r="E710" s="3">
        <v>433.2</v>
      </c>
      <c r="F710" s="3" t="s">
        <v>11</v>
      </c>
      <c r="G710" s="3">
        <v>217281.5</v>
      </c>
      <c r="I710" s="4">
        <f>SUM($F$5:$F710)-SUM($E$5:$E710)</f>
        <v>217281.49999999627</v>
      </c>
      <c r="J710" s="4">
        <f t="shared" ref="J710:J773" si="11">I710-G710</f>
        <v>-3.7252902984619141E-9</v>
      </c>
    </row>
    <row r="711" spans="1:10" x14ac:dyDescent="0.75">
      <c r="A711" s="5">
        <v>43750</v>
      </c>
      <c r="B711" s="5">
        <v>43750</v>
      </c>
      <c r="C711" s="3" t="s">
        <v>676</v>
      </c>
      <c r="E711" s="3">
        <v>6658.01</v>
      </c>
      <c r="F711" s="3" t="s">
        <v>11</v>
      </c>
      <c r="G711" s="3">
        <v>210623.49</v>
      </c>
      <c r="I711" s="4">
        <f>SUM($F$5:$F711)-SUM($E$5:$E711)</f>
        <v>210623.4899999965</v>
      </c>
      <c r="J711" s="4">
        <f t="shared" si="11"/>
        <v>-3.4924596548080444E-9</v>
      </c>
    </row>
    <row r="712" spans="1:10" x14ac:dyDescent="0.75">
      <c r="A712" s="5">
        <v>43750</v>
      </c>
      <c r="B712" s="5">
        <v>43750</v>
      </c>
      <c r="C712" s="3" t="s">
        <v>30</v>
      </c>
      <c r="E712" s="3" t="s">
        <v>11</v>
      </c>
      <c r="F712" s="3">
        <v>59706.05</v>
      </c>
      <c r="G712" s="4">
        <v>270329.53999999998</v>
      </c>
      <c r="I712" s="4">
        <f>SUM($F$5:$F712)-SUM($E$5:$E712)</f>
        <v>270329.53999999724</v>
      </c>
      <c r="J712" s="4">
        <f t="shared" si="11"/>
        <v>-2.7357600629329681E-9</v>
      </c>
    </row>
    <row r="713" spans="1:10" x14ac:dyDescent="0.75">
      <c r="A713" s="5">
        <v>43781</v>
      </c>
      <c r="B713" s="5">
        <v>43781</v>
      </c>
      <c r="C713" s="3" t="s">
        <v>30</v>
      </c>
      <c r="E713" s="3" t="s">
        <v>11</v>
      </c>
      <c r="F713" s="3">
        <v>89232.04</v>
      </c>
      <c r="G713" s="4">
        <v>359561.58</v>
      </c>
      <c r="I713" s="4">
        <f>SUM($F$5:$F713)-SUM($E$5:$E713)</f>
        <v>359561.57999999635</v>
      </c>
      <c r="J713" s="4">
        <f t="shared" si="11"/>
        <v>-3.6670826375484467E-9</v>
      </c>
    </row>
    <row r="714" spans="1:10" x14ac:dyDescent="0.75">
      <c r="A714" s="5">
        <v>43811</v>
      </c>
      <c r="B714" s="5">
        <v>43811</v>
      </c>
      <c r="C714" s="3" t="s">
        <v>677</v>
      </c>
      <c r="E714" s="4">
        <v>4594</v>
      </c>
      <c r="F714" s="3" t="s">
        <v>11</v>
      </c>
      <c r="G714" s="4">
        <v>354967.58</v>
      </c>
      <c r="I714" s="4">
        <f>SUM($F$5:$F714)-SUM($E$5:$E714)</f>
        <v>354967.57999999635</v>
      </c>
      <c r="J714" s="4">
        <f t="shared" si="11"/>
        <v>-3.6670826375484467E-9</v>
      </c>
    </row>
    <row r="715" spans="1:10" x14ac:dyDescent="0.75">
      <c r="A715" s="5">
        <v>43811</v>
      </c>
      <c r="B715" s="5">
        <v>43811</v>
      </c>
      <c r="C715" s="3" t="s">
        <v>600</v>
      </c>
      <c r="E715" s="3">
        <v>18848.12</v>
      </c>
      <c r="F715" s="3" t="s">
        <v>11</v>
      </c>
      <c r="G715" s="3">
        <v>336119.46</v>
      </c>
      <c r="I715" s="4">
        <f>SUM($F$5:$F715)-SUM($E$5:$E715)</f>
        <v>336119.45999999717</v>
      </c>
      <c r="J715" s="4">
        <f t="shared" si="11"/>
        <v>-2.852175384759903E-9</v>
      </c>
    </row>
    <row r="716" spans="1:10" x14ac:dyDescent="0.75">
      <c r="A716" s="5">
        <v>43811</v>
      </c>
      <c r="B716" s="5">
        <v>43811</v>
      </c>
      <c r="C716" s="3" t="s">
        <v>30</v>
      </c>
      <c r="E716" s="3" t="s">
        <v>11</v>
      </c>
      <c r="F716" s="3">
        <v>4613.1000000000004</v>
      </c>
      <c r="G716" s="3">
        <v>340732.56</v>
      </c>
      <c r="I716" s="4">
        <f>SUM($F$5:$F716)-SUM($E$5:$E716)</f>
        <v>340732.5599999968</v>
      </c>
      <c r="J716" s="4">
        <f t="shared" si="11"/>
        <v>-3.2014213502407074E-9</v>
      </c>
    </row>
    <row r="717" spans="1:10" x14ac:dyDescent="0.75">
      <c r="A717" s="3" t="s">
        <v>678</v>
      </c>
      <c r="B717" s="3" t="s">
        <v>678</v>
      </c>
      <c r="C717" s="3" t="s">
        <v>679</v>
      </c>
      <c r="E717" s="3">
        <v>1481.75</v>
      </c>
      <c r="F717" s="3" t="s">
        <v>11</v>
      </c>
      <c r="G717" s="3">
        <v>339250.81</v>
      </c>
      <c r="I717" s="4">
        <f>SUM($F$5:$F717)-SUM($E$5:$E717)</f>
        <v>339250.8099999968</v>
      </c>
      <c r="J717" s="4">
        <f t="shared" si="11"/>
        <v>-3.2014213502407074E-9</v>
      </c>
    </row>
    <row r="718" spans="1:10" x14ac:dyDescent="0.75">
      <c r="A718" s="5" t="s">
        <v>678</v>
      </c>
      <c r="B718" s="5" t="s">
        <v>678</v>
      </c>
      <c r="C718" s="3" t="s">
        <v>680</v>
      </c>
      <c r="E718" s="3">
        <v>2910</v>
      </c>
      <c r="F718" s="3" t="s">
        <v>11</v>
      </c>
      <c r="G718" s="3">
        <v>336340.81</v>
      </c>
      <c r="I718" s="4">
        <f>SUM($F$5:$F718)-SUM($E$5:$E718)</f>
        <v>336340.8099999968</v>
      </c>
      <c r="J718" s="4">
        <f t="shared" si="11"/>
        <v>-3.2014213502407074E-9</v>
      </c>
    </row>
    <row r="719" spans="1:10" x14ac:dyDescent="0.75">
      <c r="A719" s="5" t="s">
        <v>678</v>
      </c>
      <c r="B719" s="5" t="s">
        <v>678</v>
      </c>
      <c r="C719" s="3" t="s">
        <v>30</v>
      </c>
      <c r="E719" s="3" t="s">
        <v>11</v>
      </c>
      <c r="F719" s="3">
        <v>162120.01999999999</v>
      </c>
      <c r="G719" s="3">
        <v>498460.83</v>
      </c>
      <c r="I719" s="4">
        <f>SUM($F$5:$F719)-SUM($E$5:$E719)</f>
        <v>498460.82999999635</v>
      </c>
      <c r="J719" s="4">
        <f t="shared" si="11"/>
        <v>-3.6670826375484467E-9</v>
      </c>
    </row>
    <row r="720" spans="1:10" x14ac:dyDescent="0.75">
      <c r="A720" s="5" t="s">
        <v>681</v>
      </c>
      <c r="B720" s="5" t="s">
        <v>681</v>
      </c>
      <c r="C720" s="3" t="s">
        <v>682</v>
      </c>
      <c r="E720" s="3">
        <v>718.67</v>
      </c>
      <c r="F720" s="3" t="s">
        <v>11</v>
      </c>
      <c r="G720" s="3">
        <v>497742.16</v>
      </c>
      <c r="I720" s="4">
        <f>SUM($F$5:$F720)-SUM($E$5:$E720)</f>
        <v>497742.15999999642</v>
      </c>
      <c r="J720" s="4">
        <f t="shared" si="11"/>
        <v>-3.5506673157215118E-9</v>
      </c>
    </row>
    <row r="721" spans="1:10" x14ac:dyDescent="0.75">
      <c r="A721" s="5" t="s">
        <v>681</v>
      </c>
      <c r="B721" s="5" t="s">
        <v>681</v>
      </c>
      <c r="C721" s="3" t="s">
        <v>683</v>
      </c>
      <c r="E721" s="3">
        <v>1800</v>
      </c>
      <c r="F721" s="3" t="s">
        <v>11</v>
      </c>
      <c r="G721" s="3">
        <v>495942.16</v>
      </c>
      <c r="I721" s="4">
        <f>SUM($F$5:$F721)-SUM($E$5:$E721)</f>
        <v>495942.15999999642</v>
      </c>
      <c r="J721" s="4">
        <f t="shared" si="11"/>
        <v>-3.5506673157215118E-9</v>
      </c>
    </row>
    <row r="722" spans="1:10" x14ac:dyDescent="0.75">
      <c r="A722" s="5" t="s">
        <v>681</v>
      </c>
      <c r="B722" s="5" t="s">
        <v>681</v>
      </c>
      <c r="C722" s="3" t="s">
        <v>684</v>
      </c>
      <c r="E722" s="3">
        <v>2405</v>
      </c>
      <c r="F722" s="3" t="s">
        <v>11</v>
      </c>
      <c r="G722" s="3">
        <v>493537.16</v>
      </c>
      <c r="I722" s="4">
        <f>SUM($F$5:$F722)-SUM($E$5:$E722)</f>
        <v>493537.15999999642</v>
      </c>
      <c r="J722" s="4">
        <f t="shared" si="11"/>
        <v>-3.5506673157215118E-9</v>
      </c>
    </row>
    <row r="723" spans="1:10" x14ac:dyDescent="0.75">
      <c r="A723" s="5" t="s">
        <v>681</v>
      </c>
      <c r="B723" s="5" t="s">
        <v>681</v>
      </c>
      <c r="C723" s="3" t="s">
        <v>685</v>
      </c>
      <c r="E723" s="3">
        <v>3191.25</v>
      </c>
      <c r="F723" s="3" t="s">
        <v>11</v>
      </c>
      <c r="G723" s="3">
        <v>490345.91</v>
      </c>
      <c r="I723" s="4">
        <f>SUM($F$5:$F723)-SUM($E$5:$E723)</f>
        <v>490345.90999999642</v>
      </c>
      <c r="J723" s="4">
        <f t="shared" si="11"/>
        <v>-3.5506673157215118E-9</v>
      </c>
    </row>
    <row r="724" spans="1:10" x14ac:dyDescent="0.75">
      <c r="A724" s="5" t="s">
        <v>681</v>
      </c>
      <c r="B724" s="5" t="s">
        <v>681</v>
      </c>
      <c r="C724" s="3" t="s">
        <v>686</v>
      </c>
      <c r="E724" s="3">
        <v>3880</v>
      </c>
      <c r="F724" s="3" t="s">
        <v>11</v>
      </c>
      <c r="G724" s="3">
        <v>486465.91</v>
      </c>
      <c r="I724" s="4">
        <f>SUM($F$5:$F724)-SUM($E$5:$E724)</f>
        <v>486465.90999999642</v>
      </c>
      <c r="J724" s="4">
        <f t="shared" si="11"/>
        <v>-3.5506673157215118E-9</v>
      </c>
    </row>
    <row r="725" spans="1:10" x14ac:dyDescent="0.75">
      <c r="A725" s="5" t="s">
        <v>681</v>
      </c>
      <c r="B725" s="5" t="s">
        <v>681</v>
      </c>
      <c r="C725" s="3" t="s">
        <v>687</v>
      </c>
      <c r="E725" s="3">
        <v>4390.2299999999996</v>
      </c>
      <c r="F725" s="3" t="s">
        <v>11</v>
      </c>
      <c r="G725" s="3">
        <v>482075.68</v>
      </c>
      <c r="I725" s="4">
        <f>SUM($F$5:$F725)-SUM($E$5:$E725)</f>
        <v>482075.67999999598</v>
      </c>
      <c r="J725" s="4">
        <f t="shared" si="11"/>
        <v>-4.0163286030292511E-9</v>
      </c>
    </row>
    <row r="726" spans="1:10" x14ac:dyDescent="0.75">
      <c r="A726" s="5" t="s">
        <v>681</v>
      </c>
      <c r="B726" s="5" t="s">
        <v>681</v>
      </c>
      <c r="C726" s="3" t="s">
        <v>30</v>
      </c>
      <c r="E726" s="3" t="s">
        <v>11</v>
      </c>
      <c r="F726" s="3">
        <v>197915.73</v>
      </c>
      <c r="G726" s="3">
        <v>679991.41</v>
      </c>
      <c r="I726" s="4">
        <f>SUM($F$5:$F726)-SUM($E$5:$E726)</f>
        <v>679991.40999999642</v>
      </c>
      <c r="J726" s="4">
        <f t="shared" si="11"/>
        <v>-3.6088749766349792E-9</v>
      </c>
    </row>
    <row r="727" spans="1:10" x14ac:dyDescent="0.75">
      <c r="A727" s="5" t="s">
        <v>688</v>
      </c>
      <c r="B727" s="5" t="s">
        <v>688</v>
      </c>
      <c r="C727" s="3" t="s">
        <v>689</v>
      </c>
      <c r="E727" s="3">
        <v>1304.25</v>
      </c>
      <c r="F727" s="3" t="s">
        <v>11</v>
      </c>
      <c r="G727" s="3">
        <v>678687.16</v>
      </c>
      <c r="I727" s="4">
        <f>SUM($F$5:$F727)-SUM($E$5:$E727)</f>
        <v>678687.15999999642</v>
      </c>
      <c r="J727" s="4">
        <f t="shared" si="11"/>
        <v>-3.6088749766349792E-9</v>
      </c>
    </row>
    <row r="728" spans="1:10" x14ac:dyDescent="0.75">
      <c r="A728" s="5" t="s">
        <v>688</v>
      </c>
      <c r="B728" s="5" t="s">
        <v>688</v>
      </c>
      <c r="C728" s="3" t="s">
        <v>690</v>
      </c>
      <c r="E728" s="3">
        <v>2324.27</v>
      </c>
      <c r="F728" s="3" t="s">
        <v>11</v>
      </c>
      <c r="G728" s="3">
        <v>676362.89</v>
      </c>
      <c r="I728" s="4">
        <f>SUM($F$5:$F728)-SUM($E$5:$E728)</f>
        <v>676362.88999999687</v>
      </c>
      <c r="J728" s="4">
        <f t="shared" si="11"/>
        <v>-3.14321368932724E-9</v>
      </c>
    </row>
    <row r="729" spans="1:10" x14ac:dyDescent="0.75">
      <c r="A729" s="5" t="s">
        <v>688</v>
      </c>
      <c r="B729" s="5" t="s">
        <v>688</v>
      </c>
      <c r="C729" s="3" t="s">
        <v>691</v>
      </c>
      <c r="E729" s="3">
        <v>2418.87</v>
      </c>
      <c r="F729" s="3" t="s">
        <v>11</v>
      </c>
      <c r="G729" s="3">
        <v>673944.02</v>
      </c>
      <c r="I729" s="4">
        <f>SUM($F$5:$F729)-SUM($E$5:$E729)</f>
        <v>673944.01999999769</v>
      </c>
      <c r="J729" s="4">
        <f t="shared" si="11"/>
        <v>-2.3283064365386963E-9</v>
      </c>
    </row>
    <row r="730" spans="1:10" x14ac:dyDescent="0.75">
      <c r="A730" s="5" t="s">
        <v>688</v>
      </c>
      <c r="B730" s="3" t="s">
        <v>688</v>
      </c>
      <c r="C730" s="3" t="s">
        <v>692</v>
      </c>
      <c r="E730" s="3">
        <v>3498.34</v>
      </c>
      <c r="F730" s="3" t="s">
        <v>11</v>
      </c>
      <c r="G730" s="3">
        <v>670445.68000000005</v>
      </c>
      <c r="I730" s="4">
        <f>SUM($F$5:$F730)-SUM($E$5:$E730)</f>
        <v>670445.67999999784</v>
      </c>
      <c r="J730" s="4">
        <f t="shared" si="11"/>
        <v>-2.2118911147117615E-9</v>
      </c>
    </row>
    <row r="731" spans="1:10" x14ac:dyDescent="0.75">
      <c r="A731" s="5" t="s">
        <v>688</v>
      </c>
      <c r="B731" s="5" t="s">
        <v>688</v>
      </c>
      <c r="C731" s="3" t="s">
        <v>693</v>
      </c>
      <c r="E731" s="3">
        <v>3675.41</v>
      </c>
      <c r="F731" s="3" t="s">
        <v>11</v>
      </c>
      <c r="G731" s="3">
        <v>666770.27</v>
      </c>
      <c r="I731" s="4">
        <f>SUM($F$5:$F731)-SUM($E$5:$E731)</f>
        <v>666770.26999999769</v>
      </c>
      <c r="J731" s="4">
        <f t="shared" si="11"/>
        <v>-2.3283064365386963E-9</v>
      </c>
    </row>
    <row r="732" spans="1:10" x14ac:dyDescent="0.75">
      <c r="A732" s="5" t="s">
        <v>688</v>
      </c>
      <c r="B732" s="5" t="s">
        <v>688</v>
      </c>
      <c r="C732" s="3" t="s">
        <v>694</v>
      </c>
      <c r="E732" s="3">
        <v>4683.42</v>
      </c>
      <c r="F732" s="3" t="s">
        <v>11</v>
      </c>
      <c r="G732" s="3">
        <v>662086.85</v>
      </c>
      <c r="I732" s="4">
        <f>SUM($F$5:$F732)-SUM($E$5:$E732)</f>
        <v>662086.84999999776</v>
      </c>
      <c r="J732" s="4">
        <f t="shared" si="11"/>
        <v>-2.2118911147117615E-9</v>
      </c>
    </row>
    <row r="733" spans="1:10" x14ac:dyDescent="0.75">
      <c r="A733" s="5" t="s">
        <v>688</v>
      </c>
      <c r="B733" s="5" t="s">
        <v>688</v>
      </c>
      <c r="C733" s="3" t="s">
        <v>695</v>
      </c>
      <c r="E733" s="3">
        <v>26572.18</v>
      </c>
      <c r="F733" s="3" t="s">
        <v>11</v>
      </c>
      <c r="G733" s="3">
        <v>635514.67000000004</v>
      </c>
      <c r="I733" s="4">
        <f>SUM($F$5:$F733)-SUM($E$5:$E733)</f>
        <v>635514.66999999806</v>
      </c>
      <c r="J733" s="4">
        <f t="shared" si="11"/>
        <v>-1.9790604710578918E-9</v>
      </c>
    </row>
    <row r="734" spans="1:10" x14ac:dyDescent="0.75">
      <c r="A734" s="5" t="s">
        <v>688</v>
      </c>
      <c r="B734" s="5" t="s">
        <v>688</v>
      </c>
      <c r="C734" s="3" t="s">
        <v>696</v>
      </c>
      <c r="E734" s="3">
        <v>198899.66</v>
      </c>
      <c r="F734" s="3" t="s">
        <v>11</v>
      </c>
      <c r="G734" s="3">
        <v>436615.01</v>
      </c>
      <c r="I734" s="4">
        <f>SUM($F$5:$F734)-SUM($E$5:$E734)</f>
        <v>436615.00999999791</v>
      </c>
      <c r="J734" s="4">
        <f t="shared" si="11"/>
        <v>-2.0954757928848267E-9</v>
      </c>
    </row>
    <row r="735" spans="1:10" x14ac:dyDescent="0.75">
      <c r="A735" s="5" t="s">
        <v>688</v>
      </c>
      <c r="B735" s="5" t="s">
        <v>688</v>
      </c>
      <c r="C735" s="3" t="s">
        <v>697</v>
      </c>
      <c r="E735" s="3">
        <v>712.5</v>
      </c>
      <c r="F735" s="3" t="s">
        <v>11</v>
      </c>
      <c r="G735" s="3">
        <v>435902.51</v>
      </c>
      <c r="I735" s="4">
        <f>SUM($F$5:$F735)-SUM($E$5:$E735)</f>
        <v>435902.50999999791</v>
      </c>
      <c r="J735" s="4">
        <f t="shared" si="11"/>
        <v>-2.0954757928848267E-9</v>
      </c>
    </row>
    <row r="736" spans="1:10" x14ac:dyDescent="0.75">
      <c r="A736" s="5" t="s">
        <v>698</v>
      </c>
      <c r="B736" s="5" t="s">
        <v>698</v>
      </c>
      <c r="C736" s="3" t="s">
        <v>699</v>
      </c>
      <c r="E736" s="3">
        <v>1235</v>
      </c>
      <c r="F736" s="3" t="s">
        <v>11</v>
      </c>
      <c r="G736" s="3">
        <v>434667.51</v>
      </c>
      <c r="I736" s="4">
        <f>SUM($F$5:$F736)-SUM($E$5:$E736)</f>
        <v>434667.50999999791</v>
      </c>
      <c r="J736" s="4">
        <f t="shared" si="11"/>
        <v>-2.0954757928848267E-9</v>
      </c>
    </row>
    <row r="737" spans="1:10" x14ac:dyDescent="0.75">
      <c r="A737" s="5" t="s">
        <v>698</v>
      </c>
      <c r="B737" s="5" t="s">
        <v>698</v>
      </c>
      <c r="C737" s="3" t="s">
        <v>700</v>
      </c>
      <c r="E737" s="3">
        <v>24240.77</v>
      </c>
      <c r="F737" s="3" t="s">
        <v>11</v>
      </c>
      <c r="G737" s="3">
        <v>410426.74</v>
      </c>
      <c r="I737" s="4">
        <f>SUM($F$5:$F737)-SUM($E$5:$E737)</f>
        <v>410426.73999999836</v>
      </c>
      <c r="J737" s="4">
        <f t="shared" si="11"/>
        <v>-1.6298145055770874E-9</v>
      </c>
    </row>
    <row r="738" spans="1:10" x14ac:dyDescent="0.75">
      <c r="A738" s="5" t="s">
        <v>698</v>
      </c>
      <c r="B738" s="5" t="s">
        <v>698</v>
      </c>
      <c r="C738" s="3" t="s">
        <v>701</v>
      </c>
      <c r="E738" s="3">
        <v>32564.48</v>
      </c>
      <c r="F738" s="3" t="s">
        <v>11</v>
      </c>
      <c r="G738" s="3">
        <v>377862.26</v>
      </c>
      <c r="I738" s="4">
        <f>SUM($F$5:$F738)-SUM($E$5:$E738)</f>
        <v>377862.25999999791</v>
      </c>
      <c r="J738" s="4">
        <f t="shared" si="11"/>
        <v>-2.0954757928848267E-9</v>
      </c>
    </row>
    <row r="739" spans="1:10" x14ac:dyDescent="0.75">
      <c r="A739" s="5" t="s">
        <v>698</v>
      </c>
      <c r="B739" s="5" t="s">
        <v>698</v>
      </c>
      <c r="C739" s="3" t="s">
        <v>600</v>
      </c>
      <c r="E739" s="3">
        <v>20834.95</v>
      </c>
      <c r="F739" s="3" t="s">
        <v>11</v>
      </c>
      <c r="G739" s="3">
        <v>357027.31</v>
      </c>
      <c r="I739" s="4">
        <f>SUM($F$5:$F739)-SUM($E$5:$E739)</f>
        <v>357027.30999999866</v>
      </c>
      <c r="J739" s="4">
        <f t="shared" si="11"/>
        <v>-1.3387762010097504E-9</v>
      </c>
    </row>
    <row r="740" spans="1:10" x14ac:dyDescent="0.75">
      <c r="A740" s="5" t="s">
        <v>698</v>
      </c>
      <c r="B740" s="5" t="s">
        <v>698</v>
      </c>
      <c r="C740" s="3" t="s">
        <v>30</v>
      </c>
      <c r="E740" s="3" t="s">
        <v>11</v>
      </c>
      <c r="F740" s="3">
        <v>4375.46</v>
      </c>
      <c r="G740" s="3">
        <v>361402.77</v>
      </c>
      <c r="I740" s="4">
        <f>SUM($F$5:$F740)-SUM($E$5:$E740)</f>
        <v>361402.76999999955</v>
      </c>
      <c r="J740" s="4">
        <f t="shared" si="11"/>
        <v>-4.6566128730773926E-10</v>
      </c>
    </row>
    <row r="741" spans="1:10" x14ac:dyDescent="0.75">
      <c r="A741" s="5" t="s">
        <v>702</v>
      </c>
      <c r="B741" s="5" t="s">
        <v>702</v>
      </c>
      <c r="C741" s="3" t="s">
        <v>703</v>
      </c>
      <c r="E741" s="3">
        <v>5520.34</v>
      </c>
      <c r="F741" s="3" t="s">
        <v>11</v>
      </c>
      <c r="G741" s="3">
        <v>355882.43</v>
      </c>
      <c r="I741" s="4">
        <f>SUM($F$5:$F741)-SUM($E$5:$E741)</f>
        <v>355882.4299999997</v>
      </c>
      <c r="J741" s="4">
        <f t="shared" si="11"/>
        <v>0</v>
      </c>
    </row>
    <row r="742" spans="1:10" x14ac:dyDescent="0.75">
      <c r="A742" s="5" t="s">
        <v>702</v>
      </c>
      <c r="B742" s="5" t="s">
        <v>702</v>
      </c>
      <c r="C742" s="3" t="s">
        <v>704</v>
      </c>
      <c r="E742" s="3">
        <v>9253.7999999999993</v>
      </c>
      <c r="F742" s="3" t="s">
        <v>11</v>
      </c>
      <c r="G742" s="3">
        <v>346628.63</v>
      </c>
      <c r="I742" s="4">
        <f>SUM($F$5:$F742)-SUM($E$5:$E742)</f>
        <v>346628.62999999896</v>
      </c>
      <c r="J742" s="4">
        <f t="shared" si="11"/>
        <v>-1.0477378964424133E-9</v>
      </c>
    </row>
    <row r="743" spans="1:10" x14ac:dyDescent="0.75">
      <c r="A743" s="5" t="s">
        <v>702</v>
      </c>
      <c r="B743" s="3" t="s">
        <v>702</v>
      </c>
      <c r="C743" s="3" t="s">
        <v>705</v>
      </c>
      <c r="E743" s="3">
        <v>13915.16</v>
      </c>
      <c r="F743" s="3" t="s">
        <v>11</v>
      </c>
      <c r="G743" s="3">
        <v>332713.46999999997</v>
      </c>
      <c r="I743" s="4">
        <f>SUM($F$5:$F743)-SUM($E$5:$E743)</f>
        <v>332713.46999999881</v>
      </c>
      <c r="J743" s="4">
        <f t="shared" si="11"/>
        <v>-1.1641532182693481E-9</v>
      </c>
    </row>
    <row r="744" spans="1:10" x14ac:dyDescent="0.75">
      <c r="A744" s="5" t="s">
        <v>702</v>
      </c>
      <c r="B744" s="5" t="s">
        <v>702</v>
      </c>
      <c r="C744" s="3" t="s">
        <v>706</v>
      </c>
      <c r="E744" s="3">
        <v>18315</v>
      </c>
      <c r="F744" s="3" t="s">
        <v>11</v>
      </c>
      <c r="G744" s="3">
        <v>314398.46999999997</v>
      </c>
      <c r="I744" s="4">
        <f>SUM($F$5:$F744)-SUM($E$5:$E744)</f>
        <v>314398.46999999881</v>
      </c>
      <c r="J744" s="4">
        <f t="shared" si="11"/>
        <v>-1.1641532182693481E-9</v>
      </c>
    </row>
    <row r="745" spans="1:10" x14ac:dyDescent="0.75">
      <c r="A745" s="5" t="s">
        <v>702</v>
      </c>
      <c r="B745" s="5" t="s">
        <v>702</v>
      </c>
      <c r="C745" s="3" t="s">
        <v>600</v>
      </c>
      <c r="E745" s="3">
        <v>3955</v>
      </c>
      <c r="F745" s="3" t="s">
        <v>11</v>
      </c>
      <c r="G745" s="3">
        <v>310443.46999999997</v>
      </c>
      <c r="I745" s="4">
        <f>SUM($F$5:$F745)-SUM($E$5:$E745)</f>
        <v>310443.46999999881</v>
      </c>
      <c r="J745" s="4">
        <f t="shared" si="11"/>
        <v>-1.1641532182693481E-9</v>
      </c>
    </row>
    <row r="746" spans="1:10" x14ac:dyDescent="0.75">
      <c r="A746" s="5" t="s">
        <v>702</v>
      </c>
      <c r="B746" s="5" t="s">
        <v>702</v>
      </c>
      <c r="C746" s="3" t="s">
        <v>30</v>
      </c>
      <c r="E746" s="3" t="s">
        <v>11</v>
      </c>
      <c r="F746" s="3">
        <v>76062.63</v>
      </c>
      <c r="G746" s="3">
        <v>386506.1</v>
      </c>
      <c r="I746" s="4">
        <f>SUM($F$5:$F746)-SUM($E$5:$E746)</f>
        <v>386506.09999999963</v>
      </c>
      <c r="J746" s="4">
        <f t="shared" si="11"/>
        <v>0</v>
      </c>
    </row>
    <row r="747" spans="1:10" x14ac:dyDescent="0.75">
      <c r="A747" s="5" t="s">
        <v>707</v>
      </c>
      <c r="B747" s="5" t="s">
        <v>707</v>
      </c>
      <c r="C747" s="3" t="s">
        <v>708</v>
      </c>
      <c r="E747" s="3">
        <v>674.25</v>
      </c>
      <c r="F747" s="3" t="s">
        <v>11</v>
      </c>
      <c r="G747" s="3">
        <v>385831.85</v>
      </c>
      <c r="I747" s="4">
        <f>SUM($F$5:$F747)-SUM($E$5:$E747)</f>
        <v>385831.84999999963</v>
      </c>
      <c r="J747" s="4">
        <f t="shared" si="11"/>
        <v>0</v>
      </c>
    </row>
    <row r="748" spans="1:10" x14ac:dyDescent="0.75">
      <c r="A748" s="5" t="s">
        <v>707</v>
      </c>
      <c r="B748" s="5" t="s">
        <v>707</v>
      </c>
      <c r="C748" s="3" t="s">
        <v>709</v>
      </c>
      <c r="E748" s="3">
        <v>2619</v>
      </c>
      <c r="F748" s="3" t="s">
        <v>11</v>
      </c>
      <c r="G748" s="3">
        <v>383212.85</v>
      </c>
      <c r="I748" s="4">
        <f>SUM($F$5:$F748)-SUM($E$5:$E748)</f>
        <v>383212.84999999963</v>
      </c>
      <c r="J748" s="4">
        <f t="shared" si="11"/>
        <v>0</v>
      </c>
    </row>
    <row r="749" spans="1:10" x14ac:dyDescent="0.75">
      <c r="A749" s="5" t="s">
        <v>707</v>
      </c>
      <c r="B749" s="5" t="s">
        <v>707</v>
      </c>
      <c r="C749" s="3" t="s">
        <v>710</v>
      </c>
      <c r="E749" s="3">
        <v>12519.24</v>
      </c>
      <c r="F749" s="3" t="s">
        <v>11</v>
      </c>
      <c r="G749" s="3">
        <v>370693.61</v>
      </c>
      <c r="I749" s="4">
        <f>SUM($F$5:$F749)-SUM($E$5:$E749)</f>
        <v>370693.6099999994</v>
      </c>
      <c r="J749" s="4">
        <f t="shared" si="11"/>
        <v>-5.8207660913467407E-10</v>
      </c>
    </row>
    <row r="750" spans="1:10" x14ac:dyDescent="0.75">
      <c r="A750" s="5" t="s">
        <v>707</v>
      </c>
      <c r="B750" s="5" t="s">
        <v>707</v>
      </c>
      <c r="C750" s="3" t="s">
        <v>711</v>
      </c>
      <c r="E750" s="3">
        <v>14695.5</v>
      </c>
      <c r="F750" s="3" t="s">
        <v>11</v>
      </c>
      <c r="G750" s="3">
        <v>355998.11</v>
      </c>
      <c r="I750" s="4">
        <f>SUM($F$5:$F750)-SUM($E$5:$E750)</f>
        <v>355998.1099999994</v>
      </c>
      <c r="J750" s="4">
        <f t="shared" si="11"/>
        <v>-5.8207660913467407E-10</v>
      </c>
    </row>
    <row r="751" spans="1:10" x14ac:dyDescent="0.75">
      <c r="A751" s="5" t="s">
        <v>707</v>
      </c>
      <c r="B751" s="5" t="s">
        <v>707</v>
      </c>
      <c r="C751" s="3" t="s">
        <v>712</v>
      </c>
      <c r="E751" s="3">
        <v>18025.88</v>
      </c>
      <c r="F751" s="3" t="s">
        <v>11</v>
      </c>
      <c r="G751" s="3">
        <v>337972.23</v>
      </c>
      <c r="I751" s="4">
        <f>SUM($F$5:$F751)-SUM($E$5:$E751)</f>
        <v>337972.22999999858</v>
      </c>
      <c r="J751" s="4">
        <f t="shared" si="11"/>
        <v>-1.3969838619232178E-9</v>
      </c>
    </row>
    <row r="752" spans="1:10" x14ac:dyDescent="0.75">
      <c r="A752" s="5" t="s">
        <v>707</v>
      </c>
      <c r="B752" s="5" t="s">
        <v>707</v>
      </c>
      <c r="C752" s="3" t="s">
        <v>713</v>
      </c>
      <c r="E752" s="3">
        <v>24152.16</v>
      </c>
      <c r="F752" s="3" t="s">
        <v>11</v>
      </c>
      <c r="G752" s="3">
        <v>313820.07</v>
      </c>
      <c r="I752" s="4">
        <f>SUM($F$5:$F752)-SUM($E$5:$E752)</f>
        <v>313820.06999999844</v>
      </c>
      <c r="J752" s="4">
        <f t="shared" si="11"/>
        <v>-1.57160684466362E-9</v>
      </c>
    </row>
    <row r="753" spans="1:10" x14ac:dyDescent="0.75">
      <c r="A753" s="5" t="s">
        <v>707</v>
      </c>
      <c r="B753" s="5" t="s">
        <v>707</v>
      </c>
      <c r="C753" s="3" t="s">
        <v>30</v>
      </c>
      <c r="E753" s="3" t="s">
        <v>11</v>
      </c>
      <c r="F753" s="3">
        <v>128507.15</v>
      </c>
      <c r="G753" s="3">
        <v>442327.22</v>
      </c>
      <c r="I753" s="4">
        <f>SUM($F$5:$F753)-SUM($E$5:$E753)</f>
        <v>442327.21999999881</v>
      </c>
      <c r="J753" s="4">
        <f t="shared" si="11"/>
        <v>-1.1641532182693481E-9</v>
      </c>
    </row>
    <row r="754" spans="1:10" x14ac:dyDescent="0.75">
      <c r="A754" s="5" t="s">
        <v>714</v>
      </c>
      <c r="B754" s="5" t="s">
        <v>714</v>
      </c>
      <c r="C754" s="3" t="s">
        <v>514</v>
      </c>
      <c r="E754" s="3" t="s">
        <v>11</v>
      </c>
      <c r="F754" s="3">
        <v>366000</v>
      </c>
      <c r="G754" s="3">
        <v>808327.22</v>
      </c>
      <c r="I754" s="4">
        <f>SUM($F$5:$F754)-SUM($E$5:$E754)</f>
        <v>808327.21999999881</v>
      </c>
      <c r="J754" s="4">
        <f t="shared" si="11"/>
        <v>-1.1641532182693481E-9</v>
      </c>
    </row>
    <row r="755" spans="1:10" x14ac:dyDescent="0.75">
      <c r="A755" s="5" t="s">
        <v>714</v>
      </c>
      <c r="B755" s="5" t="s">
        <v>714</v>
      </c>
      <c r="C755" s="3" t="s">
        <v>715</v>
      </c>
      <c r="E755" s="3">
        <v>4856</v>
      </c>
      <c r="F755" s="3" t="s">
        <v>11</v>
      </c>
      <c r="G755" s="3">
        <v>803471.22</v>
      </c>
      <c r="I755" s="4">
        <f>SUM($F$5:$F755)-SUM($E$5:$E755)</f>
        <v>803471.21999999881</v>
      </c>
      <c r="J755" s="4">
        <f t="shared" si="11"/>
        <v>-1.1641532182693481E-9</v>
      </c>
    </row>
    <row r="756" spans="1:10" x14ac:dyDescent="0.75">
      <c r="A756" s="5" t="s">
        <v>714</v>
      </c>
      <c r="B756" s="3" t="s">
        <v>714</v>
      </c>
      <c r="C756" s="3" t="s">
        <v>716</v>
      </c>
      <c r="E756" s="3">
        <v>126.82</v>
      </c>
      <c r="F756" s="3" t="s">
        <v>11</v>
      </c>
      <c r="G756" s="3">
        <v>803344.4</v>
      </c>
      <c r="I756" s="4">
        <f>SUM($F$5:$F756)-SUM($E$5:$E756)</f>
        <v>803344.39999999851</v>
      </c>
      <c r="J756" s="4">
        <f t="shared" si="11"/>
        <v>-1.5133991837501526E-9</v>
      </c>
    </row>
    <row r="757" spans="1:10" x14ac:dyDescent="0.75">
      <c r="A757" s="5" t="s">
        <v>714</v>
      </c>
      <c r="B757" s="5" t="s">
        <v>714</v>
      </c>
      <c r="C757" s="3" t="s">
        <v>717</v>
      </c>
      <c r="E757" s="3">
        <v>629</v>
      </c>
      <c r="F757" s="3" t="s">
        <v>11</v>
      </c>
      <c r="G757" s="3">
        <v>802715.4</v>
      </c>
      <c r="I757" s="4">
        <f>SUM($F$5:$F757)-SUM($E$5:$E757)</f>
        <v>802715.39999999851</v>
      </c>
      <c r="J757" s="4">
        <f t="shared" si="11"/>
        <v>-1.5133991837501526E-9</v>
      </c>
    </row>
    <row r="758" spans="1:10" x14ac:dyDescent="0.75">
      <c r="A758" s="5" t="s">
        <v>714</v>
      </c>
      <c r="B758" s="5" t="s">
        <v>714</v>
      </c>
      <c r="C758" s="3" t="s">
        <v>718</v>
      </c>
      <c r="E758" s="3">
        <v>991.31</v>
      </c>
      <c r="F758" s="3" t="s">
        <v>11</v>
      </c>
      <c r="G758" s="3">
        <v>801724.09</v>
      </c>
      <c r="I758" s="4">
        <f>SUM($F$5:$F758)-SUM($E$5:$E758)</f>
        <v>801724.08999999799</v>
      </c>
      <c r="J758" s="4">
        <f t="shared" si="11"/>
        <v>-1.9790604710578918E-9</v>
      </c>
    </row>
    <row r="759" spans="1:10" x14ac:dyDescent="0.75">
      <c r="A759" s="5" t="s">
        <v>714</v>
      </c>
      <c r="B759" s="5" t="s">
        <v>714</v>
      </c>
      <c r="C759" s="3" t="s">
        <v>719</v>
      </c>
      <c r="E759" s="3">
        <v>1110</v>
      </c>
      <c r="F759" s="3" t="s">
        <v>11</v>
      </c>
      <c r="G759" s="3">
        <v>800614.09</v>
      </c>
      <c r="I759" s="4">
        <f>SUM($F$5:$F759)-SUM($E$5:$E759)</f>
        <v>800614.08999999799</v>
      </c>
      <c r="J759" s="4">
        <f t="shared" si="11"/>
        <v>-1.9790604710578918E-9</v>
      </c>
    </row>
    <row r="760" spans="1:10" x14ac:dyDescent="0.75">
      <c r="A760" s="5" t="s">
        <v>714</v>
      </c>
      <c r="B760" s="5" t="s">
        <v>714</v>
      </c>
      <c r="C760" s="3" t="s">
        <v>720</v>
      </c>
      <c r="E760" s="3">
        <v>1425</v>
      </c>
      <c r="F760" s="3" t="s">
        <v>11</v>
      </c>
      <c r="G760" s="3">
        <v>799189.09</v>
      </c>
      <c r="I760" s="4">
        <f>SUM($F$5:$F760)-SUM($E$5:$E760)</f>
        <v>799189.08999999799</v>
      </c>
      <c r="J760" s="4">
        <f t="shared" si="11"/>
        <v>-1.9790604710578918E-9</v>
      </c>
    </row>
    <row r="761" spans="1:10" x14ac:dyDescent="0.75">
      <c r="A761" s="5" t="s">
        <v>714</v>
      </c>
      <c r="B761" s="5" t="s">
        <v>714</v>
      </c>
      <c r="C761" s="3" t="s">
        <v>721</v>
      </c>
      <c r="E761" s="3">
        <v>2078.13</v>
      </c>
      <c r="F761" s="3" t="s">
        <v>11</v>
      </c>
      <c r="G761" s="3">
        <v>797110.96</v>
      </c>
      <c r="I761" s="4">
        <f>SUM($F$5:$F761)-SUM($E$5:$E761)</f>
        <v>797110.95999999717</v>
      </c>
      <c r="J761" s="4">
        <f t="shared" si="11"/>
        <v>-2.7939677238464355E-9</v>
      </c>
    </row>
    <row r="762" spans="1:10" x14ac:dyDescent="0.75">
      <c r="A762" s="5" t="s">
        <v>714</v>
      </c>
      <c r="B762" s="5" t="s">
        <v>714</v>
      </c>
      <c r="C762" s="3" t="s">
        <v>722</v>
      </c>
      <c r="E762" s="3">
        <v>3145</v>
      </c>
      <c r="F762" s="3" t="s">
        <v>11</v>
      </c>
      <c r="G762" s="3">
        <v>793965.96</v>
      </c>
      <c r="I762" s="4">
        <f>SUM($F$5:$F762)-SUM($E$5:$E762)</f>
        <v>793965.95999999717</v>
      </c>
      <c r="J762" s="4">
        <f t="shared" si="11"/>
        <v>-2.7939677238464355E-9</v>
      </c>
    </row>
    <row r="763" spans="1:10" x14ac:dyDescent="0.75">
      <c r="A763" s="5" t="s">
        <v>714</v>
      </c>
      <c r="B763" s="5" t="s">
        <v>714</v>
      </c>
      <c r="C763" s="3" t="s">
        <v>723</v>
      </c>
      <c r="E763" s="3">
        <v>6742.89</v>
      </c>
      <c r="F763" s="3" t="s">
        <v>11</v>
      </c>
      <c r="G763" s="3">
        <v>787223.07</v>
      </c>
      <c r="I763" s="4">
        <f>SUM($F$5:$F763)-SUM($E$5:$E763)</f>
        <v>787223.06999999657</v>
      </c>
      <c r="J763" s="4">
        <f t="shared" si="11"/>
        <v>-3.3760443329811096E-9</v>
      </c>
    </row>
    <row r="764" spans="1:10" x14ac:dyDescent="0.75">
      <c r="A764" s="5" t="s">
        <v>714</v>
      </c>
      <c r="B764" s="5" t="s">
        <v>714</v>
      </c>
      <c r="C764" s="3" t="s">
        <v>724</v>
      </c>
      <c r="E764" s="3">
        <v>7616</v>
      </c>
      <c r="F764" s="3" t="s">
        <v>11</v>
      </c>
      <c r="G764" s="3">
        <v>779607.07</v>
      </c>
      <c r="I764" s="4">
        <f>SUM($F$5:$F764)-SUM($E$5:$E764)</f>
        <v>779607.06999999657</v>
      </c>
      <c r="J764" s="4">
        <f t="shared" si="11"/>
        <v>-3.3760443329811096E-9</v>
      </c>
    </row>
    <row r="765" spans="1:10" x14ac:dyDescent="0.75">
      <c r="A765" s="5" t="s">
        <v>714</v>
      </c>
      <c r="B765" s="5" t="s">
        <v>714</v>
      </c>
      <c r="C765" s="3" t="s">
        <v>725</v>
      </c>
      <c r="E765" s="3">
        <v>9407.25</v>
      </c>
      <c r="F765" s="3" t="s">
        <v>11</v>
      </c>
      <c r="G765" s="3">
        <v>770199.82</v>
      </c>
      <c r="I765" s="4">
        <f>SUM($F$5:$F765)-SUM($E$5:$E765)</f>
        <v>770199.81999999657</v>
      </c>
      <c r="J765" s="4">
        <f t="shared" si="11"/>
        <v>-3.3760443329811096E-9</v>
      </c>
    </row>
    <row r="766" spans="1:10" x14ac:dyDescent="0.75">
      <c r="A766" s="5" t="s">
        <v>714</v>
      </c>
      <c r="B766" s="5" t="s">
        <v>714</v>
      </c>
      <c r="C766" s="3" t="s">
        <v>726</v>
      </c>
      <c r="E766" s="3">
        <v>10646.67</v>
      </c>
      <c r="F766" s="3" t="s">
        <v>11</v>
      </c>
      <c r="G766" s="3">
        <v>759553.15</v>
      </c>
      <c r="I766" s="4">
        <f>SUM($F$5:$F766)-SUM($E$5:$E766)</f>
        <v>759553.14999999665</v>
      </c>
      <c r="J766" s="4">
        <f t="shared" si="11"/>
        <v>-3.3760443329811096E-9</v>
      </c>
    </row>
    <row r="767" spans="1:10" x14ac:dyDescent="0.75">
      <c r="A767" s="5" t="s">
        <v>714</v>
      </c>
      <c r="B767" s="5" t="s">
        <v>714</v>
      </c>
      <c r="C767" s="3" t="s">
        <v>727</v>
      </c>
      <c r="E767" s="3">
        <v>1255.8499999999999</v>
      </c>
      <c r="F767" s="3" t="s">
        <v>11</v>
      </c>
      <c r="G767" s="3">
        <v>758297.3</v>
      </c>
      <c r="I767" s="4">
        <f>SUM($F$5:$F767)-SUM($E$5:$E767)</f>
        <v>758297.29999999702</v>
      </c>
      <c r="J767" s="4">
        <f t="shared" si="11"/>
        <v>-3.0267983675003052E-9</v>
      </c>
    </row>
    <row r="768" spans="1:10" x14ac:dyDescent="0.75">
      <c r="A768" s="5" t="s">
        <v>714</v>
      </c>
      <c r="B768" s="5" t="s">
        <v>714</v>
      </c>
      <c r="C768" s="3" t="s">
        <v>728</v>
      </c>
      <c r="E768" s="3" t="s">
        <v>11</v>
      </c>
      <c r="F768" s="3">
        <v>274752</v>
      </c>
      <c r="G768" s="3">
        <v>1033049.3</v>
      </c>
      <c r="I768" s="4">
        <f>SUM($F$5:$F768)-SUM($E$5:$E768)</f>
        <v>1033049.299999997</v>
      </c>
      <c r="J768" s="4">
        <f t="shared" si="11"/>
        <v>-3.0267983675003052E-9</v>
      </c>
    </row>
    <row r="769" spans="1:10" x14ac:dyDescent="0.75">
      <c r="A769" s="5" t="s">
        <v>729</v>
      </c>
      <c r="B769" s="3" t="s">
        <v>729</v>
      </c>
      <c r="C769" s="3" t="s">
        <v>30</v>
      </c>
      <c r="E769" s="3" t="s">
        <v>11</v>
      </c>
      <c r="F769" s="3">
        <v>23596.16</v>
      </c>
      <c r="G769" s="3">
        <v>1056645.46</v>
      </c>
      <c r="I769" s="4">
        <f>SUM($F$5:$F769)-SUM($E$5:$E769)</f>
        <v>1056645.4599999972</v>
      </c>
      <c r="J769" s="4">
        <f t="shared" si="11"/>
        <v>-2.7939677238464355E-9</v>
      </c>
    </row>
    <row r="770" spans="1:10" x14ac:dyDescent="0.75">
      <c r="A770" s="5" t="s">
        <v>729</v>
      </c>
      <c r="B770" s="5" t="s">
        <v>729</v>
      </c>
      <c r="C770" s="3" t="s">
        <v>730</v>
      </c>
      <c r="E770" s="3">
        <v>551.25</v>
      </c>
      <c r="F770" s="3" t="s">
        <v>11</v>
      </c>
      <c r="G770" s="3">
        <v>1056094.21</v>
      </c>
      <c r="I770" s="4">
        <f>SUM($F$5:$F770)-SUM($E$5:$E770)</f>
        <v>1056094.2099999972</v>
      </c>
      <c r="J770" s="4">
        <f t="shared" si="11"/>
        <v>-2.7939677238464355E-9</v>
      </c>
    </row>
    <row r="771" spans="1:10" x14ac:dyDescent="0.75">
      <c r="A771" s="5" t="s">
        <v>729</v>
      </c>
      <c r="B771" s="5" t="s">
        <v>729</v>
      </c>
      <c r="C771" s="3" t="s">
        <v>731</v>
      </c>
      <c r="E771" s="3">
        <v>559.62</v>
      </c>
      <c r="F771" s="3" t="s">
        <v>11</v>
      </c>
      <c r="G771" s="3">
        <v>1055534.5900000001</v>
      </c>
      <c r="I771" s="4">
        <f>SUM($F$5:$F771)-SUM($E$5:$E771)</f>
        <v>1055534.589999998</v>
      </c>
      <c r="J771" s="4">
        <f t="shared" si="11"/>
        <v>-2.0954757928848267E-9</v>
      </c>
    </row>
    <row r="772" spans="1:10" x14ac:dyDescent="0.75">
      <c r="A772" s="3" t="s">
        <v>729</v>
      </c>
      <c r="B772" s="3" t="s">
        <v>729</v>
      </c>
      <c r="C772" s="3" t="s">
        <v>732</v>
      </c>
      <c r="E772" s="3">
        <v>829.35</v>
      </c>
      <c r="F772" s="3" t="s">
        <v>11</v>
      </c>
      <c r="G772" s="3">
        <v>1054705.24</v>
      </c>
      <c r="I772" s="4">
        <f>SUM($F$5:$F772)-SUM($E$5:$E772)</f>
        <v>1054705.2399999984</v>
      </c>
      <c r="J772" s="4">
        <f t="shared" si="11"/>
        <v>0</v>
      </c>
    </row>
    <row r="773" spans="1:10" x14ac:dyDescent="0.75">
      <c r="A773" s="3" t="s">
        <v>729</v>
      </c>
      <c r="B773" s="3" t="s">
        <v>729</v>
      </c>
      <c r="C773" s="3" t="s">
        <v>733</v>
      </c>
      <c r="E773" s="3">
        <v>1121.32</v>
      </c>
      <c r="F773" s="3" t="s">
        <v>11</v>
      </c>
      <c r="G773" s="3">
        <v>1053583.92</v>
      </c>
      <c r="I773" s="4">
        <f>SUM($F$5:$F773)-SUM($E$5:$E773)</f>
        <v>1053583.9199999981</v>
      </c>
      <c r="J773" s="4">
        <f t="shared" si="11"/>
        <v>-1.862645149230957E-9</v>
      </c>
    </row>
    <row r="774" spans="1:10" x14ac:dyDescent="0.75">
      <c r="A774" s="3" t="s">
        <v>729</v>
      </c>
      <c r="B774" s="3" t="s">
        <v>729</v>
      </c>
      <c r="C774" s="3" t="s">
        <v>734</v>
      </c>
      <c r="E774" s="3">
        <v>1373.52</v>
      </c>
      <c r="F774" s="3" t="s">
        <v>11</v>
      </c>
      <c r="G774" s="3">
        <v>1052210.3999999999</v>
      </c>
      <c r="I774" s="4">
        <f>SUM($F$5:$F774)-SUM($E$5:$E774)</f>
        <v>1052210.3999999985</v>
      </c>
      <c r="J774" s="4">
        <f t="shared" ref="J774:J793" si="12">I774-G774</f>
        <v>0</v>
      </c>
    </row>
    <row r="775" spans="1:10" x14ac:dyDescent="0.75">
      <c r="A775" s="3" t="s">
        <v>729</v>
      </c>
      <c r="B775" s="3" t="s">
        <v>729</v>
      </c>
      <c r="C775" s="3" t="s">
        <v>735</v>
      </c>
      <c r="E775" s="3">
        <v>1729.99</v>
      </c>
      <c r="F775" s="3" t="s">
        <v>11</v>
      </c>
      <c r="G775" s="3">
        <v>1050480.4099999999</v>
      </c>
      <c r="I775" s="4">
        <f>SUM($F$5:$F775)-SUM($E$5:$E775)</f>
        <v>1050480.4099999983</v>
      </c>
      <c r="J775" s="4">
        <f t="shared" si="12"/>
        <v>0</v>
      </c>
    </row>
    <row r="776" spans="1:10" x14ac:dyDescent="0.75">
      <c r="A776" s="3" t="s">
        <v>729</v>
      </c>
      <c r="B776" s="3" t="s">
        <v>729</v>
      </c>
      <c r="C776" s="3" t="s">
        <v>736</v>
      </c>
      <c r="E776" s="3">
        <v>2764.5</v>
      </c>
      <c r="F776" s="3" t="s">
        <v>11</v>
      </c>
      <c r="G776" s="3">
        <v>1047715.91</v>
      </c>
      <c r="I776" s="4">
        <f>SUM($F$5:$F776)-SUM($E$5:$E776)</f>
        <v>1047715.9099999983</v>
      </c>
      <c r="J776" s="4">
        <f t="shared" si="12"/>
        <v>-1.7462298274040222E-9</v>
      </c>
    </row>
    <row r="777" spans="1:10" x14ac:dyDescent="0.75">
      <c r="A777" s="3" t="s">
        <v>729</v>
      </c>
      <c r="B777" s="3" t="s">
        <v>729</v>
      </c>
      <c r="C777" s="3" t="s">
        <v>737</v>
      </c>
      <c r="E777" s="3">
        <v>6660</v>
      </c>
      <c r="F777" s="3" t="s">
        <v>11</v>
      </c>
      <c r="G777" s="3">
        <v>1041055.91</v>
      </c>
      <c r="I777" s="4">
        <f>SUM($F$5:$F777)-SUM($E$5:$E777)</f>
        <v>1041055.9099999983</v>
      </c>
      <c r="J777" s="4">
        <f t="shared" si="12"/>
        <v>-1.7462298274040222E-9</v>
      </c>
    </row>
    <row r="778" spans="1:10" x14ac:dyDescent="0.75">
      <c r="A778" s="3" t="s">
        <v>729</v>
      </c>
      <c r="B778" s="3" t="s">
        <v>729</v>
      </c>
      <c r="C778" s="3" t="s">
        <v>738</v>
      </c>
      <c r="E778" s="3">
        <v>7182</v>
      </c>
      <c r="F778" s="3" t="s">
        <v>11</v>
      </c>
      <c r="G778" s="3">
        <v>1033873.91</v>
      </c>
      <c r="I778" s="4">
        <f>SUM($F$5:$F778)-SUM($E$5:$E778)</f>
        <v>1033873.9099999983</v>
      </c>
      <c r="J778" s="4">
        <f t="shared" si="12"/>
        <v>-1.7462298274040222E-9</v>
      </c>
    </row>
    <row r="779" spans="1:10" x14ac:dyDescent="0.75">
      <c r="A779" s="3" t="s">
        <v>729</v>
      </c>
      <c r="B779" s="3" t="s">
        <v>729</v>
      </c>
      <c r="C779" s="3" t="s">
        <v>739</v>
      </c>
      <c r="E779" s="3">
        <v>274752</v>
      </c>
      <c r="F779" s="3" t="s">
        <v>11</v>
      </c>
      <c r="G779" s="3">
        <v>759121.91</v>
      </c>
      <c r="I779" s="4">
        <f>SUM($F$5:$F779)-SUM($E$5:$E779)</f>
        <v>759121.90999999829</v>
      </c>
      <c r="J779" s="4">
        <f t="shared" si="12"/>
        <v>-1.7462298274040222E-9</v>
      </c>
    </row>
    <row r="780" spans="1:10" x14ac:dyDescent="0.75">
      <c r="A780" s="3" t="s">
        <v>729</v>
      </c>
      <c r="B780" s="3" t="s">
        <v>729</v>
      </c>
      <c r="C780" s="3" t="s">
        <v>30</v>
      </c>
      <c r="E780" s="3" t="s">
        <v>11</v>
      </c>
      <c r="F780" s="3">
        <v>61887.3</v>
      </c>
      <c r="G780" s="3">
        <v>821009.21</v>
      </c>
      <c r="I780" s="4">
        <f>SUM($F$5:$F780)-SUM($E$5:$E780)</f>
        <v>821009.20999999903</v>
      </c>
      <c r="J780" s="4">
        <f t="shared" si="12"/>
        <v>-9.3132257461547852E-10</v>
      </c>
    </row>
    <row r="781" spans="1:10" x14ac:dyDescent="0.75">
      <c r="A781" s="3" t="s">
        <v>740</v>
      </c>
      <c r="B781" s="3" t="s">
        <v>740</v>
      </c>
      <c r="C781" s="3" t="s">
        <v>741</v>
      </c>
      <c r="E781" s="3">
        <v>1455</v>
      </c>
      <c r="F781" s="3" t="s">
        <v>11</v>
      </c>
      <c r="G781" s="3">
        <v>819554.21</v>
      </c>
      <c r="I781" s="4">
        <f>SUM($F$5:$F781)-SUM($E$5:$E781)</f>
        <v>819554.20999999903</v>
      </c>
      <c r="J781" s="4">
        <f t="shared" si="12"/>
        <v>-9.3132257461547852E-10</v>
      </c>
    </row>
    <row r="782" spans="1:10" x14ac:dyDescent="0.75">
      <c r="A782" s="3" t="s">
        <v>740</v>
      </c>
      <c r="B782" s="3" t="s">
        <v>740</v>
      </c>
      <c r="C782" s="3" t="s">
        <v>742</v>
      </c>
      <c r="E782" s="3">
        <v>1650</v>
      </c>
      <c r="F782" s="3" t="s">
        <v>11</v>
      </c>
      <c r="G782" s="3">
        <v>817904.21</v>
      </c>
      <c r="I782" s="4">
        <f>SUM($F$5:$F782)-SUM($E$5:$E782)</f>
        <v>817904.20999999903</v>
      </c>
      <c r="J782" s="4">
        <f t="shared" si="12"/>
        <v>-9.3132257461547852E-10</v>
      </c>
    </row>
    <row r="783" spans="1:10" x14ac:dyDescent="0.75">
      <c r="A783" s="3" t="s">
        <v>740</v>
      </c>
      <c r="B783" s="3" t="s">
        <v>740</v>
      </c>
      <c r="C783" s="3" t="s">
        <v>743</v>
      </c>
      <c r="E783" s="3">
        <v>9372</v>
      </c>
      <c r="F783" s="3" t="s">
        <v>11</v>
      </c>
      <c r="G783" s="3">
        <v>808532.21</v>
      </c>
      <c r="I783" s="4">
        <f>SUM($F$5:$F783)-SUM($E$5:$E783)</f>
        <v>808532.20999999903</v>
      </c>
      <c r="J783" s="4">
        <f t="shared" si="12"/>
        <v>-9.3132257461547852E-10</v>
      </c>
    </row>
    <row r="784" spans="1:10" x14ac:dyDescent="0.75">
      <c r="A784" s="3" t="s">
        <v>740</v>
      </c>
      <c r="B784" s="3" t="s">
        <v>740</v>
      </c>
      <c r="C784" s="3" t="s">
        <v>744</v>
      </c>
      <c r="E784" s="3">
        <v>14935.85</v>
      </c>
      <c r="F784" s="3" t="s">
        <v>11</v>
      </c>
      <c r="G784" s="3">
        <v>793596.36</v>
      </c>
      <c r="I784" s="4">
        <f>SUM($F$5:$F784)-SUM($E$5:$E784)</f>
        <v>793596.3599999994</v>
      </c>
      <c r="J784" s="4">
        <f t="shared" si="12"/>
        <v>0</v>
      </c>
    </row>
    <row r="785" spans="1:10" x14ac:dyDescent="0.75">
      <c r="A785" s="3" t="s">
        <v>740</v>
      </c>
      <c r="B785" s="3" t="s">
        <v>740</v>
      </c>
      <c r="C785" s="3" t="s">
        <v>745</v>
      </c>
      <c r="E785" s="3">
        <v>18129.3</v>
      </c>
      <c r="F785" s="3" t="s">
        <v>11</v>
      </c>
      <c r="G785" s="3">
        <v>775467.06</v>
      </c>
      <c r="I785" s="4">
        <f>SUM($F$5:$F785)-SUM($E$5:$E785)</f>
        <v>775467.05999999866</v>
      </c>
      <c r="J785" s="4">
        <f t="shared" si="12"/>
        <v>-1.3969838619232178E-9</v>
      </c>
    </row>
    <row r="786" spans="1:10" x14ac:dyDescent="0.75">
      <c r="A786" s="3" t="s">
        <v>740</v>
      </c>
      <c r="B786" s="3" t="s">
        <v>740</v>
      </c>
      <c r="F786" s="3" t="s">
        <v>11</v>
      </c>
      <c r="G786" s="4">
        <v>775467.06</v>
      </c>
      <c r="I786" s="4">
        <f>SUM($F$5:$F786)-SUM($E$5:$E786)</f>
        <v>775467.05999999866</v>
      </c>
      <c r="J786" s="4">
        <f t="shared" si="12"/>
        <v>-1.3969838619232178E-9</v>
      </c>
    </row>
    <row r="787" spans="1:10" x14ac:dyDescent="0.75">
      <c r="A787" s="3" t="s">
        <v>746</v>
      </c>
      <c r="B787" s="3" t="s">
        <v>8</v>
      </c>
      <c r="C787" s="3" t="s">
        <v>30</v>
      </c>
      <c r="E787" s="3" t="s">
        <v>11</v>
      </c>
      <c r="F787" s="4">
        <v>3630.26</v>
      </c>
      <c r="G787" s="4">
        <v>779097.32</v>
      </c>
      <c r="I787" s="4">
        <f>SUM($F$5:$F787)-SUM($E$5:$E787)</f>
        <v>779097.31999999844</v>
      </c>
      <c r="J787" s="4">
        <f t="shared" si="12"/>
        <v>-1.5133991837501526E-9</v>
      </c>
    </row>
    <row r="788" spans="1:10" x14ac:dyDescent="0.75">
      <c r="A788" s="3" t="s">
        <v>8</v>
      </c>
      <c r="B788" s="3" t="s">
        <v>8</v>
      </c>
      <c r="C788" s="3" t="s">
        <v>747</v>
      </c>
      <c r="E788" s="4">
        <v>9420.4599999999991</v>
      </c>
      <c r="F788" s="3" t="s">
        <v>11</v>
      </c>
      <c r="G788" s="4">
        <v>769676.86</v>
      </c>
      <c r="I788" s="4">
        <f>SUM($F$5:$F788)-SUM($E$5:$E788)</f>
        <v>769676.85999999754</v>
      </c>
      <c r="J788" s="4">
        <f t="shared" si="12"/>
        <v>-2.4447217583656311E-9</v>
      </c>
    </row>
    <row r="789" spans="1:10" x14ac:dyDescent="0.75">
      <c r="A789" s="3" t="s">
        <v>8</v>
      </c>
      <c r="B789" s="3" t="s">
        <v>8</v>
      </c>
      <c r="C789" s="3" t="s">
        <v>748</v>
      </c>
      <c r="E789" s="4">
        <v>1382.25</v>
      </c>
      <c r="F789" s="3" t="s">
        <v>11</v>
      </c>
      <c r="G789" s="4">
        <v>768294.61</v>
      </c>
      <c r="I789" s="4">
        <f>SUM($F$5:$F789)-SUM($E$5:$E789)</f>
        <v>768294.60999999754</v>
      </c>
      <c r="J789" s="4">
        <f t="shared" si="12"/>
        <v>-2.4447217583656311E-9</v>
      </c>
    </row>
    <row r="790" spans="1:10" x14ac:dyDescent="0.75">
      <c r="A790" s="3" t="s">
        <v>8</v>
      </c>
      <c r="B790" s="3" t="s">
        <v>8</v>
      </c>
      <c r="C790" s="3" t="s">
        <v>749</v>
      </c>
      <c r="E790" s="4">
        <v>1522.9</v>
      </c>
      <c r="F790" s="3" t="s">
        <v>11</v>
      </c>
      <c r="G790" s="4">
        <v>766771.71</v>
      </c>
      <c r="I790" s="4">
        <f>SUM($F$5:$F790)-SUM($E$5:$E790)</f>
        <v>766771.70999999717</v>
      </c>
      <c r="J790" s="4">
        <f t="shared" si="12"/>
        <v>-2.7939677238464355E-9</v>
      </c>
    </row>
    <row r="791" spans="1:10" x14ac:dyDescent="0.75">
      <c r="A791" s="3" t="s">
        <v>8</v>
      </c>
      <c r="B791" s="3" t="s">
        <v>8</v>
      </c>
      <c r="C791" s="3" t="s">
        <v>750</v>
      </c>
      <c r="E791" s="4">
        <v>1941.1</v>
      </c>
      <c r="F791" s="3" t="s">
        <v>11</v>
      </c>
      <c r="G791" s="4">
        <v>764830.61</v>
      </c>
      <c r="I791" s="4">
        <f>SUM($F$5:$F791)-SUM($E$5:$E791)</f>
        <v>764830.60999999754</v>
      </c>
      <c r="J791" s="4">
        <f t="shared" si="12"/>
        <v>-2.4447217583656311E-9</v>
      </c>
    </row>
    <row r="792" spans="1:10" x14ac:dyDescent="0.75">
      <c r="A792" s="3" t="s">
        <v>8</v>
      </c>
      <c r="B792" s="3" t="s">
        <v>8</v>
      </c>
      <c r="C792" s="3" t="s">
        <v>751</v>
      </c>
      <c r="E792" s="4">
        <v>17262.16</v>
      </c>
      <c r="F792" s="3" t="s">
        <v>11</v>
      </c>
      <c r="G792" s="4">
        <v>747568.45</v>
      </c>
      <c r="I792" s="4">
        <f>SUM($F$5:$F792)-SUM($E$5:$E792)</f>
        <v>747568.44999999739</v>
      </c>
      <c r="J792" s="4">
        <f t="shared" si="12"/>
        <v>-2.5611370801925659E-9</v>
      </c>
    </row>
    <row r="793" spans="1:10" x14ac:dyDescent="0.75">
      <c r="A793" s="3" t="s">
        <v>8</v>
      </c>
      <c r="B793" s="3" t="s">
        <v>8</v>
      </c>
      <c r="C793" s="3" t="s">
        <v>752</v>
      </c>
      <c r="E793" s="4">
        <v>207362.42</v>
      </c>
      <c r="F793" s="3" t="s">
        <v>11</v>
      </c>
      <c r="G793" s="4">
        <v>540206.03</v>
      </c>
      <c r="I793" s="4">
        <f>SUM($F$5:$F793)-SUM($E$5:$E793)</f>
        <v>540206.02999999747</v>
      </c>
      <c r="J793" s="4">
        <f t="shared" si="12"/>
        <v>-2.5611370801925659E-9</v>
      </c>
    </row>
    <row r="794" spans="1:10" x14ac:dyDescent="0.75">
      <c r="A794" s="3" t="s">
        <v>8</v>
      </c>
      <c r="C794" s="3" t="s">
        <v>753</v>
      </c>
      <c r="G794" s="4"/>
      <c r="I794" s="4"/>
      <c r="J794" s="4"/>
    </row>
    <row r="795" spans="1:10" x14ac:dyDescent="0.75">
      <c r="I795" s="4"/>
      <c r="J795" s="4"/>
    </row>
    <row r="796" spans="1:10" x14ac:dyDescent="0.75">
      <c r="I796" s="4"/>
      <c r="J796" s="4"/>
    </row>
    <row r="797" spans="1:10" x14ac:dyDescent="0.75">
      <c r="I797" s="4"/>
      <c r="J797" s="4"/>
    </row>
    <row r="798" spans="1:10" x14ac:dyDescent="0.75">
      <c r="I798" s="4"/>
      <c r="J798" s="4"/>
    </row>
    <row r="799" spans="1:10" x14ac:dyDescent="0.75">
      <c r="I799" s="4"/>
      <c r="J799" s="4"/>
    </row>
    <row r="800" spans="1:10" x14ac:dyDescent="0.75">
      <c r="I800" s="4"/>
      <c r="J800" s="4"/>
    </row>
    <row r="801" spans="9:10" x14ac:dyDescent="0.75">
      <c r="I801" s="4"/>
      <c r="J801" s="4"/>
    </row>
    <row r="802" spans="9:10" x14ac:dyDescent="0.75">
      <c r="I802" s="4"/>
      <c r="J802" s="4"/>
    </row>
    <row r="803" spans="9:10" x14ac:dyDescent="0.75">
      <c r="I803" s="4"/>
      <c r="J803" s="4"/>
    </row>
    <row r="804" spans="9:10" x14ac:dyDescent="0.75">
      <c r="I804" s="4"/>
      <c r="J804" s="4"/>
    </row>
    <row r="805" spans="9:10" x14ac:dyDescent="0.75">
      <c r="I805" s="4"/>
      <c r="J805" s="4"/>
    </row>
    <row r="806" spans="9:10" x14ac:dyDescent="0.75">
      <c r="I806" s="4"/>
      <c r="J806" s="4"/>
    </row>
    <row r="807" spans="9:10" x14ac:dyDescent="0.75">
      <c r="I807" s="4"/>
      <c r="J807" s="4"/>
    </row>
    <row r="808" spans="9:10" x14ac:dyDescent="0.75">
      <c r="I808" s="4"/>
      <c r="J808" s="4"/>
    </row>
    <row r="809" spans="9:10" x14ac:dyDescent="0.75">
      <c r="I809" s="4"/>
      <c r="J809" s="4"/>
    </row>
    <row r="810" spans="9:10" x14ac:dyDescent="0.75">
      <c r="I810" s="4"/>
      <c r="J810" s="4"/>
    </row>
    <row r="811" spans="9:10" x14ac:dyDescent="0.75">
      <c r="I811" s="4"/>
      <c r="J811" s="4"/>
    </row>
    <row r="812" spans="9:10" x14ac:dyDescent="0.75">
      <c r="I812" s="4"/>
      <c r="J812" s="4"/>
    </row>
    <row r="813" spans="9:10" x14ac:dyDescent="0.75">
      <c r="I813" s="4"/>
      <c r="J813" s="4"/>
    </row>
    <row r="814" spans="9:10" x14ac:dyDescent="0.75">
      <c r="I814" s="4"/>
      <c r="J814" s="4"/>
    </row>
    <row r="815" spans="9:10" x14ac:dyDescent="0.75">
      <c r="I815" s="4"/>
      <c r="J815" s="4"/>
    </row>
    <row r="816" spans="9:10" x14ac:dyDescent="0.75">
      <c r="I816" s="4"/>
      <c r="J816" s="4"/>
    </row>
    <row r="817" spans="9:10" x14ac:dyDescent="0.75">
      <c r="I817" s="4"/>
      <c r="J817" s="4"/>
    </row>
    <row r="818" spans="9:10" x14ac:dyDescent="0.75">
      <c r="I818" s="4"/>
      <c r="J818" s="4"/>
    </row>
    <row r="819" spans="9:10" x14ac:dyDescent="0.75">
      <c r="I819" s="4"/>
      <c r="J819" s="4"/>
    </row>
    <row r="820" spans="9:10" x14ac:dyDescent="0.75">
      <c r="I820" s="4"/>
      <c r="J820" s="4"/>
    </row>
    <row r="821" spans="9:10" x14ac:dyDescent="0.75">
      <c r="I821" s="4"/>
      <c r="J821" s="4"/>
    </row>
    <row r="822" spans="9:10" x14ac:dyDescent="0.75">
      <c r="I822" s="4"/>
      <c r="J822" s="4"/>
    </row>
    <row r="823" spans="9:10" x14ac:dyDescent="0.75">
      <c r="I823" s="4"/>
      <c r="J823" s="4"/>
    </row>
    <row r="824" spans="9:10" x14ac:dyDescent="0.75">
      <c r="I824" s="4"/>
      <c r="J824" s="4"/>
    </row>
    <row r="825" spans="9:10" x14ac:dyDescent="0.75">
      <c r="I825" s="4"/>
      <c r="J825" s="4"/>
    </row>
    <row r="826" spans="9:10" x14ac:dyDescent="0.75">
      <c r="I826" s="4"/>
      <c r="J826" s="4"/>
    </row>
    <row r="827" spans="9:10" x14ac:dyDescent="0.75">
      <c r="I827" s="4"/>
      <c r="J827" s="4"/>
    </row>
    <row r="828" spans="9:10" x14ac:dyDescent="0.75">
      <c r="I828" s="4"/>
      <c r="J828" s="4"/>
    </row>
    <row r="829" spans="9:10" x14ac:dyDescent="0.75">
      <c r="I829" s="4"/>
      <c r="J829" s="4"/>
    </row>
    <row r="830" spans="9:10" x14ac:dyDescent="0.75">
      <c r="I830" s="4"/>
      <c r="J830" s="4"/>
    </row>
    <row r="831" spans="9:10" x14ac:dyDescent="0.75">
      <c r="I831" s="4"/>
      <c r="J831" s="4"/>
    </row>
    <row r="832" spans="9:10" x14ac:dyDescent="0.75">
      <c r="I832" s="4"/>
      <c r="J832" s="4"/>
    </row>
    <row r="833" spans="5:10" x14ac:dyDescent="0.75">
      <c r="I833" s="4"/>
      <c r="J833" s="4"/>
    </row>
    <row r="834" spans="5:10" x14ac:dyDescent="0.75">
      <c r="I834" s="4"/>
      <c r="J834" s="4"/>
    </row>
    <row r="835" spans="5:10" x14ac:dyDescent="0.75">
      <c r="I835" s="4"/>
      <c r="J835" s="4"/>
    </row>
    <row r="836" spans="5:10" x14ac:dyDescent="0.75">
      <c r="I836" s="4"/>
      <c r="J836" s="4"/>
    </row>
    <row r="837" spans="5:10" x14ac:dyDescent="0.75">
      <c r="I837" s="4"/>
      <c r="J837" s="4"/>
    </row>
    <row r="838" spans="5:10" x14ac:dyDescent="0.75">
      <c r="I838" s="4"/>
      <c r="J838" s="4"/>
    </row>
    <row r="839" spans="5:10" x14ac:dyDescent="0.75">
      <c r="I839" s="4"/>
      <c r="J839" s="4"/>
    </row>
    <row r="840" spans="5:10" x14ac:dyDescent="0.75">
      <c r="I840" s="4"/>
      <c r="J840" s="4"/>
    </row>
    <row r="841" spans="5:10" x14ac:dyDescent="0.75">
      <c r="I841" s="4"/>
      <c r="J841" s="4"/>
    </row>
    <row r="842" spans="5:10" x14ac:dyDescent="0.75">
      <c r="I842" s="4"/>
      <c r="J842" s="4"/>
    </row>
    <row r="843" spans="5:10" x14ac:dyDescent="0.75">
      <c r="I843" s="4"/>
      <c r="J843" s="4"/>
    </row>
    <row r="844" spans="5:10" x14ac:dyDescent="0.75">
      <c r="I844" s="4"/>
      <c r="J844" s="4"/>
    </row>
    <row r="845" spans="5:10" x14ac:dyDescent="0.75">
      <c r="I845" s="4"/>
      <c r="J845" s="4"/>
    </row>
    <row r="846" spans="5:10" x14ac:dyDescent="0.75">
      <c r="G846" s="4"/>
      <c r="I846" s="4"/>
      <c r="J846" s="4"/>
    </row>
    <row r="847" spans="5:10" x14ac:dyDescent="0.75">
      <c r="F847" s="4"/>
      <c r="G847" s="4"/>
      <c r="I847" s="4"/>
      <c r="J847" s="4"/>
    </row>
    <row r="848" spans="5:10" x14ac:dyDescent="0.75">
      <c r="E848" s="4"/>
      <c r="G848" s="4"/>
      <c r="I848" s="4"/>
      <c r="J848" s="4"/>
    </row>
    <row r="849" spans="5:10" x14ac:dyDescent="0.75">
      <c r="E849" s="4"/>
      <c r="G849" s="4"/>
      <c r="I849" s="4"/>
      <c r="J849" s="4"/>
    </row>
    <row r="850" spans="5:10" x14ac:dyDescent="0.75">
      <c r="E850" s="4"/>
      <c r="G850" s="4"/>
      <c r="I850" s="4"/>
      <c r="J850" s="4"/>
    </row>
    <row r="851" spans="5:10" x14ac:dyDescent="0.75">
      <c r="E851" s="4"/>
      <c r="G851" s="4"/>
      <c r="I851" s="4"/>
      <c r="J851" s="4"/>
    </row>
    <row r="852" spans="5:10" x14ac:dyDescent="0.75">
      <c r="E852" s="4"/>
      <c r="G852" s="4"/>
      <c r="I852" s="4"/>
      <c r="J852" s="4"/>
    </row>
    <row r="853" spans="5:10" x14ac:dyDescent="0.75">
      <c r="E853" s="4"/>
      <c r="G853" s="4"/>
      <c r="I853" s="4"/>
      <c r="J853" s="4"/>
    </row>
    <row r="854" spans="5:10" x14ac:dyDescent="0.75">
      <c r="G85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2026-09-01T17:48:03Z</dcterms:modified>
</cp:coreProperties>
</file>